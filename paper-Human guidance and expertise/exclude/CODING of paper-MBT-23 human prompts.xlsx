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5d1a1ef5604f1a" /></Relationships>
</file>

<file path=xl/workbook.xml><?xml version="1.0" encoding="utf-8"?>
<x:workbook xmlns:x="http://schemas.openxmlformats.org/spreadsheetml/2006/main">
  <x:sheets>
    <x:sheet xmlns:r="http://schemas.openxmlformats.org/officeDocument/2006/relationships" name="Summary" sheetId="1" r:id="R677baad9c9564e71"/>
    <x:sheet xmlns:r="http://schemas.openxmlformats.org/officeDocument/2006/relationships" name="Coding" sheetId="2" r:id="R14d8df41eddd4a42"/>
    <x:sheet xmlns:r="http://schemas.openxmlformats.org/officeDocument/2006/relationships" name="Human prompts" sheetId="3" r:id="R92804744df2148f2"/>
    <x:sheet xmlns:r="http://schemas.openxmlformats.org/officeDocument/2006/relationships" name="Codebook" sheetId="4" r:id="Ref16be51b482422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sz val="10"/>
      <x:color rgb="FF243247"/>
      <x:name val="Arial"/>
    </x:font>
    <x:font>
      <x:b/>
      <x:sz val="10"/>
      <x:color rgb="FFFFFFFF"/>
      <x:name val="Arial"/>
    </x:font>
    <x:font>
      <x:b/>
      <x:sz val="14"/>
      <x:color rgb="FF243247"/>
      <x:name val="Arial"/>
    </x:font>
    <x:font>
      <x:b/>
      <x:sz val="10"/>
      <x:color rgb="FF243247"/>
      <x:name val="Arial"/>
    </x:font>
  </x:fonts>
  <x:fills count="3">
    <x:fill>
      <x:patternFill patternType="none"/>
    </x:fill>
    <x:fill>
      <x:patternFill patternType="gray125"/>
    </x:fill>
    <x:fill>
      <x:patternFill patternType="solid">
        <x:fgColor rgb="FF29435C"/>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4"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0e2fb179444aa0" /><Relationship Type="http://schemas.openxmlformats.org/officeDocument/2006/relationships/theme" Target="/xl/theme/theme1.xml" Id="R4c130c7a36084203" /><Relationship Type="http://schemas.openxmlformats.org/officeDocument/2006/relationships/sharedStrings" Target="/xl/sharedStrings.xml" Id="R79cac2547c5e4c4f" /><Relationship Type="http://schemas.openxmlformats.org/officeDocument/2006/relationships/worksheet" Target="/xl/worksheets/sheet1.xml" Id="R677baad9c9564e71" /><Relationship Type="http://schemas.openxmlformats.org/officeDocument/2006/relationships/worksheet" Target="/xl/worksheets/sheet2.xml" Id="R14d8df41eddd4a42" /><Relationship Type="http://schemas.openxmlformats.org/officeDocument/2006/relationships/worksheet" Target="/xl/worksheets/sheet3.xml" Id="R92804744df2148f2" /><Relationship Type="http://schemas.openxmlformats.org/officeDocument/2006/relationships/worksheet" Target="/xl/worksheets/sheet4.xml" Id="Ref16be51b482422d" /></Relationships>
</file>

<file path=xl/tables/table1.xml><?xml version="1.0" encoding="utf-8"?>
<x:table xmlns:x="http://schemas.openxmlformats.org/spreadsheetml/2006/main" id="1" name="CodingTable" displayName="CodingTable" ref="A1:M23" headerRowCount="1" totalsRowCount="0" totalsRowShown="0">
  <x:tableColumns count="13">
    <x:tableColumn id="1" name="Turn ID"/>
    <x:tableColumn id="2" name="Sequence"/>
    <x:tableColumn id="3" name="Phase"/>
    <x:tableColumn id="4" name="Prompt excerpt"/>
    <x:tableColumn id="5" name="Primary interaction type"/>
    <x:tableColumn id="6" name="Additional interaction types"/>
    <x:tableColumn id="7" name="Agency mode"/>
    <x:tableColumn id="8" name="Expertise evidence"/>
    <x:tableColumn id="9" name="Coding rationale"/>
    <x:tableColumn id="10" name="Observed outcome / notes"/>
    <x:tableColumn id="11" name="Prompt provenance"/>
    <x:tableColumn id="12" name="Response provenance"/>
    <x:tableColumn id="13" name="Attachment"/>
  </x:tableColumns>
  <x:tableStyleInfo name="TableStyleMedium2" showFirstColumn="0" showLastColumn="0" showRowStripes="1" showColumnStripes="0"/>
</x:table>
</file>

<file path=xl/tables/table2.xml><?xml version="1.0" encoding="utf-8"?>
<x:table xmlns:x="http://schemas.openxmlformats.org/spreadsheetml/2006/main" id="2" name="PromptsTable" displayName="PromptsTable" ref="A1:E23" headerRowCount="1" totalsRowCount="0" totalsRowShown="0">
  <x:tableColumns count="5">
    <x:tableColumn id="1" name="Turn ID"/>
    <x:tableColumn id="2" name="Sequence"/>
    <x:tableColumn id="3" name="Prompt provenance"/>
    <x:tableColumn id="4" name="Attachment"/>
    <x:tableColumn id="5" name="Full human prompt"/>
  </x:tableColumns>
  <x:tableStyleInfo name="TableStyleMedium2" showFirstColumn="0" showLastColumn="0" showRowStripes="1" showColumnStripes="0"/>
</x:table>
</file>

<file path=xl/tables/table3.xml><?xml version="1.0" encoding="utf-8"?>
<x:table xmlns:x="http://schemas.openxmlformats.org/spreadsheetml/2006/main" id="3" name="CodebookTable" displayName="CodebookTable" ref="A1:C33" headerRowCount="1" totalsRowCount="0" totalsRowShown="0">
  <x:tableColumns count="3">
    <x:tableColumn id="1" name="Dimension"/>
    <x:tableColumn id="2" name="Code / rule"/>
    <x:tableColumn id="3" name="Operational definition / 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4b2a586f20430d" /></Relationships>
</file>

<file path=xl/worksheets/_rels/sheet3.xml.rels>&#65279;<?xml version="1.0" encoding="utf-8"?><Relationships xmlns="http://schemas.openxmlformats.org/package/2006/relationships"><Relationship Type="http://schemas.openxmlformats.org/officeDocument/2006/relationships/table" Target="/xl/tables/table2.xml" Id="Ra6f566fa3dde4ac8" /></Relationships>
</file>

<file path=xl/worksheets/_rels/sheet4.xml.rels>&#65279;<?xml version="1.0" encoding="utf-8"?><Relationships xmlns="http://schemas.openxmlformats.org/package/2006/relationships"><Relationship Type="http://schemas.openxmlformats.org/officeDocument/2006/relationships/table" Target="/xl/tables/table3.xml" Id="Re891483c912b489d" /></Relationships>
</file>

<file path=xl/worksheets/sheet1.xml><?xml version="1.0" encoding="utf-8"?>
<x:worksheet xmlns:x="http://schemas.openxmlformats.org/spreadsheetml/2006/main">
  <x:sheetViews>
    <x:sheetView showGridLines="0" workbookViewId="0"/>
  </x:sheetViews>
  <x:sheetFormatPr defaultRowHeight="15"/>
  <x:cols>
    <x:col min="1" max="1" width="37" hidden="0" customWidth="1"/>
    <x:col min="2" max="2" width="17" hidden="0" customWidth="1"/>
    <x:col min="3" max="3" width="17" hidden="0" customWidth="1"/>
    <x:col min="4" max="4" width="22" hidden="0" customWidth="1"/>
    <x:col min="5" max="5" width="3" hidden="0" customWidth="1"/>
    <x:col min="6" max="6" width="22" hidden="0" customWidth="1"/>
    <x:col min="7" max="7" width="12" hidden="0" customWidth="1"/>
    <x:col min="8" max="8" width="12" hidden="0" customWidth="1"/>
  </x:cols>
  <x:sheetData>
    <x:row r="1">
      <x:c r="A1" s="2"/>
      <x:c r="B1" s="2"/>
      <x:c r="C1" s="2"/>
      <x:c r="D1" s="2"/>
      <x:c r="E1" s="2"/>
      <x:c r="F1" s="2"/>
      <x:c r="G1" s="2"/>
      <x:c r="H1" s="2"/>
    </x:row>
    <x:row r="2">
      <x:c r="A2" s="7" t="str">
        <x:v>Paper 1: Human agency coding</x:v>
      </x:c>
      <x:c r="B2" s="2"/>
      <x:c r="C2" s="2"/>
      <x:c r="D2" s="2"/>
      <x:c r="E2" s="2"/>
      <x:c r="F2" s="2"/>
      <x:c r="G2" s="2"/>
      <x:c r="H2" s="2"/>
    </x:row>
    <x:row r="3">
      <x:c r="A3" s="2"/>
      <x:c r="B3" s="2"/>
      <x:c r="C3" s="2"/>
      <x:c r="D3" s="2"/>
      <x:c r="E3" s="2"/>
      <x:c r="F3" s="2"/>
      <x:c r="G3" s="2"/>
      <x:c r="H3" s="2"/>
    </x:row>
    <x:row r="4">
      <x:c r="A4" s="2" t="str">
        <x:v>Human turns</x:v>
      </x:c>
      <x:c r="B4" s="2" t="n">
        <x:v>22</x:v>
      </x:c>
      <x:c r="C4" s="2"/>
      <x:c r="D4" s="2"/>
      <x:c r="E4" s="2"/>
      <x:c r="F4" s="2"/>
      <x:c r="G4" s="2"/>
      <x:c r="H4" s="2"/>
    </x:row>
    <x:row r="5" ht="25" customHeight="1">
      <x:c r="A5" s="2" t="str">
        <x:v>Entire supplied 13-page PDF; 22 body turns. Contents duplicates excluded.</x:v>
      </x:c>
      <x:c r="B5" s="2"/>
      <x:c r="C5" s="2"/>
      <x:c r="D5" s="2"/>
      <x:c r="E5" s="2"/>
      <x:c r="F5" s="2"/>
      <x:c r="G5" s="2"/>
      <x:c r="H5" s="2"/>
    </x:row>
    <x:row r="6">
      <x:c r="A6" s="2"/>
      <x:c r="B6" s="2"/>
      <x:c r="C6" s="2"/>
      <x:c r="D6" s="2"/>
      <x:c r="E6" s="2"/>
      <x:c r="F6" s="2"/>
      <x:c r="G6" s="2"/>
      <x:c r="H6" s="2"/>
    </x:row>
    <x:row r="7" ht="32" customHeight="1">
      <x:c r="A7" s="5" t="str">
        <x:v>Interaction type</x:v>
      </x:c>
      <x:c r="B7" s="5" t="str">
        <x:v>Primary count</x:v>
      </x:c>
      <x:c r="C7" s="5" t="str">
        <x:v>Any occurrence</x:v>
      </x:c>
      <x:c r="D7" s="5" t="str">
        <x:v>Share of turns (any)</x:v>
      </x:c>
      <x:c r="E7" s="2"/>
      <x:c r="F7" s="5" t="str">
        <x:v>Agency mode</x:v>
      </x:c>
      <x:c r="G7" s="5" t="str">
        <x:v>Turns</x:v>
      </x:c>
      <x:c r="H7" s="5" t="str">
        <x:v>Share</x:v>
      </x:c>
    </x:row>
    <x:row r="8">
      <x:c r="A8" s="2" t="str">
        <x:v>Delegation</x:v>
      </x:c>
      <x:c r="B8" s="2" t="n">
        <x:f>COUNTIFS(Coding!$E$2:$E$23,A8)</x:f>
        <x:v>3</x:v>
      </x:c>
      <x:c r="C8" s="2" t="n">
        <x:f>B8</x:f>
        <x:v>3</x:v>
      </x:c>
      <x:c r="D8" s="8" t="n">
        <x:f>C8/$B$4</x:f>
        <x:v>0.13636363636363635</x:v>
      </x:c>
      <x:c r="E8" s="2"/>
      <x:c r="F8" s="2" t="str">
        <x:v>Delegative</x:v>
      </x:c>
      <x:c r="G8" s="2" t="n">
        <x:f>COUNTIFS(Coding!$G$2:$G$23,F8)</x:f>
        <x:v>3</x:v>
      </x:c>
      <x:c r="H8" s="8" t="n">
        <x:f>G8/$B$4</x:f>
        <x:v>0.13636363636363635</x:v>
      </x:c>
    </x:row>
    <x:row r="9">
      <x:c r="A9" s="2" t="str">
        <x:v>Directed delegation</x:v>
      </x:c>
      <x:c r="B9" s="2" t="n">
        <x:f>COUNTIFS(Coding!$E$2:$E$23,A9)</x:f>
        <x:v>9</x:v>
      </x:c>
      <x:c r="C9" s="2" t="n">
        <x:f>B9+COUNTIFS(Coding!$F$2:$F$23,"Directed delegation; Evaluation; Knowledge injection")+COUNTIFS(Coding!$F$2:$F$23,"Directed delegation; Knowledge injection")+COUNTIFS(Coding!$F$2:$F$23,"Selection/Rejection; Directed delegation; Knowledge injection")+COUNTIFS(Coding!$F$2:$F$23,"Directed delegation")</x:f>
        <x:v>13</x:v>
      </x:c>
      <x:c r="D9" s="8" t="n">
        <x:f>C9/$B$4</x:f>
        <x:v>0.5909090909090909</x:v>
      </x:c>
      <x:c r="E9" s="2"/>
      <x:c r="F9" s="2" t="str">
        <x:v>Directive</x:v>
      </x:c>
      <x:c r="G9" s="2" t="n">
        <x:f>COUNTIFS(Coding!$G$2:$G$23,F9)</x:f>
        <x:v>10</x:v>
      </x:c>
      <x:c r="H9" s="8" t="n">
        <x:f>G9/$B$4</x:f>
        <x:v>0.45454545454545453</x:v>
      </x:c>
    </x:row>
    <x:row r="10">
      <x:c r="A10" s="2" t="str">
        <x:v>Evaluation</x:v>
      </x:c>
      <x:c r="B10" s="2" t="n">
        <x:f>COUNTIFS(Coding!$E$2:$E$23,A10)</x:f>
        <x:v>3</x:v>
      </x:c>
      <x:c r="C10" s="2" t="n">
        <x:f>B10+COUNTIFS(Coding!$F$2:$F$23,"Directed delegation; Evaluation; Knowledge injection")+COUNTIFS(Coding!$F$2:$F$23,"Correction/Challenge; Evaluation")</x:f>
        <x:v>5</x:v>
      </x:c>
      <x:c r="D10" s="8" t="n">
        <x:f>C10/$B$4</x:f>
        <x:v>0.22727272727272727</x:v>
      </x:c>
      <x:c r="E10" s="2"/>
      <x:c r="F10" s="2" t="str">
        <x:v>Evaluative</x:v>
      </x:c>
      <x:c r="G10" s="2" t="n">
        <x:f>COUNTIFS(Coding!$G$2:$G$23,F10)</x:f>
        <x:v>3</x:v>
      </x:c>
      <x:c r="H10" s="8" t="n">
        <x:f>G10/$B$4</x:f>
        <x:v>0.13636363636363635</x:v>
      </x:c>
    </x:row>
    <x:row r="11">
      <x:c r="A11" s="2" t="str">
        <x:v>Correction/Challenge</x:v>
      </x:c>
      <x:c r="B11" s="2" t="n">
        <x:f>COUNTIFS(Coding!$E$2:$E$23,A11)</x:f>
        <x:v>4</x:v>
      </x:c>
      <x:c r="C11" s="2" t="n">
        <x:f>B11+COUNTIFS(Coding!$F$2:$F$23,"Correction/Challenge; Evaluation")+COUNTIFS(Coding!$F$2:$F$23,"Selection/Rejection; Correction/Challenge")</x:f>
        <x:v>6</x:v>
      </x:c>
      <x:c r="D11" s="8" t="n">
        <x:f>C11/$B$4</x:f>
        <x:v>0.2727272727272727</x:v>
      </x:c>
      <x:c r="E11" s="2"/>
      <x:c r="F11" s="2" t="str">
        <x:v>Critical</x:v>
      </x:c>
      <x:c r="G11" s="2" t="n">
        <x:f>COUNTIFS(Coding!$G$2:$G$23,F11)</x:f>
        <x:v>5</x:v>
      </x:c>
      <x:c r="H11" s="8" t="n">
        <x:f>G11/$B$4</x:f>
        <x:v>0.22727272727272727</x:v>
      </x:c>
    </x:row>
    <x:row r="12">
      <x:c r="A12" s="2" t="str">
        <x:v>Redirection</x:v>
      </x:c>
      <x:c r="B12" s="2" t="n">
        <x:f>COUNTIFS(Coding!$E$2:$E$23,A12)</x:f>
        <x:v>1</x:v>
      </x:c>
      <x:c r="C12" s="2" t="n">
        <x:f>B12+COUNTIFS(Coding!$F$2:$F$23,"Redirection; Knowledge injection")+COUNTIFS(Coding!$F$2:$F$23,"Redirection")</x:f>
        <x:v>4</x:v>
      </x:c>
      <x:c r="D12" s="8" t="n">
        <x:f>C12/$B$4</x:f>
        <x:v>0.18181818181818182</x:v>
      </x:c>
      <x:c r="E12" s="2"/>
      <x:c r="F12" s="2" t="str">
        <x:v>Deliberative</x:v>
      </x:c>
      <x:c r="G12" s="2" t="n">
        <x:f>COUNTIFS(Coding!$G$2:$G$23,F12)</x:f>
        <x:v>1</x:v>
      </x:c>
      <x:c r="H12" s="8" t="n">
        <x:f>G12/$B$4</x:f>
        <x:v>0.045454545454545456</x:v>
      </x:c>
    </x:row>
    <x:row r="13">
      <x:c r="A13" s="2" t="str">
        <x:v>Knowledge injection</x:v>
      </x:c>
      <x:c r="B13" s="2" t="n">
        <x:f>COUNTIFS(Coding!$E$2:$E$23,A13)</x:f>
        <x:v>0</x:v>
      </x:c>
      <x:c r="C13" s="2" t="n">
        <x:f>B13+COUNTIFS(Coding!$F$2:$F$23,"Knowledge injection")+COUNTIFS(Coding!$F$2:$F$23,"Directed delegation; Evaluation; Knowledge injection")+COUNTIFS(Coding!$F$2:$F$23,"Selection/Rejection; Knowledge injection")+COUNTIFS(Coding!$F$2:$F$23,"Redirection; Knowledge injection")+COUNTIFS(Coding!$F$2:$F$23,"Directed delegation; Knowledge injection")+COUNTIFS(Coding!$F$2:$F$23,"Selection/Rejection; Directed delegation; Knowledge injection")</x:f>
        <x:v>9</x:v>
      </x:c>
      <x:c r="D13" s="8" t="n">
        <x:f>C13/$B$4</x:f>
        <x:v>0.4090909090909091</x:v>
      </x:c>
      <x:c r="E13" s="2"/>
      <x:c r="F13" s="2"/>
      <x:c r="G13" s="2"/>
      <x:c r="H13" s="2"/>
    </x:row>
    <x:row r="14">
      <x:c r="A14" s="2" t="str">
        <x:v>Selection/Rejection</x:v>
      </x:c>
      <x:c r="B14" s="2" t="n">
        <x:f>COUNTIFS(Coding!$E$2:$E$23,A14)</x:f>
        <x:v>1</x:v>
      </x:c>
      <x:c r="C14" s="2" t="n">
        <x:f>B14+COUNTIFS(Coding!$F$2:$F$23,"Selection/Rejection; Knowledge injection")+COUNTIFS(Coding!$F$2:$F$23,"Selection/Rejection; Directed delegation; Knowledge injection")+COUNTIFS(Coding!$F$2:$F$23,"Selection/Rejection; Correction/Challenge")</x:f>
        <x:v>4</x:v>
      </x:c>
      <x:c r="D14" s="8" t="n">
        <x:f>C14/$B$4</x:f>
        <x:v>0.18181818181818182</x:v>
      </x:c>
      <x:c r="E14" s="2"/>
      <x:c r="F14" s="2"/>
      <x:c r="G14" s="2"/>
      <x:c r="H14" s="2"/>
    </x:row>
    <x:row r="15">
      <x:c r="A15" s="2" t="str">
        <x:v>Deliberation</x:v>
      </x:c>
      <x:c r="B15" s="2" t="n">
        <x:f>COUNTIFS(Coding!$E$2:$E$23,A15)</x:f>
        <x:v>1</x:v>
      </x:c>
      <x:c r="C15" s="2" t="n">
        <x:f>B15</x:f>
        <x:v>1</x:v>
      </x:c>
      <x:c r="D15" s="8" t="n">
        <x:f>C15/$B$4</x:f>
        <x:v>0.045454545454545456</x:v>
      </x:c>
      <x:c r="E15" s="2"/>
      <x:c r="F15" s="2"/>
      <x:c r="G15" s="2"/>
      <x:c r="H15" s="2"/>
    </x:row>
    <x:row r="16">
      <x:c r="A16" s="2"/>
      <x:c r="B16" s="2"/>
      <x:c r="C16" s="2"/>
      <x:c r="D16" s="2"/>
      <x:c r="E16" s="2"/>
      <x:c r="F16" s="2"/>
      <x:c r="G16" s="2"/>
      <x:c r="H16" s="2"/>
    </x:row>
    <x:row r="17">
      <x:c r="A17" s="2"/>
      <x:c r="B17" s="2"/>
      <x:c r="C17" s="2"/>
      <x:c r="D17" s="2"/>
      <x:c r="E17" s="2"/>
      <x:c r="F17" s="2"/>
      <x:c r="G17" s="2"/>
      <x:c r="H17" s="2"/>
    </x:row>
    <x:row r="18" ht="32" customHeight="1">
      <x:c r="A18" s="5" t="str">
        <x:v>Phase</x:v>
      </x:c>
      <x:c r="B18" s="5" t="str">
        <x:v>First turn</x:v>
      </x:c>
      <x:c r="C18" s="5" t="str">
        <x:v>Last turn</x:v>
      </x:c>
      <x:c r="D18" s="5" t="str">
        <x:v>Turns</x:v>
      </x:c>
      <x:c r="E18" s="2"/>
      <x:c r="F18" s="2"/>
      <x:c r="G18" s="2"/>
      <x:c r="H18" s="2"/>
    </x:row>
    <x:row r="19">
      <x:c r="A19" s="2" t="str">
        <x:v>Orientation and planning</x:v>
      </x:c>
      <x:c r="B19" s="2" t="n">
        <x:v>1</x:v>
      </x:c>
      <x:c r="C19" s="2" t="n">
        <x:v>4</x:v>
      </x:c>
      <x:c r="D19" s="2" t="n">
        <x:v>4</x:v>
      </x:c>
      <x:c r="E19" s="2"/>
      <x:c r="F19" s="2"/>
      <x:c r="G19" s="2"/>
      <x:c r="H19" s="2"/>
    </x:row>
    <x:row r="20">
      <x:c r="A20" s="2" t="str">
        <x:v>Abstract and introduction</x:v>
      </x:c>
      <x:c r="B20" s="2" t="n">
        <x:v>5</x:v>
      </x:c>
      <x:c r="C20" s="2" t="n">
        <x:v>14</x:v>
      </x:c>
      <x:c r="D20" s="2" t="n">
        <x:v>10</x:v>
      </x:c>
      <x:c r="E20" s="2"/>
      <x:c r="F20" s="2"/>
      <x:c r="G20" s="2"/>
      <x:c r="H20" s="2"/>
    </x:row>
    <x:row r="21">
      <x:c r="A21" s="2" t="str">
        <x:v>Background drafting</x:v>
      </x:c>
      <x:c r="B21" s="2" t="n">
        <x:v>15</x:v>
      </x:c>
      <x:c r="C21" s="2" t="n">
        <x:v>18</x:v>
      </x:c>
      <x:c r="D21" s="2" t="n">
        <x:v>4</x:v>
      </x:c>
      <x:c r="E21" s="2"/>
      <x:c r="F21" s="2"/>
      <x:c r="G21" s="2"/>
      <x:c r="H21" s="2"/>
    </x:row>
    <x:row r="22">
      <x:c r="A22" s="2" t="str">
        <x:v>Evidence search and scrutiny</x:v>
      </x:c>
      <x:c r="B22" s="2" t="n">
        <x:v>19</x:v>
      </x:c>
      <x:c r="C22" s="2" t="n">
        <x:v>22</x:v>
      </x:c>
      <x:c r="D22" s="2" t="n">
        <x:v>4</x:v>
      </x:c>
      <x:c r="E22" s="2"/>
      <x:c r="F22" s="2"/>
      <x:c r="G22" s="2"/>
      <x:c r="H22" s="2"/>
    </x:row>
    <x:row r="23">
      <x:c r="A23" s="2"/>
      <x:c r="B23" s="2"/>
      <x:c r="C23" s="2"/>
      <x:c r="D23" s="2"/>
      <x:c r="E23" s="2"/>
      <x:c r="F23" s="2"/>
      <x:c r="G23" s="2"/>
      <x:c r="H23" s="2"/>
    </x:row>
    <x:row r="24">
      <x:c r="A24" s="9" t="str">
        <x:v>Key patterns and interpretation</x:v>
      </x:c>
      <x:c r="B24" s="2"/>
      <x:c r="C24" s="2"/>
      <x:c r="D24" s="2"/>
      <x:c r="E24" s="2"/>
      <x:c r="F24" s="2"/>
      <x:c r="G24" s="2"/>
      <x:c r="H24" s="2"/>
    </x:row>
    <x:row r="25" ht="25" customHeight="1">
      <x:c r="A25" s="2" t="str">
        <x:v>Directive is the largest mode: 10/22 turns (45.5%). Delegative: 3; Evaluative: 3; Critical: 5; Deliberative: 1.</x:v>
      </x:c>
      <x:c r="B25" s="2"/>
      <x:c r="C25" s="2"/>
      <x:c r="D25" s="2"/>
      <x:c r="E25" s="2"/>
      <x:c r="F25" s="2"/>
      <x:c r="G25" s="2"/>
      <x:c r="H25" s="2"/>
    </x:row>
    <x:row r="26" ht="25" customHeight="1">
      <x:c r="A26" s="2" t="str">
        <x:v>Agency shifts repeatedly. Drafting requests are interspersed with corrections; the sequence is not a simple one-way progression from delegation to deliberation.</x:v>
      </x:c>
      <x:c r="B26" s="2"/>
      <x:c r="C26" s="2"/>
      <x:c r="D26" s="2"/>
      <x:c r="E26" s="2"/>
      <x:c r="F26" s="2"/>
      <x:c r="G26" s="2"/>
      <x:c r="H26" s="2"/>
    </x:row>
    <x:row r="27" ht="25" customHeight="1">
      <x:c r="A27" s="2" t="str">
        <x:v>P1-006/007 refine failure descriptions and reject wording. P1-010 challenges domain terminology. P1-014 compares resilience and fault-tolerance.</x:v>
      </x:c>
      <x:c r="B27" s="2"/>
      <x:c r="C27" s="2"/>
      <x:c r="D27" s="2"/>
      <x:c r="E27" s="2"/>
      <x:c r="F27" s="2"/>
      <x:c r="G27" s="2"/>
      <x:c r="H27" s="2"/>
    </x:row>
    <x:row r="28" ht="25" customHeight="1">
      <x:c r="A28" s="2" t="str">
        <x:v>P1-020 narrows evidence to MBT. P1-021 requests exact quotes; AI then acknowledges no explicit support in Peleska for its earlier assertion.</x:v>
      </x:c>
      <x:c r="B28" s="2"/>
      <x:c r="C28" s="2"/>
      <x:c r="D28" s="2"/>
      <x:c r="E28" s="2"/>
      <x:c r="F28" s="2"/>
      <x:c r="G28" s="2"/>
      <x:c r="H28" s="2"/>
    </x:row>
    <x:row r="29" ht="25" customHeight="1">
      <x:c r="A29" s="2" t="str">
        <x:v>P1-022 receives a unit-testing source despite the preceding MBT-only constraint. The log ends without further human validation.</x:v>
      </x:c>
      <x:c r="B29" s="2"/>
      <x:c r="C29" s="2"/>
      <x:c r="D29" s="2"/>
      <x:c r="E29" s="2"/>
      <x:c r="F29" s="2"/>
      <x:c r="G29" s="2"/>
      <x:c r="H29" s="2"/>
    </x:row>
    <x:row r="30" ht="25" customHeight="1">
      <x:c r="A30" s="2" t="str">
        <x:v>Evidence judgment is visible in the final four turns. These observations do not establish the validity of cited sources or the researcher’s overall expertise.</x:v>
      </x:c>
      <x:c r="B30" s="2"/>
      <x:c r="C30" s="2"/>
      <x:c r="D30" s="2"/>
      <x:c r="E30" s="2"/>
      <x:c r="F30" s="2"/>
      <x:c r="G30" s="2"/>
      <x:c r="H30" s="2"/>
    </x:row>
    <x:row r="31" ht="25" customHeight="1">
      <x:c r="A31" s="2" t="str">
        <x:v>Counts are descriptive for one exported case. Full prompts, rationale and immediate-response provenance support audit and recoding.</x:v>
      </x:c>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 hidden="0" customWidth="1"/>
    <x:col min="2" max="2" width="9" hidden="0" customWidth="1"/>
    <x:col min="3" max="3" width="27" hidden="0" customWidth="1"/>
    <x:col min="4" max="4" width="58" hidden="0" customWidth="1"/>
    <x:col min="5" max="5" width="26" hidden="0" customWidth="1"/>
    <x:col min="6" max="6" width="36" hidden="0" customWidth="1"/>
    <x:col min="7" max="7" width="17" hidden="0" customWidth="1"/>
    <x:col min="8" max="8" width="38" hidden="0" customWidth="1"/>
    <x:col min="9" max="9" width="62" hidden="0" customWidth="1"/>
    <x:col min="10" max="10" width="65" hidden="0" customWidth="1"/>
    <x:col min="11" max="11" width="21" hidden="0" customWidth="1"/>
    <x:col min="12" max="12" width="23" hidden="0" customWidth="1"/>
    <x:col min="13" max="13" width="33" hidden="0" customWidth="1"/>
  </x:cols>
  <x:sheetData>
    <x:row r="1" ht="32" customHeight="1">
      <x:c r="A1" s="5" t="str">
        <x:v>Turn ID</x:v>
      </x:c>
      <x:c r="B1" s="5" t="str">
        <x:v>Sequence</x:v>
      </x:c>
      <x:c r="C1" s="5" t="str">
        <x:v>Phase</x:v>
      </x:c>
      <x:c r="D1" s="5" t="str">
        <x:v>Prompt excerpt</x:v>
      </x:c>
      <x:c r="E1" s="5" t="str">
        <x:v>Primary interaction type</x:v>
      </x:c>
      <x:c r="F1" s="5" t="str">
        <x:v>Additional interaction types</x:v>
      </x:c>
      <x:c r="G1" s="5" t="str">
        <x:v>Agency mode</x:v>
      </x:c>
      <x:c r="H1" s="5" t="str">
        <x:v>Expertise evidence</x:v>
      </x:c>
      <x:c r="I1" s="5" t="str">
        <x:v>Coding rationale</x:v>
      </x:c>
      <x:c r="J1" s="5" t="str">
        <x:v>Observed outcome / notes</x:v>
      </x:c>
      <x:c r="K1" s="5" t="str">
        <x:v>Prompt provenance</x:v>
      </x:c>
      <x:c r="L1" s="5" t="str">
        <x:v>Response provenance</x:v>
      </x:c>
      <x:c r="M1" s="5" t="str">
        <x:v>Attachment</x:v>
      </x:c>
    </x:row>
    <x:row r="2" ht="48" customHeight="1">
      <x:c r="A2" s="6" t="str">
        <x:v>P1-001</x:v>
      </x:c>
      <x:c r="B2" s="6" t="n">
        <x:v>1</x:v>
      </x:c>
      <x:c r="C2" s="6" t="str">
        <x:v>Orientation and planning</x:v>
      </x:c>
      <x:c r="D2" s="6" t="str">
        <x:v>MBT Fault tolerance</x:v>
      </x:c>
      <x:c r="E2" s="6" t="str">
        <x:v>Delegation</x:v>
      </x:c>
      <x:c r="F2" s="6" t="str"/>
      <x:c r="G2" s="6" t="str">
        <x:v>Delegative</x:v>
      </x:c>
      <x:c r="H2" s="6" t="str">
        <x:v>none</x:v>
      </x:c>
      <x:c r="I2" s="6" t="str">
        <x:v>Topic-only opening with no explicit constraints.</x:v>
      </x:c>
      <x:c r="J2" s="6" t="str">
        <x:v>AI gives a general explanation of MBT fault tolerance.</x:v>
      </x:c>
      <x:c r="K2" s="6" t="str">
        <x:v>p2 L2-2</x:v>
      </x:c>
      <x:c r="L2" s="6" t="str">
        <x:v>p2 L3-25</x:v>
      </x:c>
      <x:c r="M2" s="6" t="str"/>
    </x:row>
    <x:row r="3" ht="56" customHeight="1">
      <x:c r="A3" s="6" t="str">
        <x:v>P1-002</x:v>
      </x:c>
      <x:c r="B3" s="6" t="n">
        <x:v>2</x:v>
      </x:c>
      <x:c r="C3" s="6" t="str">
        <x:v>Orientation and planning</x:v>
      </x:c>
      <x:c r="D3" s="6" t="str">
        <x:v>With a Student of mine, we have done a nice work on this topic. review and understand it</x:v>
      </x:c>
      <x:c r="E3" s="6" t="str">
        <x:v>Evaluation</x:v>
      </x:c>
      <x:c r="F3" s="6" t="str">
        <x:v>Knowledge injection</x:v>
      </x:c>
      <x:c r="G3" s="6" t="str">
        <x:v>Evaluative</x:v>
      </x:c>
      <x:c r="H3" s="6" t="str">
        <x:v>none</x:v>
      </x:c>
      <x:c r="I3" s="6" t="str">
        <x:v>Supplies a thesis and requests review. Attachment contents are not reproduced; supplying it alone does not establish expertise.</x:v>
      </x:c>
      <x:c r="J3" s="6" t="str">
        <x:v>AI summarizes contributions, implementation and evaluation and suggests future work.</x:v>
      </x:c>
      <x:c r="K3" s="6" t="str">
        <x:v>p2 L28-28</x:v>
      </x:c>
      <x:c r="L3" s="6" t="str">
        <x:v>p2 L29-p3 L31</x:v>
      </x:c>
      <x:c r="M3" s="6" t="str">
        <x:v>Student's final report (thesis).docx</x:v>
      </x:c>
    </x:row>
    <x:row r="4" ht="48" customHeight="1">
      <x:c r="A4" s="6" t="str">
        <x:v>P1-003</x:v>
      </x:c>
      <x:c r="B4" s="6" t="n">
        <x:v>3</x:v>
      </x:c>
      <x:c r="C4" s="6" t="str">
        <x:v>Orientation and planning</x:v>
      </x:c>
      <x:c r="D4" s="6" t="str">
        <x:v>Draft a journal paper outline , and give a few good title alternatives</x:v>
      </x:c>
      <x:c r="E4" s="6" t="str">
        <x:v>Delegation</x:v>
      </x:c>
      <x:c r="F4" s="6" t="str"/>
      <x:c r="G4" s="6" t="str">
        <x:v>Delegative</x:v>
      </x:c>
      <x:c r="H4" s="6" t="str">
        <x:v>none</x:v>
      </x:c>
      <x:c r="I4" s="6" t="str">
        <x:v>Requests outline and titles with little substantive specification.</x:v>
      </x:c>
      <x:c r="J4" s="6" t="str">
        <x:v>AI proposes a nine-section outline and five titles.</x:v>
      </x:c>
      <x:c r="K4" s="6" t="str">
        <x:v>p3 L32-32</x:v>
      </x:c>
      <x:c r="L4" s="6" t="str">
        <x:v>p3 L33-p4 L41</x:v>
      </x:c>
      <x:c r="M4" s="6" t="str"/>
    </x:row>
    <x:row r="5" ht="48" customHeight="1">
      <x:c r="A5" s="6" t="str">
        <x:v>P1-004</x:v>
      </x:c>
      <x:c r="B5" s="6" t="n">
        <x:v>4</x:v>
      </x:c>
      <x:c r="C5" s="6" t="str">
        <x:v>Orientation and planning</x:v>
      </x:c>
      <x:c r="D5" s="6" t="str">
        <x:v>here is the draft. how is it?</x:v>
      </x:c>
      <x:c r="E5" s="6" t="str">
        <x:v>Evaluation</x:v>
      </x:c>
      <x:c r="F5" s="6" t="str">
        <x:v>Knowledge injection</x:v>
      </x:c>
      <x:c r="G5" s="6" t="str">
        <x:v>Evaluative</x:v>
      </x:c>
      <x:c r="H5" s="6" t="str">
        <x:v>none</x:v>
      </x:c>
      <x:c r="I5" s="6" t="str">
        <x:v>Supplies manuscript for open-ended assessment. No explicit evaluation criteria.</x:v>
      </x:c>
      <x:c r="J5" s="6" t="str">
        <x:v>AI reviews the draft and suggests abstract, title, evaluation and validity changes.</x:v>
      </x:c>
      <x:c r="K5" s="6" t="str">
        <x:v>p5 L3-3</x:v>
      </x:c>
      <x:c r="L5" s="6" t="str">
        <x:v>p5 L4-p6 L1</x:v>
      </x:c>
      <x:c r="M5" s="6" t="str">
        <x:v>Paper for SPE journal.docx</x:v>
      </x:c>
    </x:row>
    <x:row r="6" ht="48" customHeight="1">
      <x:c r="A6" s="6" t="str">
        <x:v>P1-005</x:v>
      </x:c>
      <x:c r="B6" s="6" t="n">
        <x:v>5</x:v>
      </x:c>
      <x:c r="C6" s="6" t="str">
        <x:v>Abstract and introduction</x:v>
      </x:c>
      <x:c r="D6" s="6" t="str">
        <x:v>give an Abstract in this format: Context: Objective: Method: Results: Conclusion:</x:v>
      </x:c>
      <x:c r="E6" s="6" t="str">
        <x:v>Directed delegation</x:v>
      </x:c>
      <x:c r="F6" s="6" t="str"/>
      <x:c r="G6" s="6" t="str">
        <x:v>Directive</x:v>
      </x:c>
      <x:c r="H6" s="6" t="str">
        <x:v>genre/writing expertise</x:v>
      </x:c>
      <x:c r="I6" s="6" t="str">
        <x:v>Specifies the five-part structured abstract format.</x:v>
      </x:c>
      <x:c r="J6" s="6" t="str">
        <x:v>AI drafts the structured abstract. Later turns correct its descriptions and wording.</x:v>
      </x:c>
      <x:c r="K6" s="6" t="str">
        <x:v>p6 L2-7</x:v>
      </x:c>
      <x:c r="L6" s="6" t="str">
        <x:v>p6 L8-23</x:v>
      </x:c>
      <x:c r="M6" s="6" t="str"/>
    </x:row>
    <x:row r="7" ht="70" customHeight="1">
      <x:c r="A7" s="6" t="str">
        <x:v>P1-006</x:v>
      </x:c>
      <x:c r="B7" s="6" t="n">
        <x:v>6</x:v>
      </x:c>
      <x:c r="C7" s="6" t="str">
        <x:v>Abstract and introduction</x:v>
      </x:c>
      <x:c r="D7" s="6" t="str">
        <x:v>partial system failures. replace with: minor non-blocking assertion fails, e.g., when checking if a text is displayed in a web page fail, but the test can log it and continue. - -- also tell me if this is clear enough</x:v>
      </x:c>
      <x:c r="E7" s="6" t="str">
        <x:v>Correction/Challenge</x:v>
      </x:c>
      <x:c r="F7" s="6" t="str">
        <x:v>Directed delegation; Evaluation; Knowledge injection</x:v>
      </x:c>
      <x:c r="G7" s="6" t="str">
        <x:v>Critical</x:v>
      </x:c>
      <x:c r="H7" s="6" t="str">
        <x:v>domain correction; conceptual discrimination</x:v>
      </x:c>
      <x:c r="I7" s="6" t="str">
        <x:v>Replaces partial system failures with a concrete non-blocking assertion example and requests a clarity check.</x:v>
      </x:c>
      <x:c r="J7" s="6" t="str">
        <x:v>AI revises the Context sentence and offers a more formal alternative.</x:v>
      </x:c>
      <x:c r="K7" s="6" t="str">
        <x:v>p6 L24-26</x:v>
      </x:c>
      <x:c r="L7" s="6" t="str">
        <x:v>p6 L27-35</x:v>
      </x:c>
      <x:c r="M7" s="6" t="str"/>
    </x:row>
    <x:row r="8" ht="84" customHeight="1">
      <x:c r="A8" s="6" t="str">
        <x:v>P1-007</x:v>
      </x:c>
      <x:c r="B8" s="6" t="n">
        <x:v>7</x:v>
      </x:c>
      <x:c r="C8" s="6" t="str">
        <x:v>Abstract and introduction</x:v>
      </x:c>
      <x:c r="D8" s="6" t="str">
        <x:v>skipping unreachable paths was not a nice term. I changed to : by letting MBT test execution continue when a fault was noticed. I also removed "Tests showed correct handling of failures without masking bugs or violating stop conditions." it was a strange ph...</x:v>
      </x:c>
      <x:c r="E8" s="6" t="str">
        <x:v>Correction/Challenge</x:v>
      </x:c>
      <x:c r="F8" s="6" t="str">
        <x:v>Selection/Rejection; Knowledge injection</x:v>
      </x:c>
      <x:c r="G8" s="6" t="str">
        <x:v>Critical</x:v>
      </x:c>
      <x:c r="H8" s="6" t="str">
        <x:v>conceptual discrimination; genre/writing expertise</x:v>
      </x:c>
      <x:c r="I8" s="6" t="str">
        <x:v>Reports changing a description of continuation and removing a sentence judged strange. This is explicit rejection, not inferred acceptance.</x:v>
      </x:c>
      <x:c r="J8" s="6" t="str">
        <x:v>AI endorses the changes and supplies a revised full abstract. No independent validation of results is visible.</x:v>
      </x:c>
      <x:c r="K8" s="6" t="str">
        <x:v>p6 L36-38</x:v>
      </x:c>
      <x:c r="L8" s="6" t="str">
        <x:v>p6 L39-p7 L16</x:v>
      </x:c>
      <x:c r="M8" s="6" t="str"/>
    </x:row>
    <x:row r="9" ht="48" customHeight="1">
      <x:c r="A9" s="6" t="str">
        <x:v>P1-008</x:v>
      </x:c>
      <x:c r="B9" s="6" t="n">
        <x:v>8</x:v>
      </x:c>
      <x:c r="C9" s="6" t="str">
        <x:v>Abstract and introduction</x:v>
      </x:c>
      <x:c r="D9" s="6" t="str">
        <x:v>give 8 Keywords separated by ;</x:v>
      </x:c>
      <x:c r="E9" s="6" t="str">
        <x:v>Directed delegation</x:v>
      </x:c>
      <x:c r="F9" s="6" t="str"/>
      <x:c r="G9" s="6" t="str">
        <x:v>Directive</x:v>
      </x:c>
      <x:c r="H9" s="6" t="str">
        <x:v>none</x:v>
      </x:c>
      <x:c r="I9" s="6" t="str">
        <x:v>Specifies number and delimiter only. Routine formatting is not sufficient evidence of specialist expertise.</x:v>
      </x:c>
      <x:c r="J9" s="6" t="str">
        <x:v>AI returns eight semicolon-separated keywords.</x:v>
      </x:c>
      <x:c r="K9" s="6" t="str">
        <x:v>p7 L17-17</x:v>
      </x:c>
      <x:c r="L9" s="6" t="str">
        <x:v>p7 L18-19</x:v>
      </x:c>
      <x:c r="M9" s="6" t="str"/>
    </x:row>
    <x:row r="10" ht="84" customHeight="1">
      <x:c r="A10" s="6" t="str">
        <x:v>P1-009</x:v>
      </x:c>
      <x:c r="B10" s="6" t="n">
        <x:v>9</x:v>
      </x:c>
      <x:c r="C10" s="6" t="str">
        <x:v>Abstract and introduction</x:v>
      </x:c>
      <x:c r="D10" s="6" t="str">
        <x:v>give 1 INTRODUCTION Motivation: Limitations of current MBT tools in handling assertion failures (non-fault tolerant) Practical implications (eg, flaky tests, wasted executions) Objectives: Propose and evaluate two fault-tolerance heuristics in GraphWalker C...</x:v>
      </x:c>
      <x:c r="E10" s="6" t="str">
        <x:v>Directed delegation</x:v>
      </x:c>
      <x:c r="F10" s="6" t="str"/>
      <x:c r="G10" s="6" t="str">
        <x:v>Directive</x:v>
      </x:c>
      <x:c r="H10" s="6" t="str">
        <x:v>argumentative judgment; genre/writing expertise</x:v>
      </x:c>
      <x:c r="I10" s="6" t="str">
        <x:v>Specifies motivation, practical implications, objectives and contribution summary. These partly repeat the AI outline; independent origination is not established.</x:v>
      </x:c>
      <x:c r="J10" s="6" t="str">
        <x:v>AI drafts the introduction following the requested structure.</x:v>
      </x:c>
      <x:c r="K10" s="6" t="str">
        <x:v>p7 L20-24</x:v>
      </x:c>
      <x:c r="L10" s="6" t="str">
        <x:v>p7 L26-p8 L2</x:v>
      </x:c>
      <x:c r="M10" s="6" t="str"/>
    </x:row>
    <x:row r="11" ht="56" customHeight="1">
      <x:c r="A11" s="6" t="str">
        <x:v>P1-010</x:v>
      </x:c>
      <x:c r="B11" s="6" t="n">
        <x:v>10</x:v>
      </x:c>
      <x:c r="C11" s="6" t="str">
        <x:v>Abstract and introduction</x:v>
      </x:c>
      <x:c r="D11" s="6" t="str">
        <x:v>_fail-fast_. this term is not used in the MBT context. replace it</x:v>
      </x:c>
      <x:c r="E11" s="6" t="str">
        <x:v>Correction/Challenge</x:v>
      </x:c>
      <x:c r="F11" s="6" t="str">
        <x:v>Redirection; Knowledge injection</x:v>
      </x:c>
      <x:c r="G11" s="6" t="str">
        <x:v>Critical</x:v>
      </x:c>
      <x:c r="H11" s="6" t="str">
        <x:v>domain correction</x:v>
      </x:c>
      <x:c r="I11" s="6" t="str">
        <x:v>Challenges use of fail-fast as MBT terminology and requests replacement. The code records the judgment, not independent proof of its correctness.</x:v>
      </x:c>
      <x:c r="J11" s="6" t="str">
        <x:v>AI agrees and replaces the wording with termination upon assertion failure.</x:v>
      </x:c>
      <x:c r="K11" s="6" t="str">
        <x:v>p8 L3-4</x:v>
      </x:c>
      <x:c r="L11" s="6" t="str">
        <x:v>p8 L5-15</x:v>
      </x:c>
      <x:c r="M11" s="6" t="str"/>
    </x:row>
    <x:row r="12" ht="84" customHeight="1">
      <x:c r="A12" s="6" t="str">
        <x:v>P1-011</x:v>
      </x:c>
      <x:c r="B12" s="6" t="n">
        <x:v>11</x:v>
      </x:c>
      <x:c r="C12" s="6" t="str">
        <x:v>Abstract and introduction</x:v>
      </x:c>
      <x:c r="D12" s="6" t="str">
        <x:v>I like this phrase from Wikipedia: Fail-fast architectures are based on an error handling policy where any detected error or non-contemplated state makes the system fail (fast). In some sense, the error-handling policy is the opposite of that used in a faul...</x:v>
      </x:c>
      <x:c r="E12" s="6" t="str">
        <x:v>Selection/Rejection</x:v>
      </x:c>
      <x:c r="F12" s="6" t="str">
        <x:v>Directed delegation; Knowledge injection</x:v>
      </x:c>
      <x:c r="G12" s="6" t="str">
        <x:v>Directive</x:v>
      </x:c>
      <x:c r="H12" s="6" t="str">
        <x:v>conceptual discrimination; argumentative judgment</x:v>
      </x:c>
      <x:c r="I12" s="6" t="str">
        <x:v>Selects a Wikipedia definition to clarify the relation between fail-fast and fault tolerance. External text is human-selected, not human-originated.</x:v>
      </x:c>
      <x:c r="J12" s="6" t="str">
        <x:v>AI incorporates the selected definition and reintroduces fail-fast with an explanation.</x:v>
      </x:c>
      <x:c r="K12" s="6" t="str">
        <x:v>p8 L16-18</x:v>
      </x:c>
      <x:c r="L12" s="6" t="str">
        <x:v>p8 L20-28</x:v>
      </x:c>
      <x:c r="M12" s="6" t="str"/>
    </x:row>
    <x:row r="13" ht="56" customHeight="1">
      <x:c r="A13" s="6" t="str">
        <x:v>P1-012</x:v>
      </x:c>
      <x:c r="B13" s="6" t="n">
        <x:v>12</x:v>
      </x:c>
      <x:c r="C13" s="6" t="str">
        <x:v>Abstract and introduction</x:v>
      </x:c>
      <x:c r="D13" s="6" t="str">
        <x:v>I wrote Sec 1 as: Model-Based Testing (MBT) is a black-box testing approach ... replace "waste" in "waste execution effort". I do not like that work</x:v>
      </x:c>
      <x:c r="E13" s="6" t="str">
        <x:v>Correction/Challenge</x:v>
      </x:c>
      <x:c r="F13" s="6" t="str">
        <x:v>Selection/Rejection; Directed delegation; Knowledge injection</x:v>
      </x:c>
      <x:c r="G13" s="6" t="str">
        <x:v>Critical</x:v>
      </x:c>
      <x:c r="H13" s="6" t="str">
        <x:v>genre/writing expertise; argumentative judgment</x:v>
      </x:c>
      <x:c r="I13" s="6" t="str">
        <x:v>Supplies a rewritten introduction with references and contributions, then rejects waste as wording. Coding distinguishes supplied text from the narrow explicit edit.</x:v>
      </x:c>
      <x:c r="J13" s="6" t="str">
        <x:v>AI proposes consume unnecessary execution effort and three alternatives. No final selection is logged.</x:v>
      </x:c>
      <x:c r="K13" s="6" t="str">
        <x:v>p8 L29-p9 L7</x:v>
      </x:c>
      <x:c r="L13" s="6" t="str">
        <x:v>p9 L9-18</x:v>
      </x:c>
      <x:c r="M13" s="6" t="str"/>
    </x:row>
    <x:row r="14" ht="48" customHeight="1">
      <x:c r="A14" s="6" t="str">
        <x:v>P1-013</x:v>
      </x:c>
      <x:c r="B14" s="6" t="n">
        <x:v>13</x:v>
      </x:c>
      <x:c r="C14" s="6" t="str">
        <x:v>Abstract and introduction</x:v>
      </x:c>
      <x:c r="D14" s="6" t="str">
        <x:v>give a para for paper structure</x:v>
      </x:c>
      <x:c r="E14" s="6" t="str">
        <x:v>Delegation</x:v>
      </x:c>
      <x:c r="F14" s="6" t="str"/>
      <x:c r="G14" s="6" t="str">
        <x:v>Delegative</x:v>
      </x:c>
      <x:c r="H14" s="6" t="str">
        <x:v>none</x:v>
      </x:c>
      <x:c r="I14" s="6" t="str">
        <x:v>Requests a standard paper-structure paragraph without further specification.</x:v>
      </x:c>
      <x:c r="J14" s="6" t="str">
        <x:v>AI supplies a section-by-section roadmap.</x:v>
      </x:c>
      <x:c r="K14" s="6" t="str">
        <x:v>p9 L19-19</x:v>
      </x:c>
      <x:c r="L14" s="6" t="str">
        <x:v>p9 L20-25</x:v>
      </x:c>
      <x:c r="M14" s="6" t="str"/>
    </x:row>
    <x:row r="15" ht="56" customHeight="1">
      <x:c r="A15" s="6" t="str">
        <x:v>P1-014</x:v>
      </x:c>
      <x:c r="B15" s="6" t="n">
        <x:v>14</x:v>
      </x:c>
      <x:c r="C15" s="6" t="str">
        <x:v>Abstract and introduction</x:v>
      </x:c>
      <x:c r="D15" s="6" t="str">
        <x:v>confusion: shall we use MBT resilience, or MBT Fault-Tolerance? using either in different parts of the paper is confusing</x:v>
      </x:c>
      <x:c r="E15" s="6" t="str">
        <x:v>Deliberation</x:v>
      </x:c>
      <x:c r="F15" s="6" t="str">
        <x:v>Correction/Challenge; Evaluation</x:v>
      </x:c>
      <x:c r="G15" s="6" t="str">
        <x:v>Deliberative</x:v>
      </x:c>
      <x:c r="H15" s="6" t="str">
        <x:v>conceptual discrimination; genre/writing expertise</x:v>
      </x:c>
      <x:c r="I15" s="6" t="str">
        <x:v>Identifies inconsistency and asks which of resilience and fault-tolerance should frame the paper.</x:v>
      </x:c>
      <x:c r="J15" s="6" t="str">
        <x:v>AI recommends fault-tolerance as primary and offers a distinction from resilience. Human adoption is not explicitly logged.</x:v>
      </x:c>
      <x:c r="K15" s="6" t="str">
        <x:v>p9 L26-26</x:v>
      </x:c>
      <x:c r="L15" s="6" t="str">
        <x:v>p9 L27-37</x:v>
      </x:c>
      <x:c r="M15" s="6" t="str"/>
    </x:row>
    <x:row r="16" ht="70" customHeight="1">
      <x:c r="A16" s="6" t="str">
        <x:v>P1-015</x:v>
      </x:c>
      <x:c r="B16" s="6" t="n">
        <x:v>15</x:v>
      </x:c>
      <x:c r="C16" s="6" t="str">
        <x:v>Background drafting</x:v>
      </x:c>
      <x:c r="D16" s="6" t="str">
        <x:v>here is the latest draft. generate 2 BACKGROUND AND RELATED WORK. ensuring adding an opening parag. Note: I have 2.1 and 2.2 ready already. generate the other subsections of it</x:v>
      </x:c>
      <x:c r="E16" s="6" t="str">
        <x:v>Directed delegation</x:v>
      </x:c>
      <x:c r="F16" s="6" t="str">
        <x:v>Knowledge injection</x:v>
      </x:c>
      <x:c r="G16" s="6" t="str">
        <x:v>Directive</x:v>
      </x:c>
      <x:c r="H16" s="6" t="str">
        <x:v>genre/writing expertise</x:v>
      </x:c>
      <x:c r="I16" s="6" t="str">
        <x:v>Defines missing scope: opening paragraph and subsections other than completed 2.1 and 2.2.</x:v>
      </x:c>
      <x:c r="J16" s="6" t="str">
        <x:v>AI drafts opening plus 2.3-2.5 and leaves 2.1-2.2 as already written.</x:v>
      </x:c>
      <x:c r="K16" s="6" t="str">
        <x:v>p9 L40-41</x:v>
      </x:c>
      <x:c r="L16" s="6" t="str">
        <x:v>p10 L1-39</x:v>
      </x:c>
      <x:c r="M16" s="6" t="str">
        <x:v>Paper for SPE journal.docx</x:v>
      </x:c>
    </x:row>
    <x:row r="17" ht="70" customHeight="1">
      <x:c r="A17" s="6" t="str">
        <x:v>P1-016</x:v>
      </x:c>
      <x:c r="B17" s="6" t="n">
        <x:v>16</x:v>
      </x:c>
      <x:c r="C17" s="6" t="str">
        <x:v>Background drafting</x:v>
      </x:c>
      <x:c r="D17" s="6" t="str">
        <x:v>for Sec 2, give me a paragraph on: Despite this maturity, MBT still faces notable barriers to widespread adoption in practice , including: .... "limitations in failure handling and robustness during test execution. "</x:v>
      </x:c>
      <x:c r="E17" s="6" t="str">
        <x:v>Directed delegation</x:v>
      </x:c>
      <x:c r="F17" s="6" t="str"/>
      <x:c r="G17" s="6" t="str">
        <x:v>Directive</x:v>
      </x:c>
      <x:c r="H17" s="6" t="str">
        <x:v>argumentative judgment</x:v>
      </x:c>
      <x:c r="I17" s="6" t="str">
        <x:v>Specifies adoption-barrier framing and the particular failure-handling issue to include. Wording reuses preceding AI text.</x:v>
      </x:c>
      <x:c r="J17" s="6" t="str">
        <x:v>AI supplies an adoption-barriers paragraph. Claims are not independently checked in this analysis.</x:v>
      </x:c>
      <x:c r="K17" s="6" t="str">
        <x:v>p10 L41-42</x:v>
      </x:c>
      <x:c r="L17" s="6" t="str">
        <x:v>p10 L43-p11 L5</x:v>
      </x:c>
      <x:c r="M17" s="6" t="str"/>
    </x:row>
    <x:row r="18" ht="56" customHeight="1">
      <x:c r="A18" s="6" t="str">
        <x:v>P1-017</x:v>
      </x:c>
      <x:c r="B18" s="6" t="n">
        <x:v>17</x:v>
      </x:c>
      <x:c r="C18" s="6" t="str">
        <x:v>Background drafting</x:v>
      </x:c>
      <x:c r="D18" s="6" t="str">
        <x:v>I add a new subsec, 2.3 Limitations of most MBT tools in failure handling: Stopping the entire test by any non-critical assertion failure. ... expand its text</x:v>
      </x:c>
      <x:c r="E18" s="6" t="str">
        <x:v>Directed delegation</x:v>
      </x:c>
      <x:c r="F18" s="6" t="str">
        <x:v>Redirection; Knowledge injection</x:v>
      </x:c>
      <x:c r="G18" s="6" t="str">
        <x:v>Directive</x:v>
      </x:c>
      <x:c r="H18" s="6" t="str">
        <x:v>argumentative judgment; conceptual discrimination</x:v>
      </x:c>
      <x:c r="I18" s="6" t="str">
        <x:v>Introduces a focused subsection on stopping after non-critical assertion failures, replacing the previous broader 2.3 framing.</x:v>
      </x:c>
      <x:c r="J18" s="6" t="str">
        <x:v>AI expands the human-specified subsection.</x:v>
      </x:c>
      <x:c r="K18" s="6" t="str">
        <x:v>p11 L8-9</x:v>
      </x:c>
      <x:c r="L18" s="6" t="str">
        <x:v>p11 L10-30</x:v>
      </x:c>
      <x:c r="M18" s="6" t="str">
        <x:v>Paper for SPE journal.docx</x:v>
      </x:c>
    </x:row>
    <x:row r="19" ht="56" customHeight="1">
      <x:c r="A19" s="6" t="str">
        <x:v>P1-018</x:v>
      </x:c>
      <x:c r="B19" s="6" t="n">
        <x:v>18</x:v>
      </x:c>
      <x:c r="C19" s="6" t="str">
        <x:v>Background drafting</x:v>
      </x:c>
      <x:c r="D19" s="6" t="str">
        <x:v>can you make the subsec heading shorter? 2.3 Limitations of most MBT tools in failure handling: Stopping the entire test by any non-critical assertion failure</x:v>
      </x:c>
      <x:c r="E19" s="6" t="str">
        <x:v>Directed delegation</x:v>
      </x:c>
      <x:c r="F19" s="6" t="str"/>
      <x:c r="G19" s="6" t="str">
        <x:v>Directive</x:v>
      </x:c>
      <x:c r="H19" s="6" t="str">
        <x:v>genre/writing expertise</x:v>
      </x:c>
      <x:c r="I19" s="6" t="str">
        <x:v>Identifies excessive heading length and requests brevity.</x:v>
      </x:c>
      <x:c r="J19" s="6" t="str">
        <x:v>AI offers seven alternatives and recommends two. No human choice is visible.</x:v>
      </x:c>
      <x:c r="K19" s="6" t="str">
        <x:v>p11 L31-32</x:v>
      </x:c>
      <x:c r="L19" s="6" t="str">
        <x:v>p11 L33-45</x:v>
      </x:c>
      <x:c r="M19" s="6" t="str"/>
    </x:row>
    <x:row r="20" ht="70" customHeight="1">
      <x:c r="A20" s="6" t="str">
        <x:v>P1-019</x:v>
      </x:c>
      <x:c r="B20" s="6" t="n">
        <x:v>19</x:v>
      </x:c>
      <x:c r="C20" s="6" t="str">
        <x:v>Evidence search and scrutiny</x:v>
      </x:c>
      <x:c r="D20" s="6" t="str">
        <x:v>find some good academic and grey literature for about: 2.3 Limitations of most MBT tools in failure handling: Stopping the entire test by any non-critical assertion failure</x:v>
      </x:c>
      <x:c r="E20" s="6" t="str">
        <x:v>Directed delegation</x:v>
      </x:c>
      <x:c r="F20" s="6" t="str"/>
      <x:c r="G20" s="6" t="str">
        <x:v>Directive</x:v>
      </x:c>
      <x:c r="H20" s="6" t="str">
        <x:v>evidence judgment</x:v>
      </x:c>
      <x:c r="I20" s="6" t="str">
        <x:v>Requests academic and grey literature to support a specified claim. This expresses an evidential need, not verification of retrieved sources.</x:v>
      </x:c>
      <x:c r="J20" s="6" t="str">
        <x:v>AI lists sources including broader testing studies and proposes text.</x:v>
      </x:c>
      <x:c r="K20" s="6" t="str">
        <x:v>p12 L1-2</x:v>
      </x:c>
      <x:c r="L20" s="6" t="str">
        <x:v>p12 L3-27</x:v>
      </x:c>
      <x:c r="M20" s="6" t="str"/>
    </x:row>
    <x:row r="21" ht="48" customHeight="1">
      <x:c r="A21" s="6" t="str">
        <x:v>P1-020</x:v>
      </x:c>
      <x:c r="B21" s="6" t="n">
        <x:v>20</x:v>
      </x:c>
      <x:c r="C21" s="6" t="str">
        <x:v>Evidence search and scrutiny</x:v>
      </x:c>
      <x:c r="D21" s="6" t="str">
        <x:v>I want only those explicitly talking about MBT, in this issue</x:v>
      </x:c>
      <x:c r="E21" s="6" t="str">
        <x:v>Redirection</x:v>
      </x:c>
      <x:c r="F21" s="6" t="str">
        <x:v>Selection/Rejection; Correction/Challenge</x:v>
      </x:c>
      <x:c r="G21" s="6" t="str">
        <x:v>Critical</x:v>
      </x:c>
      <x:c r="H21" s="6" t="str">
        <x:v>evidence judgment; methodological judgment</x:v>
      </x:c>
      <x:c r="I21" s="6" t="str">
        <x:v>Rejects out-of-scope evidence and sets explicit MBT-specific inclusion criterion.</x:v>
      </x:c>
      <x:c r="J21" s="6" t="str">
        <x:v>AI returns Garousi and Peleska as MBT-specific sources. The next turn probes the Peleska claim.</x:v>
      </x:c>
      <x:c r="K21" s="6" t="str">
        <x:v>p12 L28-28</x:v>
      </x:c>
      <x:c r="L21" s="6" t="str">
        <x:v>p12 L29-45</x:v>
      </x:c>
      <x:c r="M21" s="6" t="str"/>
    </x:row>
    <x:row r="22" ht="56" customHeight="1">
      <x:c r="A22" s="6" t="str">
        <x:v>P1-021</x:v>
      </x:c>
      <x:c r="B22" s="6" t="n">
        <x:v>21</x:v>
      </x:c>
      <x:c r="C22" s="6" t="str">
        <x:v>Evidence search and scrutiny</x:v>
      </x:c>
      <x:c r="D22" s="6" t="str">
        <x:v>Peleska (2013) – “Industrial‑Strength Model‑Based Testing – State of the Art and Current Challenges” find the exact related quotes from that paper</x:v>
      </x:c>
      <x:c r="E22" s="6" t="str">
        <x:v>Evaluation</x:v>
      </x:c>
      <x:c r="F22" s="6" t="str">
        <x:v>Directed delegation</x:v>
      </x:c>
      <x:c r="G22" s="6" t="str">
        <x:v>Evaluative</x:v>
      </x:c>
      <x:c r="H22" s="6" t="str">
        <x:v>evidence judgment</x:v>
      </x:c>
      <x:c r="I22" s="6" t="str">
        <x:v>Requests exact related quotations to test the relevance of a previously recommended paper. No explicit accusation or error diagnosis in the prompt.</x:v>
      </x:c>
      <x:c r="J22" s="6" t="str">
        <x:v>AI acknowledges it cannot find explicit Peleska support for the assertion-handling claim and points to Garousi.</x:v>
      </x:c>
      <x:c r="K22" s="6" t="str">
        <x:v>p13 L1-2</x:v>
      </x:c>
      <x:c r="L22" s="6" t="str">
        <x:v>p13 L3-11</x:v>
      </x:c>
      <x:c r="M22" s="6" t="str"/>
    </x:row>
    <x:row r="23" ht="56" customHeight="1">
      <x:c r="A23" s="6" t="str">
        <x:v>P1-022</x:v>
      </x:c>
      <x:c r="B23" s="6" t="n">
        <x:v>22</x:v>
      </x:c>
      <x:c r="C23" s="6" t="str">
        <x:v>Evidence search and scrutiny</x:v>
      </x:c>
      <x:c r="D23" s="6" t="str">
        <x:v>search again for other sources, for the limitation on assertion-handling behavior, so that I can base my claims on</x:v>
      </x:c>
      <x:c r="E23" s="6" t="str">
        <x:v>Directed delegation</x:v>
      </x:c>
      <x:c r="F23" s="6" t="str">
        <x:v>Redirection</x:v>
      </x:c>
      <x:c r="G23" s="6" t="str">
        <x:v>Directive</x:v>
      </x:c>
      <x:c r="H23" s="6" t="str">
        <x:v>evidence judgment</x:v>
      </x:c>
      <x:c r="I23" s="6" t="str">
        <x:v>Renews search for support for the assertion-handling claim after the previous source lacks explicit support.</x:v>
      </x:c>
      <x:c r="J23" s="6" t="str">
        <x:v>AI returns Garousi and Uddin; it acknowledges Uddin concerns unit testing. Earlier MBT-only criterion is not fully met. No further human response is in the PDF.</x:v>
      </x:c>
      <x:c r="K23" s="6" t="str">
        <x:v>p13 L12-12</x:v>
      </x:c>
      <x:c r="L23" s="6" t="str">
        <x:v>p13 L13-30</x:v>
      </x:c>
      <x:c r="M23" s="6" t="str"/>
    </x:row>
  </x:sheetData>
  <x:pageMargins left="0.7" right="0.7" top="0.75" bottom="0.75" header="0.3" footer="0.3"/>
  <x:tableParts count="1">
    <x:tablePart xmlns:r="http://schemas.openxmlformats.org/officeDocument/2006/relationships" r:id="Rbb4b2a586f20430d"/>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 hidden="0" customWidth="1"/>
    <x:col min="2" max="2" width="9" hidden="0" customWidth="1"/>
    <x:col min="3" max="3" width="24" hidden="0" customWidth="1"/>
    <x:col min="4" max="4" width="38" hidden="0" customWidth="1"/>
    <x:col min="5" max="5" width="135" hidden="0" customWidth="1"/>
  </x:cols>
  <x:sheetData>
    <x:row r="1" ht="32" customHeight="1">
      <x:c r="A1" s="5" t="str">
        <x:v>Turn ID</x:v>
      </x:c>
      <x:c r="B1" s="5" t="str">
        <x:v>Sequence</x:v>
      </x:c>
      <x:c r="C1" s="5" t="str">
        <x:v>Prompt provenance</x:v>
      </x:c>
      <x:c r="D1" s="5" t="str">
        <x:v>Attachment</x:v>
      </x:c>
      <x:c r="E1" s="5" t="str">
        <x:v>Full human prompt</x:v>
      </x:c>
    </x:row>
    <x:row r="2" ht="48" customHeight="1">
      <x:c r="A2" s="6" t="str">
        <x:v>P1-001</x:v>
      </x:c>
      <x:c r="B2" s="6" t="n">
        <x:v>1</x:v>
      </x:c>
      <x:c r="C2" s="6" t="str">
        <x:v>p2 L2-2</x:v>
      </x:c>
      <x:c r="D2" s="6" t="str"/>
      <x:c r="E2" s="6" t="str">
        <x:v>MBT Fault tolerance</x:v>
      </x:c>
    </x:row>
    <x:row r="3" ht="48" customHeight="1">
      <x:c r="A3" s="6" t="str">
        <x:v>P1-002</x:v>
      </x:c>
      <x:c r="B3" s="6" t="n">
        <x:v>2</x:v>
      </x:c>
      <x:c r="C3" s="6" t="str">
        <x:v>p2 L28-28</x:v>
      </x:c>
      <x:c r="D3" s="6" t="str">
        <x:v>Student's final report (thesis).docx</x:v>
      </x:c>
      <x:c r="E3" s="6" t="str">
        <x:v>With a Student of mine, we have done a nice work on this topic. review and understand it</x:v>
      </x:c>
    </x:row>
    <x:row r="4" ht="48" customHeight="1">
      <x:c r="A4" s="6" t="str">
        <x:v>P1-003</x:v>
      </x:c>
      <x:c r="B4" s="6" t="n">
        <x:v>3</x:v>
      </x:c>
      <x:c r="C4" s="6" t="str">
        <x:v>p3 L32-32</x:v>
      </x:c>
      <x:c r="D4" s="6" t="str"/>
      <x:c r="E4" s="6" t="str">
        <x:v>Draft a journal paper outline , and give a few good title alternatives</x:v>
      </x:c>
    </x:row>
    <x:row r="5" ht="48" customHeight="1">
      <x:c r="A5" s="6" t="str">
        <x:v>P1-004</x:v>
      </x:c>
      <x:c r="B5" s="6" t="n">
        <x:v>4</x:v>
      </x:c>
      <x:c r="C5" s="6" t="str">
        <x:v>p5 L3-3</x:v>
      </x:c>
      <x:c r="D5" s="6" t="str">
        <x:v>Paper for SPE journal.docx</x:v>
      </x:c>
      <x:c r="E5" s="6" t="str">
        <x:v>here is the draft. how is it?</x:v>
      </x:c>
    </x:row>
    <x:row r="6" ht="48" customHeight="1">
      <x:c r="A6" s="6" t="str">
        <x:v>P1-005</x:v>
      </x:c>
      <x:c r="B6" s="6" t="n">
        <x:v>5</x:v>
      </x:c>
      <x:c r="C6" s="6" t="str">
        <x:v>p6 L2-7</x:v>
      </x:c>
      <x:c r="D6" s="6" t="str"/>
      <x:c r="E6" s="6" t="str">
        <x:v>give an Abstract in this format:
Context:
Objective:
Method:
Results:
Conclusion:</x:v>
      </x:c>
    </x:row>
    <x:row r="7" ht="48" customHeight="1">
      <x:c r="A7" s="6" t="str">
        <x:v>P1-006</x:v>
      </x:c>
      <x:c r="B7" s="6" t="n">
        <x:v>6</x:v>
      </x:c>
      <x:c r="C7" s="6" t="str">
        <x:v>p6 L24-26</x:v>
      </x:c>
      <x:c r="D7" s="6" t="str"/>
      <x:c r="E7" s="6" t="str">
        <x:v>partial system failures.
replace with: minor non-blocking assertion fails, e.g., when checking if a text is displayed in a web page fail, but the test can log it and continue. -
-- also tell me if this is clear enough</x:v>
      </x:c>
    </x:row>
    <x:row r="8" ht="48" customHeight="1">
      <x:c r="A8" s="6" t="str">
        <x:v>P1-007</x:v>
      </x:c>
      <x:c r="B8" s="6" t="n">
        <x:v>7</x:v>
      </x:c>
      <x:c r="C8" s="6" t="str">
        <x:v>p6 L36-38</x:v>
      </x:c>
      <x:c r="D8" s="6" t="str"/>
      <x:c r="E8" s="6" t="str">
        <x:v>skipping unreachable paths
was not a nice term. I changed to : by letting MBT test execution continue when a fault was noticed. I also removed "Tests showed correct
handling of failures without masking bugs or violating stop conditions." it was a strange phrase</x:v>
      </x:c>
    </x:row>
    <x:row r="9" ht="48" customHeight="1">
      <x:c r="A9" s="6" t="str">
        <x:v>P1-008</x:v>
      </x:c>
      <x:c r="B9" s="6" t="n">
        <x:v>8</x:v>
      </x:c>
      <x:c r="C9" s="6" t="str">
        <x:v>p7 L17-17</x:v>
      </x:c>
      <x:c r="D9" s="6" t="str"/>
      <x:c r="E9" s="6" t="str">
        <x:v>give 8 Keywords separated by ;</x:v>
      </x:c>
    </x:row>
    <x:row r="10" ht="60" customHeight="1">
      <x:c r="A10" s="6" t="str">
        <x:v>P1-009</x:v>
      </x:c>
      <x:c r="B10" s="6" t="n">
        <x:v>9</x:v>
      </x:c>
      <x:c r="C10" s="6" t="str">
        <x:v>p7 L20-24</x:v>
      </x:c>
      <x:c r="D10" s="6" t="str"/>
      <x:c r="E10" s="6" t="str">
        <x:v>give 1 INTRODUCTION
Motivation: Limitations of current MBT tools in handling assertion failures (non-fault tolerant)
Practical implications (eg, flaky tests, wasted executions)
Objectives: Propose and evaluate two fault-tolerance heuristics in GraphWalker
Contribution summary</x:v>
      </x:c>
    </x:row>
    <x:row r="11" ht="48" customHeight="1">
      <x:c r="A11" s="6" t="str">
        <x:v>P1-010</x:v>
      </x:c>
      <x:c r="B11" s="6" t="n">
        <x:v>10</x:v>
      </x:c>
      <x:c r="C11" s="6" t="str">
        <x:v>p8 L3-4</x:v>
      </x:c>
      <x:c r="D11" s="6" t="str"/>
      <x:c r="E11" s="6" t="str">
        <x:v>_fail-fast_.
this term is not used in the MBT context. replace it</x:v>
      </x:c>
    </x:row>
    <x:row r="12" ht="60" customHeight="1">
      <x:c r="A12" s="6" t="str">
        <x:v>P1-011</x:v>
      </x:c>
      <x:c r="B12" s="6" t="n">
        <x:v>11</x:v>
      </x:c>
      <x:c r="C12" s="6" t="str">
        <x:v>p8 L16-18</x:v>
      </x:c>
      <x:c r="D12" s="6" t="str"/>
      <x:c r="E12" s="6" t="str">
        <x:v>I like this phrase from Wikipedia: Fail-fast architectures are based on an error handling policy where any detected error or non-contemplated
state makes the system fail (fast). In some sense, the error-handling policy is the opposite of that used in a fault-tolerant system. --- include it in
that part of Sec 1</x:v>
      </x:c>
    </x:row>
    <x:row r="13" ht="360" customHeight="1">
      <x:c r="A13" s="6" t="str">
        <x:v>P1-012</x:v>
      </x:c>
      <x:c r="B13" s="6" t="n">
        <x:v>12</x:v>
      </x:c>
      <x:c r="C13" s="6" t="str">
        <x:v>p8 L29-p9 L7</x:v>
      </x:c>
      <x:c r="D13" s="6" t="str"/>
      <x:c r="E13" s="6" t="str">
        <x:v>I wrote Sec 1 as: Model-Based Testing (MBT) is a black-box testing approach that enables automated test generation (test-case design) from
certain types of behavioral models [1, 2].
Although MBT has existed for over 55 years now—starting with a technical report [3] by IBM in 1970 presenting a MBT test tool to generate test
cases based on Cause-Effect Graphs “most developers [still] don’t view MBT as a mainstream [testing] approach” [4]. Numerous studies have
mentioned key barriers to industrial MBT adoption [2, 4-9], including: (1) lack of awareness and training about MBT, (2) issues with and
limitations of existing MBT tools, and (3) non-trivial upfront modeling effort.
Referring to the item #2 above, many existing MBT tools have one key limitations: test execution is immediately terminated upon encountering
an assertion failure. In other words, once a single fault is detected by the test model in execution, the remaining parts of the model are not
exercised, and test generation halts prematurely. This "strict" failure-handling behavior reduces the practicality and robustness of MBT in large-
scale or long-running test scenarios. The afore-mentioned failure-handling behavior is also often referred to as "fail-fast" [10-12].
In real-world industrial testing, such strict fail-fast behavior can be counterproductive. It leads to test session interruptions due to flaky tests [13]
—tests that intermittently fail due to non-deterministic issues such as timing delays or temporary UI inconsistencies. These minor, often non-
critical assertion failures—such as checking whether a UI element is visible—could be logged and skipped without stopping the remainder of the
test session. However, without built-in fault-tolerance mechanisms, current MBT tools (all those that we have assessed [14]) waste execution
effort and limit model coverage whenever such a non-critical failure is encountered.
This paper addresses the above limitation by proposing and evaluating two lightweight fault-tolerance heuristics for GraphWalker. The first
heuristic retries a failed node once, allowing recovery from transient issues. The second heuristic skips over the failed node, blacklists it, and
continues executing the rest of the model from the last valid state. Both heuristics were designed with minimal impact on model logic and are
easily integrated into GraphWalker’s exception-handling mechanism.
The contributions of this paper are as follows:
• We identify and formalize the limitations of fail-fast execution in MBT tools using real-world testing scenarios.
• We design and implement two lightweight fault-tolerance heuristics in GraphWalker.
• We empirically evaluate the effectiveness of these heuristics using MBT models developed for a commercial test management system
(Testinium).
• We provide insights and lessons learned for practitioners seeking to improve MBT resilience in their test automation workflows. ---- replace
"waste" in "waste execution effort". I do not like that work</x:v>
      </x:c>
    </x:row>
    <x:row r="14" ht="48" customHeight="1">
      <x:c r="A14" s="6" t="str">
        <x:v>P1-013</x:v>
      </x:c>
      <x:c r="B14" s="6" t="n">
        <x:v>13</x:v>
      </x:c>
      <x:c r="C14" s="6" t="str">
        <x:v>p9 L19-19</x:v>
      </x:c>
      <x:c r="D14" s="6" t="str"/>
      <x:c r="E14" s="6" t="str">
        <x:v>give a para for paper structure</x:v>
      </x:c>
    </x:row>
    <x:row r="15" ht="48" customHeight="1">
      <x:c r="A15" s="6" t="str">
        <x:v>P1-014</x:v>
      </x:c>
      <x:c r="B15" s="6" t="n">
        <x:v>14</x:v>
      </x:c>
      <x:c r="C15" s="6" t="str">
        <x:v>p9 L26-26</x:v>
      </x:c>
      <x:c r="D15" s="6" t="str"/>
      <x:c r="E15" s="6" t="str">
        <x:v>confusion: shall we use MBT resilience, or MBT Fault-Tolerance? using either in different parts of the paper is confusing</x:v>
      </x:c>
    </x:row>
    <x:row r="16" ht="48" customHeight="1">
      <x:c r="A16" s="6" t="str">
        <x:v>P1-015</x:v>
      </x:c>
      <x:c r="B16" s="6" t="n">
        <x:v>15</x:v>
      </x:c>
      <x:c r="C16" s="6" t="str">
        <x:v>p9 L40-41</x:v>
      </x:c>
      <x:c r="D16" s="6" t="str">
        <x:v>Paper for SPE journal.docx</x:v>
      </x:c>
      <x:c r="E16" s="6" t="str">
        <x:v>here is the latest draft. generate 2 BACKGROUND AND RELATED WORK. ensuring adding an opening parag. Note: I have 2.1 and 2.2 ready
already. generate the other subsections of it</x:v>
      </x:c>
    </x:row>
    <x:row r="17" ht="48" customHeight="1">
      <x:c r="A17" s="6" t="str">
        <x:v>P1-016</x:v>
      </x:c>
      <x:c r="B17" s="6" t="n">
        <x:v>16</x:v>
      </x:c>
      <x:c r="C17" s="6" t="str">
        <x:v>p10 L41-42</x:v>
      </x:c>
      <x:c r="D17" s="6" t="str"/>
      <x:c r="E17" s="6" t="str">
        <x:v>for Sec 2, give me a paragraph on: Despite this maturity, MBT still faces notable barriers to widespread adoption in practice , including: ....
"limitations in failure handling and robustness during test execution. "</x:v>
      </x:c>
    </x:row>
    <x:row r="18" ht="48" customHeight="1">
      <x:c r="A18" s="6" t="str">
        <x:v>P1-017</x:v>
      </x:c>
      <x:c r="B18" s="6" t="n">
        <x:v>17</x:v>
      </x:c>
      <x:c r="C18" s="6" t="str">
        <x:v>p11 L8-9</x:v>
      </x:c>
      <x:c r="D18" s="6" t="str">
        <x:v>Paper for SPE journal.docx</x:v>
      </x:c>
      <x:c r="E18" s="6" t="str">
        <x:v>I add a new subsec, 2.3 Limitations of most MBT tools in failure handling: Stopping the entire test by any non-critical assertion failure. ... expand
its text</x:v>
      </x:c>
    </x:row>
    <x:row r="19" ht="48" customHeight="1">
      <x:c r="A19" s="6" t="str">
        <x:v>P1-018</x:v>
      </x:c>
      <x:c r="B19" s="6" t="n">
        <x:v>18</x:v>
      </x:c>
      <x:c r="C19" s="6" t="str">
        <x:v>p11 L31-32</x:v>
      </x:c>
      <x:c r="D19" s="6" t="str"/>
      <x:c r="E19" s="6" t="str">
        <x:v>can you make the subsec heading shorter? 2.3 Limitations of most MBT tools in failure handling: Stopping the entire test by any non-critical
assertion failure</x:v>
      </x:c>
    </x:row>
    <x:row r="20" ht="48" customHeight="1">
      <x:c r="A20" s="6" t="str">
        <x:v>P1-019</x:v>
      </x:c>
      <x:c r="B20" s="6" t="n">
        <x:v>19</x:v>
      </x:c>
      <x:c r="C20" s="6" t="str">
        <x:v>p12 L1-2</x:v>
      </x:c>
      <x:c r="D20" s="6" t="str"/>
      <x:c r="E20" s="6" t="str">
        <x:v>find some good academic and grey literature for about: 2.3 Limitations of most MBT tools in failure handling: Stopping the entire test by any
non-critical assertion failure</x:v>
      </x:c>
    </x:row>
    <x:row r="21" ht="48" customHeight="1">
      <x:c r="A21" s="6" t="str">
        <x:v>P1-020</x:v>
      </x:c>
      <x:c r="B21" s="6" t="n">
        <x:v>20</x:v>
      </x:c>
      <x:c r="C21" s="6" t="str">
        <x:v>p12 L28-28</x:v>
      </x:c>
      <x:c r="D21" s="6" t="str"/>
      <x:c r="E21" s="6" t="str">
        <x:v>I want only those explicitly talking about MBT, in this issue</x:v>
      </x:c>
    </x:row>
    <x:row r="22" ht="48" customHeight="1">
      <x:c r="A22" s="6" t="str">
        <x:v>P1-021</x:v>
      </x:c>
      <x:c r="B22" s="6" t="n">
        <x:v>21</x:v>
      </x:c>
      <x:c r="C22" s="6" t="str">
        <x:v>p13 L1-2</x:v>
      </x:c>
      <x:c r="D22" s="6" t="str"/>
      <x:c r="E22" s="6" t="str">
        <x:v>Peleska (2013) – “Industrial‑Strength Model‑Based Testing – State of the Art and Current Challenges”
find the exact related quotes from that paper</x:v>
      </x:c>
    </x:row>
    <x:row r="23" ht="48" customHeight="1">
      <x:c r="A23" s="6" t="str">
        <x:v>P1-022</x:v>
      </x:c>
      <x:c r="B23" s="6" t="n">
        <x:v>22</x:v>
      </x:c>
      <x:c r="C23" s="6" t="str">
        <x:v>p13 L12-12</x:v>
      </x:c>
      <x:c r="D23" s="6" t="str"/>
      <x:c r="E23" s="6" t="str">
        <x:v>search again for other sources, for the limitation on assertion-handling behavior, so that I can base my claims on</x:v>
      </x:c>
    </x:row>
  </x:sheetData>
  <x:pageMargins left="0.7" right="0.7" top="0.75" bottom="0.75" header="0.3" footer="0.3"/>
  <x:tableParts count="1">
    <x:tablePart xmlns:r="http://schemas.openxmlformats.org/officeDocument/2006/relationships" r:id="Ra6f566fa3dde4ac8"/>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0" hidden="0" customWidth="1"/>
    <x:col min="3" max="3" width="130" hidden="0" customWidth="1"/>
  </x:cols>
  <x:sheetData>
    <x:row r="1" ht="32" customHeight="1">
      <x:c r="A1" s="5" t="str">
        <x:v>Dimension</x:v>
      </x:c>
      <x:c r="B1" s="5" t="str">
        <x:v>Code / rule</x:v>
      </x:c>
      <x:c r="C1" s="5" t="str">
        <x:v>Operational definition / limitation</x:v>
      </x:c>
    </x:row>
    <x:row r="2" ht="48" customHeight="1">
      <x:c r="A2" s="6" t="str">
        <x:v>Method</x:v>
      </x:c>
      <x:c r="B2" s="6" t="str">
        <x:v>Unit</x:v>
      </x:c>
      <x:c r="C2" s="6" t="str">
        <x:v>One visible human message = one row. Multi-part prompts remain one turn. 22 turns in PDF body, pp2-13; contents page excluded.</x:v>
      </x:c>
    </x:row>
    <x:row r="3" ht="48" customHeight="1">
      <x:c r="A3" s="6" t="str">
        <x:v>Method</x:v>
      </x:c>
      <x:c r="B3" s="6" t="str">
        <x:v>Scope</x:v>
      </x:c>
      <x:c r="C3" s="6" t="str">
        <x:v>Entire supplied PDF export, not a claim that all historical collaboration is captured. No unseen attachment contents are reconstructed.</x:v>
      </x:c>
    </x:row>
    <x:row r="4" ht="48" customHeight="1">
      <x:c r="A4" s="6" t="str">
        <x:v>Method</x:v>
      </x:c>
      <x:c r="B4" s="6" t="str">
        <x:v>Provenance</x:v>
      </x:c>
      <x:c r="C4" s="6" t="str">
        <x:v>Page numbers are PDF/printed page numbers. L means a 1-based line in pdfplumber extracted page text, including headings/footer. PDF has no printed line numbers. See numbered text companion.</x:v>
      </x:c>
    </x:row>
    <x:row r="5" ht="48" customHeight="1">
      <x:c r="A5" s="6" t="str">
        <x:v>Method</x:v>
      </x:c>
      <x:c r="B5" s="6" t="str">
        <x:v>Extraction</x:v>
      </x:c>
      <x:c r="C5" s="6" t="str">
        <x:v>PDF text extraction retains prompt wording, line breaks and typos. Excerpts may omit text with ellipsis. UI Show moreShow less and footer are excluded from full prompts.</x:v>
      </x:c>
    </x:row>
    <x:row r="6" ht="48" customHeight="1">
      <x:c r="A6" s="6" t="str">
        <x:v>Method</x:v>
      </x:c>
      <x:c r="B6" s="6" t="str">
        <x:v>Coding</x:v>
      </x:c>
      <x:c r="C6" s="6" t="str">
        <x:v>Interpretive first-pass coding by one AI-assisted coder. No independent coding or inter-rater reliability measured. Categories are behavioral observations, not ordinal expertise or agency scores.</x:v>
      </x:c>
    </x:row>
    <x:row r="7" ht="48" customHeight="1">
      <x:c r="A7" s="6" t="str">
        <x:v>Method</x:v>
      </x:c>
      <x:c r="B7" s="6" t="str">
        <x:v>Multiple codes</x:v>
      </x:c>
      <x:c r="C7" s="6" t="str">
        <x:v>Primary type reflects the main explicit act. Additional types record distinct acts within the same message. Counts of any occurrence can exceed the number of turns.</x:v>
      </x:c>
    </x:row>
    <x:row r="8" ht="48" customHeight="1">
      <x:c r="A8" s="6" t="str">
        <x:v>Method</x:v>
      </x:c>
      <x:c r="B8" s="6" t="str">
        <x:v>Summary refresh</x:v>
      </x:c>
      <x:c r="C8" s="6" t="str">
        <x:v>Any-occurrence formulas match the additional-code combinations present in this version. If introducing new combinations during recoding, update these formulas. CSV counts are not formulas.</x:v>
      </x:c>
    </x:row>
    <x:row r="9" ht="48" customHeight="1">
      <x:c r="A9" s="6" t="str">
        <x:v>Method</x:v>
      </x:c>
      <x:c r="B9" s="6" t="str">
        <x:v>Agency assignment</x:v>
      </x:c>
      <x:c r="C9" s="6" t="str">
        <x:v>One dominant mode: Critical for explicit diagnosis/rejection of flawed output; Deliberative for substantive comparison; Evaluative for assessment/verification requests; Directive for constrained production or explicit selection; Delegative for open generation.</x:v>
      </x:c>
    </x:row>
    <x:row r="10" ht="48" customHeight="1">
      <x:c r="A10" s="6" t="str">
        <x:v>Method</x:v>
      </x:c>
      <x:c r="B10" s="6" t="str">
        <x:v>Outcome boundary</x:v>
      </x:c>
      <x:c r="C10" s="6" t="str">
        <x:v>Outcome records the next visible AI response and any explicit human action. AI compliance, praise or a delivered draft does not prove human acceptance, factual accuracy or final manuscript uptake.</x:v>
      </x:c>
    </x:row>
    <x:row r="11" ht="48" customHeight="1">
      <x:c r="A11" s="6" t="str">
        <x:v>Method</x:v>
      </x:c>
      <x:c r="B11" s="6" t="str">
        <x:v>Knowledge injection</x:v>
      </x:c>
      <x:c r="C11" s="6" t="str">
        <x:v>Includes supplied texts, attachments and selected external definitions as context provision. Does not establish independent origination or expertise. Reusing preceding AI wording is not automatically coded as knowledge injection.</x:v>
      </x:c>
    </x:row>
    <x:row r="12" ht="48" customHeight="1">
      <x:c r="A12" s="6" t="str">
        <x:v>Method</x:v>
      </x:c>
      <x:c r="B12" s="6" t="str">
        <x:v>Ambiguous case P1-021</x:v>
      </x:c>
      <x:c r="C12" s="6" t="str">
        <x:v>Exact-quote request coded Evaluation, not Correction/Challenge: the user asks for verification but does not yet explicitly diagnose an error. Its response exposes lack of support.</x:v>
      </x:c>
    </x:row>
    <x:row r="13" ht="48" customHeight="1">
      <x:c r="A13" s="6" t="str">
        <x:v>Interaction type</x:v>
      </x:c>
      <x:c r="B13" s="6" t="str">
        <x:v>Delegation</x:v>
      </x:c>
      <x:c r="C13" s="6" t="str">
        <x:v>Requests generation or explanation with little substantive specification.</x:v>
      </x:c>
    </x:row>
    <x:row r="14" ht="48" customHeight="1">
      <x:c r="A14" s="6" t="str">
        <x:v>Interaction type</x:v>
      </x:c>
      <x:c r="B14" s="6" t="str">
        <x:v>Directed delegation</x:v>
      </x:c>
      <x:c r="C14" s="6" t="str">
        <x:v>Delegates execution while specifying format, scope, content or evidential purpose.</x:v>
      </x:c>
    </x:row>
    <x:row r="15" ht="48" customHeight="1">
      <x:c r="A15" s="6" t="str">
        <x:v>Interaction type</x:v>
      </x:c>
      <x:c r="B15" s="6" t="str">
        <x:v>Evaluation</x:v>
      </x:c>
      <x:c r="C15" s="6" t="str">
        <x:v>Requests assessment or verification, or evaluates output without necessarily diagnosing a fault.</x:v>
      </x:c>
    </x:row>
    <x:row r="16" ht="48" customHeight="1">
      <x:c r="A16" s="6" t="str">
        <x:v>Interaction type</x:v>
      </x:c>
      <x:c r="B16" s="6" t="str">
        <x:v>Correction/Challenge</x:v>
      </x:c>
      <x:c r="C16" s="6" t="str">
        <x:v>Explicitly identifies an error, inconsistency, ambiguity or unacceptable phrasing/claim.</x:v>
      </x:c>
    </x:row>
    <x:row r="17" ht="48" customHeight="1">
      <x:c r="A17" s="6" t="str">
        <x:v>Interaction type</x:v>
      </x:c>
      <x:c r="B17" s="6" t="str">
        <x:v>Redirection</x:v>
      </x:c>
      <x:c r="C17" s="6" t="str">
        <x:v>Changes or narrows the prior scope, framing, direction or evidence criterion.</x:v>
      </x:c>
    </x:row>
    <x:row r="18" ht="48" customHeight="1">
      <x:c r="A18" s="6" t="str">
        <x:v>Interaction type</x:v>
      </x:c>
      <x:c r="B18" s="6" t="str">
        <x:v>Knowledge injection</x:v>
      </x:c>
      <x:c r="C18" s="6" t="str">
        <x:v>Provides domain facts, examples, interpretations, human-supplied drafts, documents or selected source material.</x:v>
      </x:c>
    </x:row>
    <x:row r="19" ht="48" customHeight="1">
      <x:c r="A19" s="6" t="str">
        <x:v>Interaction type</x:v>
      </x:c>
      <x:c r="B19" s="6" t="str">
        <x:v>Selection/Rejection</x:v>
      </x:c>
      <x:c r="C19" s="6" t="str">
        <x:v>Explicitly chooses an option/material or rejects/removes a specific output.</x:v>
      </x:c>
    </x:row>
    <x:row r="20" ht="48" customHeight="1">
      <x:c r="A20" s="6" t="str">
        <x:v>Interaction type</x:v>
      </x:c>
      <x:c r="B20" s="6" t="str">
        <x:v>Deliberation</x:v>
      </x:c>
      <x:c r="C20" s="6" t="str">
        <x:v>Raises competing concepts/options for reasoned choice or reconciliation. Simple requests for alternatives alone do not qualify.</x:v>
      </x:c>
    </x:row>
    <x:row r="21" ht="48" customHeight="1">
      <x:c r="A21" s="6" t="str">
        <x:v>Agency mode</x:v>
      </x:c>
      <x:c r="B21" s="6" t="str">
        <x:v>Delegative</x:v>
      </x:c>
      <x:c r="C21" s="6" t="str">
        <x:v>Open task delegated to AI.</x:v>
      </x:c>
    </x:row>
    <x:row r="22" ht="48" customHeight="1">
      <x:c r="A22" s="6" t="str">
        <x:v>Agency mode</x:v>
      </x:c>
      <x:c r="B22" s="6" t="str">
        <x:v>Directive</x:v>
      </x:c>
      <x:c r="C22" s="6" t="str">
        <x:v>Human constrains or steers execution.</x:v>
      </x:c>
    </x:row>
    <x:row r="23" ht="48" customHeight="1">
      <x:c r="A23" s="6" t="str">
        <x:v>Agency mode</x:v>
      </x:c>
      <x:c r="B23" s="6" t="str">
        <x:v>Evaluative</x:v>
      </x:c>
      <x:c r="C23" s="6" t="str">
        <x:v>Human requests or exercises assessment/verification.</x:v>
      </x:c>
    </x:row>
    <x:row r="24" ht="48" customHeight="1">
      <x:c r="A24" s="6" t="str">
        <x:v>Agency mode</x:v>
      </x:c>
      <x:c r="B24" s="6" t="str">
        <x:v>Critical</x:v>
      </x:c>
      <x:c r="C24" s="6" t="str">
        <x:v>Human explicitly scrutinizes and corrects/rejects output.</x:v>
      </x:c>
    </x:row>
    <x:row r="25" ht="48" customHeight="1">
      <x:c r="A25" s="6" t="str">
        <x:v>Agency mode</x:v>
      </x:c>
      <x:c r="B25" s="6" t="str">
        <x:v>Deliberative</x:v>
      </x:c>
      <x:c r="C25" s="6" t="str">
        <x:v>Human initiates comparison or reconciliation of substantive alternatives.</x:v>
      </x:c>
    </x:row>
    <x:row r="26" ht="48" customHeight="1">
      <x:c r="A26" s="6" t="str">
        <x:v>Expertise evidence</x:v>
      </x:c>
      <x:c r="B26" s="6" t="str">
        <x:v>domain correction</x:v>
      </x:c>
      <x:c r="C26" s="6" t="str">
        <x:v>Explicitly corrects domain usage or technical description. Records the act without certifying correctness.</x:v>
      </x:c>
    </x:row>
    <x:row r="27" ht="48" customHeight="1">
      <x:c r="A27" s="6" t="str">
        <x:v>Expertise evidence</x:v>
      </x:c>
      <x:c r="B27" s="6" t="str">
        <x:v>conceptual discrimination</x:v>
      </x:c>
      <x:c r="C27" s="6" t="str">
        <x:v>Distinguishes concepts, failure classes or technical scope.</x:v>
      </x:c>
    </x:row>
    <x:row r="28" ht="48" customHeight="1">
      <x:c r="A28" s="6" t="str">
        <x:v>Expertise evidence</x:v>
      </x:c>
      <x:c r="B28" s="6" t="str">
        <x:v>evidence judgment</x:v>
      </x:c>
      <x:c r="C28" s="6" t="str">
        <x:v>Identifies support needs, source relevance or quote verification.</x:v>
      </x:c>
    </x:row>
    <x:row r="29" ht="48" customHeight="1">
      <x:c r="A29" s="6" t="str">
        <x:v>Expertise evidence</x:v>
      </x:c>
      <x:c r="B29" s="6" t="str">
        <x:v>methodological judgment</x:v>
      </x:c>
      <x:c r="C29" s="6" t="str">
        <x:v>Applies an explicit inclusion/scope criterion to evidence selection. No experimental-design judgment is inferred here.</x:v>
      </x:c>
    </x:row>
    <x:row r="30" ht="48" customHeight="1">
      <x:c r="A30" s="6" t="str">
        <x:v>Expertise evidence</x:v>
      </x:c>
      <x:c r="B30" s="6" t="str">
        <x:v>argumentative judgment</x:v>
      </x:c>
      <x:c r="C30" s="6" t="str">
        <x:v>Specifies motivation, claims, contributions or the role of evidence in the argument.</x:v>
      </x:c>
    </x:row>
    <x:row r="31" ht="48" customHeight="1">
      <x:c r="A31" s="6" t="str">
        <x:v>Expertise evidence</x:v>
      </x:c>
      <x:c r="B31" s="6" t="str">
        <x:v>genre/writing expertise</x:v>
      </x:c>
      <x:c r="C31" s="6" t="str">
        <x:v>Uses manuscript conventions, structure, terminology consistency or editorial judgment. Routine delimiter/count commands alone excluded.</x:v>
      </x:c>
    </x:row>
    <x:row r="32" ht="48" customHeight="1">
      <x:c r="A32" s="6" t="str">
        <x:v>Expertise evidence</x:v>
      </x:c>
      <x:c r="B32" s="6" t="str">
        <x:v>none</x:v>
      </x:c>
      <x:c r="C32" s="6" t="str">
        <x:v>Insufficient visible evidence in the turn; does not imply the researcher lacks expertise.</x:v>
      </x:c>
    </x:row>
    <x:row r="33" ht="48" customHeight="1">
      <x:c r="A33" s="6" t="str">
        <x:v>Source</x:v>
      </x:c>
      <x:c r="B33" s="6" t="str">
        <x:v>PDF</x:v>
      </x:c>
      <x:c r="C33" s="6" t="str">
        <x:v>paper1-Log of human-Aİ collaborations.pdf. Export dated June 12-13, 2025. Only this log was coded; the preprint was not used to infer unlogged decisions.</x:v>
      </x:c>
    </x:row>
  </x:sheetData>
  <x:pageMargins left="0.7" right="0.7" top="0.75" bottom="0.75" header="0.3" footer="0.3"/>
  <x:tableParts count="1">
    <x:tablePart xmlns:r="http://schemas.openxmlformats.org/officeDocument/2006/relationships" r:id="Re891483c912b489d"/>
  </x:tableParts>
</x:worksheet>
</file>