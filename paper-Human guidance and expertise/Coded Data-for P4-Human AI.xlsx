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qubstudentcloud-my.sharepoint.com/personal/3054738_ads_qub_ac_uk/Documents/my_drafts/A-IN PREPARATION (WRITING)/just AI/AI research &amp; writing/3-Human Expertise/Analyzed XLSs/"/>
    </mc:Choice>
  </mc:AlternateContent>
  <xr:revisionPtr revIDLastSave="1" documentId="11_6F808A30F552E816F43A800BD19486FE1901350F" xr6:coauthVersionLast="47" xr6:coauthVersionMax="47" xr10:uidLastSave="{E41154AE-7C52-4A20-AB96-52C627B1D45D}"/>
  <bookViews>
    <workbookView minimized="1" xWindow="2730" yWindow="3105" windowWidth="21600" windowHeight="11295" xr2:uid="{00000000-000D-0000-FFFF-FFFF00000000}"/>
  </bookViews>
  <sheets>
    <sheet name="Summary" sheetId="1" r:id="rId1"/>
    <sheet name="Coding" sheetId="2" r:id="rId2"/>
    <sheet name="Human prompts" sheetId="3" r:id="rId3"/>
    <sheet name="Codeboo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83" i="2" l="1"/>
  <c r="AE83" i="2"/>
  <c r="AD83" i="2"/>
  <c r="AC83" i="2"/>
  <c r="AB83" i="2"/>
  <c r="AA83" i="2"/>
  <c r="Z83" i="2"/>
  <c r="Y83" i="2" s="1"/>
  <c r="X83" i="2"/>
  <c r="W83" i="2"/>
  <c r="V83" i="2"/>
  <c r="U83" i="2"/>
  <c r="T83" i="2"/>
  <c r="S83" i="2"/>
  <c r="R83" i="2"/>
  <c r="Q83" i="2"/>
  <c r="P83" i="2" s="1"/>
  <c r="AF82" i="2"/>
  <c r="AE82" i="2"/>
  <c r="AD82" i="2"/>
  <c r="AC82" i="2"/>
  <c r="AB82" i="2"/>
  <c r="AA82" i="2"/>
  <c r="Y82" i="2" s="1"/>
  <c r="Z82" i="2"/>
  <c r="X82" i="2"/>
  <c r="W82" i="2"/>
  <c r="V82" i="2"/>
  <c r="U82" i="2"/>
  <c r="T82" i="2"/>
  <c r="S82" i="2"/>
  <c r="R82" i="2"/>
  <c r="P82" i="2" s="1"/>
  <c r="Q82" i="2"/>
  <c r="AF81" i="2"/>
  <c r="AE81" i="2"/>
  <c r="AD81" i="2"/>
  <c r="AC81" i="2"/>
  <c r="AB81" i="2"/>
  <c r="AA81" i="2"/>
  <c r="Z81" i="2"/>
  <c r="Y81" i="2"/>
  <c r="X81" i="2"/>
  <c r="W81" i="2"/>
  <c r="V81" i="2"/>
  <c r="U81" i="2"/>
  <c r="T81" i="2"/>
  <c r="S81" i="2"/>
  <c r="R81" i="2"/>
  <c r="Q81" i="2"/>
  <c r="P81" i="2"/>
  <c r="AF80" i="2"/>
  <c r="AE80" i="2"/>
  <c r="AD80" i="2"/>
  <c r="AC80" i="2"/>
  <c r="AB80" i="2"/>
  <c r="AA80" i="2"/>
  <c r="Z80" i="2"/>
  <c r="Y80" i="2"/>
  <c r="X80" i="2"/>
  <c r="W80" i="2"/>
  <c r="V80" i="2"/>
  <c r="U80" i="2"/>
  <c r="T80" i="2"/>
  <c r="S80" i="2"/>
  <c r="R80" i="2"/>
  <c r="Q80" i="2"/>
  <c r="P80" i="2" s="1"/>
  <c r="AF79" i="2"/>
  <c r="AE79" i="2"/>
  <c r="AD79" i="2"/>
  <c r="AC79" i="2"/>
  <c r="AB79" i="2"/>
  <c r="AA79" i="2"/>
  <c r="Z79" i="2"/>
  <c r="Y79" i="2" s="1"/>
  <c r="X79" i="2"/>
  <c r="W79" i="2"/>
  <c r="V79" i="2"/>
  <c r="U79" i="2"/>
  <c r="T79" i="2"/>
  <c r="S79" i="2"/>
  <c r="R79" i="2"/>
  <c r="Q79" i="2"/>
  <c r="P79" i="2" s="1"/>
  <c r="AF78" i="2"/>
  <c r="AE78" i="2"/>
  <c r="AD78" i="2"/>
  <c r="AC78" i="2"/>
  <c r="AB78" i="2"/>
  <c r="AA78" i="2"/>
  <c r="Y78" i="2" s="1"/>
  <c r="Z78" i="2"/>
  <c r="X78" i="2"/>
  <c r="W78" i="2"/>
  <c r="V78" i="2"/>
  <c r="U78" i="2"/>
  <c r="T78" i="2"/>
  <c r="S78" i="2"/>
  <c r="R78" i="2"/>
  <c r="Q78" i="2"/>
  <c r="P78" i="2" s="1"/>
  <c r="AF77" i="2"/>
  <c r="AE77" i="2"/>
  <c r="AD77" i="2"/>
  <c r="AC77" i="2"/>
  <c r="AB77" i="2"/>
  <c r="Y77" i="2" s="1"/>
  <c r="AA77" i="2"/>
  <c r="Z77" i="2"/>
  <c r="X77" i="2"/>
  <c r="W77" i="2"/>
  <c r="V77" i="2"/>
  <c r="U77" i="2"/>
  <c r="T77" i="2"/>
  <c r="P77" i="2" s="1"/>
  <c r="S77" i="2"/>
  <c r="R77" i="2"/>
  <c r="Q77" i="2"/>
  <c r="AF76" i="2"/>
  <c r="AE76" i="2"/>
  <c r="AD76" i="2"/>
  <c r="AC76" i="2"/>
  <c r="AB76" i="2"/>
  <c r="AA76" i="2"/>
  <c r="Z76" i="2"/>
  <c r="Y76" i="2"/>
  <c r="X76" i="2"/>
  <c r="W76" i="2"/>
  <c r="V76" i="2"/>
  <c r="U76" i="2"/>
  <c r="T76" i="2"/>
  <c r="S76" i="2"/>
  <c r="R76" i="2"/>
  <c r="Q76" i="2"/>
  <c r="P76" i="2" s="1"/>
  <c r="AF75" i="2"/>
  <c r="AE75" i="2"/>
  <c r="AD75" i="2"/>
  <c r="AC75" i="2"/>
  <c r="AB75" i="2"/>
  <c r="AA75" i="2"/>
  <c r="Z75" i="2"/>
  <c r="Y75" i="2"/>
  <c r="X75" i="2"/>
  <c r="W75" i="2"/>
  <c r="V75" i="2"/>
  <c r="U75" i="2"/>
  <c r="T75" i="2"/>
  <c r="S75" i="2"/>
  <c r="R75" i="2"/>
  <c r="P75" i="2" s="1"/>
  <c r="Q75" i="2"/>
  <c r="AF74" i="2"/>
  <c r="AE74" i="2"/>
  <c r="AD74" i="2"/>
  <c r="AC74" i="2"/>
  <c r="AB74" i="2"/>
  <c r="AA74" i="2"/>
  <c r="Z74" i="2"/>
  <c r="Y74" i="2" s="1"/>
  <c r="X74" i="2"/>
  <c r="W74" i="2"/>
  <c r="P74" i="2" s="1"/>
  <c r="V74" i="2"/>
  <c r="U74" i="2"/>
  <c r="T74" i="2"/>
  <c r="S74" i="2"/>
  <c r="R74" i="2"/>
  <c r="Q74" i="2"/>
  <c r="AF73" i="2"/>
  <c r="AE73" i="2"/>
  <c r="AD73" i="2"/>
  <c r="AC73" i="2"/>
  <c r="AB73" i="2"/>
  <c r="AA73" i="2"/>
  <c r="Y73" i="2" s="1"/>
  <c r="Z73" i="2"/>
  <c r="X73" i="2"/>
  <c r="P73" i="2" s="1"/>
  <c r="W73" i="2"/>
  <c r="V73" i="2"/>
  <c r="U73" i="2"/>
  <c r="T73" i="2"/>
  <c r="S73" i="2"/>
  <c r="R73" i="2"/>
  <c r="Q73" i="2"/>
  <c r="AF72" i="2"/>
  <c r="AE72" i="2"/>
  <c r="AD72" i="2"/>
  <c r="AC72" i="2"/>
  <c r="AB72" i="2"/>
  <c r="AA72" i="2"/>
  <c r="Z72" i="2"/>
  <c r="Y72" i="2"/>
  <c r="X72" i="2"/>
  <c r="W72" i="2"/>
  <c r="V72" i="2"/>
  <c r="U72" i="2"/>
  <c r="T72" i="2"/>
  <c r="S72" i="2"/>
  <c r="R72" i="2"/>
  <c r="Q72" i="2"/>
  <c r="P72" i="2" s="1"/>
  <c r="AF71" i="2"/>
  <c r="AE71" i="2"/>
  <c r="AD71" i="2"/>
  <c r="AC71" i="2"/>
  <c r="AB71" i="2"/>
  <c r="AA71" i="2"/>
  <c r="Z71" i="2"/>
  <c r="Y71" i="2" s="1"/>
  <c r="X71" i="2"/>
  <c r="W71" i="2"/>
  <c r="V71" i="2"/>
  <c r="U71" i="2"/>
  <c r="T71" i="2"/>
  <c r="S71" i="2"/>
  <c r="R71" i="2"/>
  <c r="P71" i="2" s="1"/>
  <c r="Q71" i="2"/>
  <c r="AF70" i="2"/>
  <c r="AE70" i="2"/>
  <c r="AD70" i="2"/>
  <c r="AC70" i="2"/>
  <c r="AB70" i="2"/>
  <c r="AA70" i="2"/>
  <c r="Z70" i="2"/>
  <c r="Y70" i="2" s="1"/>
  <c r="X70" i="2"/>
  <c r="W70" i="2"/>
  <c r="V70" i="2"/>
  <c r="U70" i="2"/>
  <c r="T70" i="2"/>
  <c r="S70" i="2"/>
  <c r="P70" i="2" s="1"/>
  <c r="R70" i="2"/>
  <c r="Q70" i="2"/>
  <c r="AF69" i="2"/>
  <c r="AE69" i="2"/>
  <c r="AD69" i="2"/>
  <c r="AC69" i="2"/>
  <c r="AB69" i="2"/>
  <c r="AA69" i="2"/>
  <c r="Z69" i="2"/>
  <c r="Y69" i="2" s="1"/>
  <c r="X69" i="2"/>
  <c r="W69" i="2"/>
  <c r="V69" i="2"/>
  <c r="U69" i="2"/>
  <c r="T69" i="2"/>
  <c r="S69" i="2"/>
  <c r="R69" i="2"/>
  <c r="Q69" i="2"/>
  <c r="P69" i="2"/>
  <c r="AF68" i="2"/>
  <c r="AE68" i="2"/>
  <c r="AD68" i="2"/>
  <c r="AC68" i="2"/>
  <c r="Y68" i="2" s="1"/>
  <c r="AB68" i="2"/>
  <c r="AA68" i="2"/>
  <c r="Z68" i="2"/>
  <c r="X68" i="2"/>
  <c r="W68" i="2"/>
  <c r="V68" i="2"/>
  <c r="U68" i="2"/>
  <c r="T68" i="2"/>
  <c r="S68" i="2"/>
  <c r="R68" i="2"/>
  <c r="Q68" i="2"/>
  <c r="P68" i="2"/>
  <c r="AF67" i="2"/>
  <c r="AE67" i="2"/>
  <c r="AD67" i="2"/>
  <c r="AC67" i="2"/>
  <c r="AB67" i="2"/>
  <c r="AA67" i="2"/>
  <c r="Z67" i="2"/>
  <c r="Y67" i="2" s="1"/>
  <c r="X67" i="2"/>
  <c r="W67" i="2"/>
  <c r="V67" i="2"/>
  <c r="U67" i="2"/>
  <c r="T67" i="2"/>
  <c r="S67" i="2"/>
  <c r="R67" i="2"/>
  <c r="Q67" i="2"/>
  <c r="P67" i="2" s="1"/>
  <c r="AF66" i="2"/>
  <c r="AE66" i="2"/>
  <c r="AD66" i="2"/>
  <c r="AC66" i="2"/>
  <c r="AB66" i="2"/>
  <c r="AA66" i="2"/>
  <c r="Y66" i="2" s="1"/>
  <c r="Z66" i="2"/>
  <c r="X66" i="2"/>
  <c r="W66" i="2"/>
  <c r="V66" i="2"/>
  <c r="U66" i="2"/>
  <c r="T66" i="2"/>
  <c r="S66" i="2"/>
  <c r="R66" i="2"/>
  <c r="P66" i="2" s="1"/>
  <c r="Q66" i="2"/>
  <c r="AF65" i="2"/>
  <c r="AE65" i="2"/>
  <c r="AD65" i="2"/>
  <c r="AC65" i="2"/>
  <c r="AB65" i="2"/>
  <c r="AA65" i="2"/>
  <c r="Z65" i="2"/>
  <c r="Y65" i="2"/>
  <c r="X65" i="2"/>
  <c r="W65" i="2"/>
  <c r="V65" i="2"/>
  <c r="U65" i="2"/>
  <c r="T65" i="2"/>
  <c r="S65" i="2"/>
  <c r="R65" i="2"/>
  <c r="Q65" i="2"/>
  <c r="P65" i="2"/>
  <c r="AF64" i="2"/>
  <c r="AE64" i="2"/>
  <c r="AD64" i="2"/>
  <c r="AC64" i="2"/>
  <c r="AB64" i="2"/>
  <c r="AA64" i="2"/>
  <c r="Z64" i="2"/>
  <c r="Y64" i="2"/>
  <c r="X64" i="2"/>
  <c r="W64" i="2"/>
  <c r="V64" i="2"/>
  <c r="U64" i="2"/>
  <c r="T64" i="2"/>
  <c r="S64" i="2"/>
  <c r="R64" i="2"/>
  <c r="Q64" i="2"/>
  <c r="P64" i="2" s="1"/>
  <c r="AF63" i="2"/>
  <c r="AE63" i="2"/>
  <c r="AD63" i="2"/>
  <c r="AC63" i="2"/>
  <c r="AB63" i="2"/>
  <c r="AA63" i="2"/>
  <c r="Z63" i="2"/>
  <c r="Y63" i="2" s="1"/>
  <c r="X63" i="2"/>
  <c r="W63" i="2"/>
  <c r="V63" i="2"/>
  <c r="U63" i="2"/>
  <c r="T63" i="2"/>
  <c r="S63" i="2"/>
  <c r="R63" i="2"/>
  <c r="Q63" i="2"/>
  <c r="P63" i="2" s="1"/>
  <c r="AF62" i="2"/>
  <c r="AE62" i="2"/>
  <c r="AD62" i="2"/>
  <c r="AC62" i="2"/>
  <c r="AB62" i="2"/>
  <c r="AA62" i="2"/>
  <c r="Y62" i="2" s="1"/>
  <c r="Z62" i="2"/>
  <c r="X62" i="2"/>
  <c r="W62" i="2"/>
  <c r="V62" i="2"/>
  <c r="U62" i="2"/>
  <c r="T62" i="2"/>
  <c r="S62" i="2"/>
  <c r="R62" i="2"/>
  <c r="Q62" i="2"/>
  <c r="P62" i="2" s="1"/>
  <c r="AF61" i="2"/>
  <c r="AE61" i="2"/>
  <c r="AD61" i="2"/>
  <c r="AC61" i="2"/>
  <c r="AB61" i="2"/>
  <c r="Y61" i="2" s="1"/>
  <c r="AA61" i="2"/>
  <c r="Z61" i="2"/>
  <c r="X61" i="2"/>
  <c r="W61" i="2"/>
  <c r="V61" i="2"/>
  <c r="U61" i="2"/>
  <c r="T61" i="2"/>
  <c r="P61" i="2" s="1"/>
  <c r="S61" i="2"/>
  <c r="R61" i="2"/>
  <c r="Q61" i="2"/>
  <c r="AF60" i="2"/>
  <c r="AE60" i="2"/>
  <c r="AD60" i="2"/>
  <c r="AC60" i="2"/>
  <c r="AB60" i="2"/>
  <c r="AA60" i="2"/>
  <c r="Z60" i="2"/>
  <c r="Y60" i="2"/>
  <c r="X60" i="2"/>
  <c r="W60" i="2"/>
  <c r="V60" i="2"/>
  <c r="U60" i="2"/>
  <c r="T60" i="2"/>
  <c r="S60" i="2"/>
  <c r="R60" i="2"/>
  <c r="Q60" i="2"/>
  <c r="P60" i="2" s="1"/>
  <c r="AF59" i="2"/>
  <c r="AE59" i="2"/>
  <c r="AD59" i="2"/>
  <c r="AC59" i="2"/>
  <c r="AB59" i="2"/>
  <c r="AA59" i="2"/>
  <c r="Z59" i="2"/>
  <c r="Y59" i="2"/>
  <c r="X59" i="2"/>
  <c r="W59" i="2"/>
  <c r="V59" i="2"/>
  <c r="U59" i="2"/>
  <c r="T59" i="2"/>
  <c r="S59" i="2"/>
  <c r="R59" i="2"/>
  <c r="P59" i="2" s="1"/>
  <c r="Q59" i="2"/>
  <c r="AF58" i="2"/>
  <c r="AE58" i="2"/>
  <c r="AD58" i="2"/>
  <c r="AC58" i="2"/>
  <c r="AB58" i="2"/>
  <c r="AA58" i="2"/>
  <c r="Z58" i="2"/>
  <c r="Y58" i="2" s="1"/>
  <c r="X58" i="2"/>
  <c r="W58" i="2"/>
  <c r="P58" i="2" s="1"/>
  <c r="V58" i="2"/>
  <c r="U58" i="2"/>
  <c r="T58" i="2"/>
  <c r="S58" i="2"/>
  <c r="R58" i="2"/>
  <c r="Q58" i="2"/>
  <c r="AF57" i="2"/>
  <c r="AE57" i="2"/>
  <c r="AD57" i="2"/>
  <c r="AC57" i="2"/>
  <c r="AB57" i="2"/>
  <c r="AA57" i="2"/>
  <c r="Y57" i="2" s="1"/>
  <c r="Z57" i="2"/>
  <c r="X57" i="2"/>
  <c r="P57" i="2" s="1"/>
  <c r="W57" i="2"/>
  <c r="V57" i="2"/>
  <c r="U57" i="2"/>
  <c r="T57" i="2"/>
  <c r="S57" i="2"/>
  <c r="R57" i="2"/>
  <c r="Q57" i="2"/>
  <c r="AF56" i="2"/>
  <c r="AE56" i="2"/>
  <c r="AD56" i="2"/>
  <c r="AC56" i="2"/>
  <c r="AB56" i="2"/>
  <c r="AA56" i="2"/>
  <c r="Z56" i="2"/>
  <c r="Y56" i="2"/>
  <c r="X56" i="2"/>
  <c r="W56" i="2"/>
  <c r="V56" i="2"/>
  <c r="U56" i="2"/>
  <c r="T56" i="2"/>
  <c r="S56" i="2"/>
  <c r="R56" i="2"/>
  <c r="Q56" i="2"/>
  <c r="P56" i="2" s="1"/>
  <c r="AF55" i="2"/>
  <c r="AE55" i="2"/>
  <c r="AD55" i="2"/>
  <c r="AC55" i="2"/>
  <c r="AB55" i="2"/>
  <c r="AA55" i="2"/>
  <c r="Z55" i="2"/>
  <c r="Y55" i="2" s="1"/>
  <c r="X55" i="2"/>
  <c r="W55" i="2"/>
  <c r="V55" i="2"/>
  <c r="U55" i="2"/>
  <c r="T55" i="2"/>
  <c r="S55" i="2"/>
  <c r="R55" i="2"/>
  <c r="P55" i="2" s="1"/>
  <c r="Q55" i="2"/>
  <c r="AF54" i="2"/>
  <c r="AE54" i="2"/>
  <c r="AD54" i="2"/>
  <c r="AC54" i="2"/>
  <c r="AB54" i="2"/>
  <c r="AA54" i="2"/>
  <c r="Z54" i="2"/>
  <c r="Y54" i="2" s="1"/>
  <c r="X54" i="2"/>
  <c r="W54" i="2"/>
  <c r="V54" i="2"/>
  <c r="U54" i="2"/>
  <c r="T54" i="2"/>
  <c r="S54" i="2"/>
  <c r="P54" i="2" s="1"/>
  <c r="R54" i="2"/>
  <c r="Q54" i="2"/>
  <c r="AF53" i="2"/>
  <c r="AE53" i="2"/>
  <c r="AD53" i="2"/>
  <c r="AC53" i="2"/>
  <c r="AB53" i="2"/>
  <c r="AA53" i="2"/>
  <c r="Z53" i="2"/>
  <c r="Y53" i="2" s="1"/>
  <c r="X53" i="2"/>
  <c r="W53" i="2"/>
  <c r="V53" i="2"/>
  <c r="U53" i="2"/>
  <c r="T53" i="2"/>
  <c r="S53" i="2"/>
  <c r="R53" i="2"/>
  <c r="Q53" i="2"/>
  <c r="P53" i="2"/>
  <c r="AF52" i="2"/>
  <c r="AE52" i="2"/>
  <c r="AD52" i="2"/>
  <c r="AC52" i="2"/>
  <c r="Y52" i="2" s="1"/>
  <c r="AB52" i="2"/>
  <c r="AA52" i="2"/>
  <c r="Z52" i="2"/>
  <c r="X52" i="2"/>
  <c r="W52" i="2"/>
  <c r="V52" i="2"/>
  <c r="U52" i="2"/>
  <c r="T52" i="2"/>
  <c r="S52" i="2"/>
  <c r="R52" i="2"/>
  <c r="Q52" i="2"/>
  <c r="P52" i="2"/>
  <c r="AF51" i="2"/>
  <c r="AE51" i="2"/>
  <c r="AD51" i="2"/>
  <c r="AC51" i="2"/>
  <c r="AB51" i="2"/>
  <c r="AA51" i="2"/>
  <c r="Z51" i="2"/>
  <c r="Y51" i="2" s="1"/>
  <c r="X51" i="2"/>
  <c r="W51" i="2"/>
  <c r="V51" i="2"/>
  <c r="U51" i="2"/>
  <c r="T51" i="2"/>
  <c r="S51" i="2"/>
  <c r="R51" i="2"/>
  <c r="Q51" i="2"/>
  <c r="P51" i="2" s="1"/>
  <c r="AF50" i="2"/>
  <c r="AE50" i="2"/>
  <c r="AD50" i="2"/>
  <c r="AC50" i="2"/>
  <c r="AB50" i="2"/>
  <c r="AA50" i="2"/>
  <c r="Z50" i="2"/>
  <c r="Y50" i="2" s="1"/>
  <c r="X50" i="2"/>
  <c r="W50" i="2"/>
  <c r="V50" i="2"/>
  <c r="U50" i="2"/>
  <c r="T50" i="2"/>
  <c r="S50" i="2"/>
  <c r="R50" i="2"/>
  <c r="P50" i="2" s="1"/>
  <c r="Q50" i="2"/>
  <c r="AF49" i="2"/>
  <c r="AE49" i="2"/>
  <c r="AD49" i="2"/>
  <c r="AC49" i="2"/>
  <c r="AB49" i="2"/>
  <c r="AA49" i="2"/>
  <c r="Z49" i="2"/>
  <c r="Y49" i="2"/>
  <c r="X49" i="2"/>
  <c r="W49" i="2"/>
  <c r="V49" i="2"/>
  <c r="U49" i="2"/>
  <c r="T49" i="2"/>
  <c r="S49" i="2"/>
  <c r="R49" i="2"/>
  <c r="Q49" i="2"/>
  <c r="P49" i="2"/>
  <c r="AF48" i="2"/>
  <c r="AE48" i="2"/>
  <c r="AD48" i="2"/>
  <c r="AC48" i="2"/>
  <c r="AB48" i="2"/>
  <c r="AA48" i="2"/>
  <c r="Z48" i="2"/>
  <c r="Y48" i="2"/>
  <c r="X48" i="2"/>
  <c r="W48" i="2"/>
  <c r="V48" i="2"/>
  <c r="U48" i="2"/>
  <c r="T48" i="2"/>
  <c r="S48" i="2"/>
  <c r="R48" i="2"/>
  <c r="Q48" i="2"/>
  <c r="P48" i="2" s="1"/>
  <c r="AF47" i="2"/>
  <c r="AE47" i="2"/>
  <c r="AD47" i="2"/>
  <c r="AC47" i="2"/>
  <c r="AB47" i="2"/>
  <c r="AA47" i="2"/>
  <c r="Z47" i="2"/>
  <c r="Y47" i="2" s="1"/>
  <c r="X47" i="2"/>
  <c r="W47" i="2"/>
  <c r="V47" i="2"/>
  <c r="U47" i="2"/>
  <c r="T47" i="2"/>
  <c r="S47" i="2"/>
  <c r="R47" i="2"/>
  <c r="Q47" i="2"/>
  <c r="P47" i="2" s="1"/>
  <c r="AF46" i="2"/>
  <c r="AE46" i="2"/>
  <c r="AD46" i="2"/>
  <c r="AC46" i="2"/>
  <c r="AB46" i="2"/>
  <c r="AA46" i="2"/>
  <c r="Y46" i="2" s="1"/>
  <c r="Z46" i="2"/>
  <c r="X46" i="2"/>
  <c r="W46" i="2"/>
  <c r="V46" i="2"/>
  <c r="U46" i="2"/>
  <c r="T46" i="2"/>
  <c r="S46" i="2"/>
  <c r="R46" i="2"/>
  <c r="Q46" i="2"/>
  <c r="P46" i="2" s="1"/>
  <c r="AF45" i="2"/>
  <c r="AE45" i="2"/>
  <c r="AD45" i="2"/>
  <c r="AC45" i="2"/>
  <c r="AB45" i="2"/>
  <c r="Y45" i="2" s="1"/>
  <c r="AA45" i="2"/>
  <c r="Z45" i="2"/>
  <c r="X45" i="2"/>
  <c r="W45" i="2"/>
  <c r="V45" i="2"/>
  <c r="U45" i="2"/>
  <c r="T45" i="2"/>
  <c r="P45" i="2" s="1"/>
  <c r="S45" i="2"/>
  <c r="R45" i="2"/>
  <c r="Q45" i="2"/>
  <c r="AF44" i="2"/>
  <c r="AE44" i="2"/>
  <c r="AD44" i="2"/>
  <c r="AC44" i="2"/>
  <c r="AB44" i="2"/>
  <c r="AA44" i="2"/>
  <c r="Z44" i="2"/>
  <c r="Y44" i="2"/>
  <c r="X44" i="2"/>
  <c r="W44" i="2"/>
  <c r="V44" i="2"/>
  <c r="U44" i="2"/>
  <c r="T44" i="2"/>
  <c r="S44" i="2"/>
  <c r="R44" i="2"/>
  <c r="Q44" i="2"/>
  <c r="P44" i="2" s="1"/>
  <c r="AF43" i="2"/>
  <c r="AE43" i="2"/>
  <c r="AD43" i="2"/>
  <c r="AC43" i="2"/>
  <c r="AB43" i="2"/>
  <c r="AA43" i="2"/>
  <c r="Z43" i="2"/>
  <c r="Y43" i="2"/>
  <c r="X43" i="2"/>
  <c r="W43" i="2"/>
  <c r="V43" i="2"/>
  <c r="U43" i="2"/>
  <c r="T43" i="2"/>
  <c r="S43" i="2"/>
  <c r="R43" i="2"/>
  <c r="P43" i="2" s="1"/>
  <c r="Q43" i="2"/>
  <c r="AF42" i="2"/>
  <c r="AE42" i="2"/>
  <c r="AD42" i="2"/>
  <c r="AC42" i="2"/>
  <c r="AB42" i="2"/>
  <c r="AA42" i="2"/>
  <c r="Z42" i="2"/>
  <c r="Y42" i="2" s="1"/>
  <c r="X42" i="2"/>
  <c r="W42" i="2"/>
  <c r="P42" i="2" s="1"/>
  <c r="V42" i="2"/>
  <c r="U42" i="2"/>
  <c r="T42" i="2"/>
  <c r="S42" i="2"/>
  <c r="R42" i="2"/>
  <c r="Q42" i="2"/>
  <c r="AF41" i="2"/>
  <c r="AE41" i="2"/>
  <c r="AD41" i="2"/>
  <c r="AC41" i="2"/>
  <c r="AB41" i="2"/>
  <c r="AA41" i="2"/>
  <c r="Y41" i="2" s="1"/>
  <c r="Z41" i="2"/>
  <c r="X41" i="2"/>
  <c r="P41" i="2" s="1"/>
  <c r="W41" i="2"/>
  <c r="V41" i="2"/>
  <c r="U41" i="2"/>
  <c r="T41" i="2"/>
  <c r="S41" i="2"/>
  <c r="R41" i="2"/>
  <c r="Q41" i="2"/>
  <c r="AF40" i="2"/>
  <c r="AE40" i="2"/>
  <c r="AD40" i="2"/>
  <c r="AC40" i="2"/>
  <c r="AB40" i="2"/>
  <c r="AA40" i="2"/>
  <c r="Z40" i="2"/>
  <c r="Y40" i="2"/>
  <c r="X40" i="2"/>
  <c r="W40" i="2"/>
  <c r="V40" i="2"/>
  <c r="U40" i="2"/>
  <c r="T40" i="2"/>
  <c r="S40" i="2"/>
  <c r="R40" i="2"/>
  <c r="Q40" i="2"/>
  <c r="P40" i="2" s="1"/>
  <c r="AF39" i="2"/>
  <c r="AE39" i="2"/>
  <c r="AD39" i="2"/>
  <c r="AC39" i="2"/>
  <c r="AB39" i="2"/>
  <c r="AA39" i="2"/>
  <c r="Z39" i="2"/>
  <c r="Y39" i="2" s="1"/>
  <c r="X39" i="2"/>
  <c r="W39" i="2"/>
  <c r="V39" i="2"/>
  <c r="U39" i="2"/>
  <c r="T39" i="2"/>
  <c r="S39" i="2"/>
  <c r="R39" i="2"/>
  <c r="P39" i="2" s="1"/>
  <c r="Q39" i="2"/>
  <c r="AF38" i="2"/>
  <c r="AE38" i="2"/>
  <c r="AD38" i="2"/>
  <c r="AC38" i="2"/>
  <c r="AB38" i="2"/>
  <c r="AA38" i="2"/>
  <c r="Z38" i="2"/>
  <c r="Y38" i="2" s="1"/>
  <c r="X38" i="2"/>
  <c r="W38" i="2"/>
  <c r="V38" i="2"/>
  <c r="U38" i="2"/>
  <c r="T38" i="2"/>
  <c r="S38" i="2"/>
  <c r="P38" i="2" s="1"/>
  <c r="R38" i="2"/>
  <c r="Q38" i="2"/>
  <c r="AF37" i="2"/>
  <c r="AE37" i="2"/>
  <c r="AD37" i="2"/>
  <c r="AC37" i="2"/>
  <c r="AB37" i="2"/>
  <c r="AA37" i="2"/>
  <c r="Z37" i="2"/>
  <c r="Y37" i="2" s="1"/>
  <c r="X37" i="2"/>
  <c r="W37" i="2"/>
  <c r="V37" i="2"/>
  <c r="U37" i="2"/>
  <c r="T37" i="2"/>
  <c r="S37" i="2"/>
  <c r="R37" i="2"/>
  <c r="Q37" i="2"/>
  <c r="P37" i="2"/>
  <c r="AF36" i="2"/>
  <c r="AE36" i="2"/>
  <c r="AD36" i="2"/>
  <c r="AC36" i="2"/>
  <c r="Y36" i="2" s="1"/>
  <c r="AB36" i="2"/>
  <c r="AA36" i="2"/>
  <c r="Z36" i="2"/>
  <c r="X36" i="2"/>
  <c r="W36" i="2"/>
  <c r="V36" i="2"/>
  <c r="U36" i="2"/>
  <c r="T36" i="2"/>
  <c r="S36" i="2"/>
  <c r="R36" i="2"/>
  <c r="Q36" i="2"/>
  <c r="P36" i="2"/>
  <c r="AF35" i="2"/>
  <c r="AE35" i="2"/>
  <c r="AD35" i="2"/>
  <c r="AC35" i="2"/>
  <c r="AB35" i="2"/>
  <c r="AA35" i="2"/>
  <c r="Z35" i="2"/>
  <c r="Y35" i="2" s="1"/>
  <c r="X35" i="2"/>
  <c r="W35" i="2"/>
  <c r="V35" i="2"/>
  <c r="U35" i="2"/>
  <c r="T35" i="2"/>
  <c r="S35" i="2"/>
  <c r="R35" i="2"/>
  <c r="Q35" i="2"/>
  <c r="P35" i="2" s="1"/>
  <c r="AF34" i="2"/>
  <c r="AE34" i="2"/>
  <c r="AD34" i="2"/>
  <c r="AC34" i="2"/>
  <c r="AB34" i="2"/>
  <c r="AA34" i="2"/>
  <c r="Z34" i="2"/>
  <c r="Y34" i="2" s="1"/>
  <c r="X34" i="2"/>
  <c r="W34" i="2"/>
  <c r="V34" i="2"/>
  <c r="U34" i="2"/>
  <c r="T34" i="2"/>
  <c r="S34" i="2"/>
  <c r="R34" i="2"/>
  <c r="P34" i="2" s="1"/>
  <c r="Q34" i="2"/>
  <c r="AF33" i="2"/>
  <c r="AE33" i="2"/>
  <c r="AD33" i="2"/>
  <c r="AC33" i="2"/>
  <c r="AB33" i="2"/>
  <c r="AA33" i="2"/>
  <c r="Z33" i="2"/>
  <c r="Y33" i="2"/>
  <c r="X33" i="2"/>
  <c r="W33" i="2"/>
  <c r="V33" i="2"/>
  <c r="U33" i="2"/>
  <c r="T33" i="2"/>
  <c r="S33" i="2"/>
  <c r="R33" i="2"/>
  <c r="Q33" i="2"/>
  <c r="P33" i="2"/>
  <c r="AF32" i="2"/>
  <c r="AE32" i="2"/>
  <c r="AD32" i="2"/>
  <c r="AC32" i="2"/>
  <c r="AB32" i="2"/>
  <c r="AA32" i="2"/>
  <c r="Z32" i="2"/>
  <c r="Y32" i="2"/>
  <c r="X32" i="2"/>
  <c r="W32" i="2"/>
  <c r="V32" i="2"/>
  <c r="U32" i="2"/>
  <c r="T32" i="2"/>
  <c r="S32" i="2"/>
  <c r="R32" i="2"/>
  <c r="Q32" i="2"/>
  <c r="P32" i="2" s="1"/>
  <c r="AF31" i="2"/>
  <c r="AE31" i="2"/>
  <c r="AD31" i="2"/>
  <c r="AC31" i="2"/>
  <c r="AB31" i="2"/>
  <c r="AA31" i="2"/>
  <c r="Z31" i="2"/>
  <c r="Y31" i="2" s="1"/>
  <c r="X31" i="2"/>
  <c r="W31" i="2"/>
  <c r="V31" i="2"/>
  <c r="U31" i="2"/>
  <c r="T31" i="2"/>
  <c r="S31" i="2"/>
  <c r="R31" i="2"/>
  <c r="Q31" i="2"/>
  <c r="P31" i="2" s="1"/>
  <c r="AF30" i="2"/>
  <c r="AE30" i="2"/>
  <c r="AD30" i="2"/>
  <c r="AC30" i="2"/>
  <c r="AB30" i="2"/>
  <c r="AA30" i="2"/>
  <c r="Y30" i="2" s="1"/>
  <c r="Z30" i="2"/>
  <c r="X30" i="2"/>
  <c r="W30" i="2"/>
  <c r="V30" i="2"/>
  <c r="U30" i="2"/>
  <c r="T30" i="2"/>
  <c r="S30" i="2"/>
  <c r="R30" i="2"/>
  <c r="Q30" i="2"/>
  <c r="P30" i="2" s="1"/>
  <c r="AF29" i="2"/>
  <c r="AE29" i="2"/>
  <c r="AD29" i="2"/>
  <c r="AC29" i="2"/>
  <c r="AB29" i="2"/>
  <c r="AA29" i="2"/>
  <c r="Z29" i="2"/>
  <c r="Y29" i="2"/>
  <c r="X29" i="2"/>
  <c r="W29" i="2"/>
  <c r="V29" i="2"/>
  <c r="U29" i="2"/>
  <c r="T29" i="2"/>
  <c r="P29" i="2" s="1"/>
  <c r="S29" i="2"/>
  <c r="R29" i="2"/>
  <c r="Q29" i="2"/>
  <c r="AF28" i="2"/>
  <c r="AE28" i="2"/>
  <c r="AD28" i="2"/>
  <c r="AC28" i="2"/>
  <c r="AB28" i="2"/>
  <c r="AA28" i="2"/>
  <c r="Z28" i="2"/>
  <c r="Y28" i="2"/>
  <c r="X28" i="2"/>
  <c r="W28" i="2"/>
  <c r="V28" i="2"/>
  <c r="U28" i="2"/>
  <c r="T28" i="2"/>
  <c r="S28" i="2"/>
  <c r="R28" i="2"/>
  <c r="Q28" i="2"/>
  <c r="P28" i="2" s="1"/>
  <c r="AF27" i="2"/>
  <c r="AE27" i="2"/>
  <c r="AD27" i="2"/>
  <c r="AC27" i="2"/>
  <c r="AB27" i="2"/>
  <c r="AA27" i="2"/>
  <c r="Z27" i="2"/>
  <c r="Y27" i="2"/>
  <c r="X27" i="2"/>
  <c r="W27" i="2"/>
  <c r="V27" i="2"/>
  <c r="U27" i="2"/>
  <c r="T27" i="2"/>
  <c r="S27" i="2"/>
  <c r="R27" i="2"/>
  <c r="Q27" i="2"/>
  <c r="P27" i="2" s="1"/>
  <c r="AF26" i="2"/>
  <c r="AE26" i="2"/>
  <c r="AD26" i="2"/>
  <c r="AC26" i="2"/>
  <c r="AB26" i="2"/>
  <c r="AA26" i="2"/>
  <c r="Z26" i="2"/>
  <c r="Y26" i="2" s="1"/>
  <c r="X26" i="2"/>
  <c r="W26" i="2"/>
  <c r="P26" i="2" s="1"/>
  <c r="V26" i="2"/>
  <c r="U26" i="2"/>
  <c r="T26" i="2"/>
  <c r="S26" i="2"/>
  <c r="R26" i="2"/>
  <c r="Q26" i="2"/>
  <c r="AF25" i="2"/>
  <c r="AE25" i="2"/>
  <c r="AD25" i="2"/>
  <c r="AC25" i="2"/>
  <c r="AB25" i="2"/>
  <c r="AA25" i="2"/>
  <c r="Y25" i="2" s="1"/>
  <c r="Z25" i="2"/>
  <c r="X25" i="2"/>
  <c r="P25" i="2" s="1"/>
  <c r="W25" i="2"/>
  <c r="V25" i="2"/>
  <c r="U25" i="2"/>
  <c r="T25" i="2"/>
  <c r="S25" i="2"/>
  <c r="R25" i="2"/>
  <c r="Q25" i="2"/>
  <c r="AF24" i="2"/>
  <c r="AE24" i="2"/>
  <c r="AD24" i="2"/>
  <c r="AC24" i="2"/>
  <c r="AB24" i="2"/>
  <c r="AA24" i="2"/>
  <c r="Z24" i="2"/>
  <c r="Y24" i="2"/>
  <c r="X24" i="2"/>
  <c r="W24" i="2"/>
  <c r="V24" i="2"/>
  <c r="U24" i="2"/>
  <c r="T24" i="2"/>
  <c r="S24" i="2"/>
  <c r="R24" i="2"/>
  <c r="Q24" i="2"/>
  <c r="P24" i="2" s="1"/>
  <c r="AF23" i="2"/>
  <c r="AE23" i="2"/>
  <c r="AD23" i="2"/>
  <c r="AC23" i="2"/>
  <c r="AB23" i="2"/>
  <c r="AA23" i="2"/>
  <c r="Z23" i="2"/>
  <c r="Y23" i="2" s="1"/>
  <c r="X23" i="2"/>
  <c r="W23" i="2"/>
  <c r="V23" i="2"/>
  <c r="U23" i="2"/>
  <c r="T23" i="2"/>
  <c r="S23" i="2"/>
  <c r="R23" i="2"/>
  <c r="P23" i="2" s="1"/>
  <c r="Q23" i="2"/>
  <c r="AF22" i="2"/>
  <c r="AE22" i="2"/>
  <c r="AD22" i="2"/>
  <c r="AC22" i="2"/>
  <c r="AB22" i="2"/>
  <c r="AA22" i="2"/>
  <c r="Z22" i="2"/>
  <c r="Y22" i="2" s="1"/>
  <c r="X22" i="2"/>
  <c r="W22" i="2"/>
  <c r="V22" i="2"/>
  <c r="U22" i="2"/>
  <c r="T22" i="2"/>
  <c r="S22" i="2"/>
  <c r="R22" i="2"/>
  <c r="Q22" i="2"/>
  <c r="P22" i="2"/>
  <c r="AF21" i="2"/>
  <c r="AE21" i="2"/>
  <c r="AD21" i="2"/>
  <c r="AC21" i="2"/>
  <c r="AB21" i="2"/>
  <c r="AA21" i="2"/>
  <c r="Z21" i="2"/>
  <c r="Y21" i="2" s="1"/>
  <c r="X21" i="2"/>
  <c r="W21" i="2"/>
  <c r="V21" i="2"/>
  <c r="U21" i="2"/>
  <c r="T21" i="2"/>
  <c r="S21" i="2"/>
  <c r="R21" i="2"/>
  <c r="Q21" i="2"/>
  <c r="P21" i="2"/>
  <c r="AF20" i="2"/>
  <c r="AE20" i="2"/>
  <c r="AD20" i="2"/>
  <c r="AC20" i="2"/>
  <c r="Y20" i="2" s="1"/>
  <c r="AB20" i="2"/>
  <c r="AA20" i="2"/>
  <c r="Z20" i="2"/>
  <c r="X20" i="2"/>
  <c r="W20" i="2"/>
  <c r="V20" i="2"/>
  <c r="U20" i="2"/>
  <c r="T20" i="2"/>
  <c r="S20" i="2"/>
  <c r="R20" i="2"/>
  <c r="Q20" i="2"/>
  <c r="P20" i="2"/>
  <c r="AF19" i="2"/>
  <c r="AE19" i="2"/>
  <c r="AD19" i="2"/>
  <c r="AC19" i="2"/>
  <c r="AB19" i="2"/>
  <c r="AA19" i="2"/>
  <c r="Z19" i="2"/>
  <c r="Y19" i="2" s="1"/>
  <c r="X19" i="2"/>
  <c r="W19" i="2"/>
  <c r="V19" i="2"/>
  <c r="U19" i="2"/>
  <c r="T19" i="2"/>
  <c r="S19" i="2"/>
  <c r="R19" i="2"/>
  <c r="Q19" i="2"/>
  <c r="P19" i="2" s="1"/>
  <c r="AF18" i="2"/>
  <c r="AE18" i="2"/>
  <c r="AD18" i="2"/>
  <c r="AC18" i="2"/>
  <c r="AB18" i="2"/>
  <c r="AA18" i="2"/>
  <c r="Z18" i="2"/>
  <c r="Y18" i="2" s="1"/>
  <c r="X18" i="2"/>
  <c r="W18" i="2"/>
  <c r="V18" i="2"/>
  <c r="U18" i="2"/>
  <c r="T18" i="2"/>
  <c r="S18" i="2"/>
  <c r="R18" i="2"/>
  <c r="Q18" i="2"/>
  <c r="P18" i="2"/>
  <c r="AF17" i="2"/>
  <c r="AE17" i="2"/>
  <c r="AD17" i="2"/>
  <c r="AC17" i="2"/>
  <c r="AB17" i="2"/>
  <c r="AA17" i="2"/>
  <c r="Z17" i="2"/>
  <c r="Y17" i="2"/>
  <c r="X17" i="2"/>
  <c r="W17" i="2"/>
  <c r="V17" i="2"/>
  <c r="U17" i="2"/>
  <c r="T17" i="2"/>
  <c r="S17" i="2"/>
  <c r="R17" i="2"/>
  <c r="Q17" i="2"/>
  <c r="P17" i="2"/>
  <c r="AF16" i="2"/>
  <c r="AE16" i="2"/>
  <c r="AD16" i="2"/>
  <c r="AC16" i="2"/>
  <c r="AB16" i="2"/>
  <c r="AA16" i="2"/>
  <c r="Z16" i="2"/>
  <c r="Y16" i="2"/>
  <c r="X16" i="2"/>
  <c r="W16" i="2"/>
  <c r="V16" i="2"/>
  <c r="U16" i="2"/>
  <c r="T16" i="2"/>
  <c r="S16" i="2"/>
  <c r="R16" i="2"/>
  <c r="Q16" i="2"/>
  <c r="P16" i="2" s="1"/>
  <c r="AF15" i="2"/>
  <c r="AE15" i="2"/>
  <c r="AD15" i="2"/>
  <c r="AC15" i="2"/>
  <c r="AB15" i="2"/>
  <c r="AA15" i="2"/>
  <c r="Z15" i="2"/>
  <c r="Y15" i="2" s="1"/>
  <c r="X15" i="2"/>
  <c r="W15" i="2"/>
  <c r="V15" i="2"/>
  <c r="U15" i="2"/>
  <c r="T15" i="2"/>
  <c r="S15" i="2"/>
  <c r="R15" i="2"/>
  <c r="P15" i="2" s="1"/>
  <c r="Q15" i="2"/>
  <c r="AF14" i="2"/>
  <c r="AE14" i="2"/>
  <c r="AD14" i="2"/>
  <c r="AC14" i="2"/>
  <c r="AB14" i="2"/>
  <c r="AA14" i="2"/>
  <c r="Y14" i="2" s="1"/>
  <c r="Z14" i="2"/>
  <c r="X14" i="2"/>
  <c r="W14" i="2"/>
  <c r="V14" i="2"/>
  <c r="U14" i="2"/>
  <c r="T14" i="2"/>
  <c r="S14" i="2"/>
  <c r="R14" i="2"/>
  <c r="Q14" i="2"/>
  <c r="P14" i="2" s="1"/>
  <c r="AF13" i="2"/>
  <c r="AE13" i="2"/>
  <c r="AD13" i="2"/>
  <c r="AC13" i="2"/>
  <c r="AB13" i="2"/>
  <c r="AA13" i="2"/>
  <c r="Z13" i="2"/>
  <c r="Y13" i="2"/>
  <c r="X13" i="2"/>
  <c r="W13" i="2"/>
  <c r="V13" i="2"/>
  <c r="U13" i="2"/>
  <c r="T13" i="2"/>
  <c r="P13" i="2" s="1"/>
  <c r="S13" i="2"/>
  <c r="R13" i="2"/>
  <c r="Q13" i="2"/>
  <c r="AF12" i="2"/>
  <c r="AE12" i="2"/>
  <c r="AD12" i="2"/>
  <c r="AC12" i="2"/>
  <c r="AB12" i="2"/>
  <c r="AA12" i="2"/>
  <c r="Z12" i="2"/>
  <c r="Y12" i="2"/>
  <c r="X12" i="2"/>
  <c r="W12" i="2"/>
  <c r="V12" i="2"/>
  <c r="U12" i="2"/>
  <c r="T12" i="2"/>
  <c r="S12" i="2"/>
  <c r="R12" i="2"/>
  <c r="Q12" i="2"/>
  <c r="P12" i="2" s="1"/>
  <c r="AF11" i="2"/>
  <c r="AE11" i="2"/>
  <c r="AD11" i="2"/>
  <c r="AC11" i="2"/>
  <c r="AB11" i="2"/>
  <c r="AA11" i="2"/>
  <c r="Z11" i="2"/>
  <c r="Y11" i="2"/>
  <c r="X11" i="2"/>
  <c r="W11" i="2"/>
  <c r="V11" i="2"/>
  <c r="C14" i="1" s="1"/>
  <c r="D14" i="1" s="1"/>
  <c r="U11" i="2"/>
  <c r="T11" i="2"/>
  <c r="S11" i="2"/>
  <c r="R11" i="2"/>
  <c r="Q11" i="2"/>
  <c r="P11" i="2" s="1"/>
  <c r="AF10" i="2"/>
  <c r="AE10" i="2"/>
  <c r="AD10" i="2"/>
  <c r="AC10" i="2"/>
  <c r="AB10" i="2"/>
  <c r="AA10" i="2"/>
  <c r="Z10" i="2"/>
  <c r="Y10" i="2" s="1"/>
  <c r="X10" i="2"/>
  <c r="W10" i="2"/>
  <c r="P10" i="2" s="1"/>
  <c r="V10" i="2"/>
  <c r="U10" i="2"/>
  <c r="T10" i="2"/>
  <c r="S10" i="2"/>
  <c r="R10" i="2"/>
  <c r="Q10" i="2"/>
  <c r="AF9" i="2"/>
  <c r="AE9" i="2"/>
  <c r="AD9" i="2"/>
  <c r="AC9" i="2"/>
  <c r="AB9" i="2"/>
  <c r="AA9" i="2"/>
  <c r="Z9" i="2"/>
  <c r="Y9" i="2"/>
  <c r="X9" i="2"/>
  <c r="P9" i="2" s="1"/>
  <c r="W9" i="2"/>
  <c r="V9" i="2"/>
  <c r="U9" i="2"/>
  <c r="T9" i="2"/>
  <c r="S9" i="2"/>
  <c r="R9" i="2"/>
  <c r="Q9" i="2"/>
  <c r="AF8" i="2"/>
  <c r="AE8" i="2"/>
  <c r="AD8" i="2"/>
  <c r="AC8" i="2"/>
  <c r="AB8" i="2"/>
  <c r="AA8" i="2"/>
  <c r="Z8" i="2"/>
  <c r="Y8" i="2"/>
  <c r="X8" i="2"/>
  <c r="W8" i="2"/>
  <c r="V8" i="2"/>
  <c r="U8" i="2"/>
  <c r="T8" i="2"/>
  <c r="S8" i="2"/>
  <c r="R8" i="2"/>
  <c r="Q8" i="2"/>
  <c r="P8" i="2" s="1"/>
  <c r="AF7" i="2"/>
  <c r="AE7" i="2"/>
  <c r="AD7" i="2"/>
  <c r="AC7" i="2"/>
  <c r="AB7" i="2"/>
  <c r="AA7" i="2"/>
  <c r="Z7" i="2"/>
  <c r="Y7" i="2" s="1"/>
  <c r="X7" i="2"/>
  <c r="W7" i="2"/>
  <c r="V7" i="2"/>
  <c r="U7" i="2"/>
  <c r="T7" i="2"/>
  <c r="S7" i="2"/>
  <c r="R7" i="2"/>
  <c r="P7" i="2" s="1"/>
  <c r="Q7" i="2"/>
  <c r="AF6" i="2"/>
  <c r="AE6" i="2"/>
  <c r="AD6" i="2"/>
  <c r="AC6" i="2"/>
  <c r="AB6" i="2"/>
  <c r="AA6" i="2"/>
  <c r="Y6" i="2" s="1"/>
  <c r="Z6" i="2"/>
  <c r="X6" i="2"/>
  <c r="W6" i="2"/>
  <c r="V6" i="2"/>
  <c r="U6" i="2"/>
  <c r="T6" i="2"/>
  <c r="S6" i="2"/>
  <c r="R6" i="2"/>
  <c r="Q6" i="2"/>
  <c r="P6" i="2"/>
  <c r="AF5" i="2"/>
  <c r="AE5" i="2"/>
  <c r="AD5" i="2"/>
  <c r="AC5" i="2"/>
  <c r="AB5" i="2"/>
  <c r="K11" i="1" s="1"/>
  <c r="L11" i="1" s="1"/>
  <c r="AA5" i="2"/>
  <c r="Z5" i="2"/>
  <c r="Y5" i="2" s="1"/>
  <c r="X5" i="2"/>
  <c r="W5" i="2"/>
  <c r="V5" i="2"/>
  <c r="U5" i="2"/>
  <c r="T5" i="2"/>
  <c r="S5" i="2"/>
  <c r="R5" i="2"/>
  <c r="Q5" i="2"/>
  <c r="P5" i="2"/>
  <c r="AF4" i="2"/>
  <c r="AE4" i="2"/>
  <c r="AD4" i="2"/>
  <c r="AC4" i="2"/>
  <c r="Y4" i="2" s="1"/>
  <c r="AB4" i="2"/>
  <c r="AA4" i="2"/>
  <c r="Z4" i="2"/>
  <c r="X4" i="2"/>
  <c r="W4" i="2"/>
  <c r="V4" i="2"/>
  <c r="U4" i="2"/>
  <c r="T4" i="2"/>
  <c r="S4" i="2"/>
  <c r="R4" i="2"/>
  <c r="Q4" i="2"/>
  <c r="P4" i="2"/>
  <c r="AF3" i="2"/>
  <c r="AE3" i="2"/>
  <c r="AD3" i="2"/>
  <c r="K13" i="1" s="1"/>
  <c r="L13" i="1" s="1"/>
  <c r="AC3" i="2"/>
  <c r="AB3" i="2"/>
  <c r="AA3" i="2"/>
  <c r="Z3" i="2"/>
  <c r="Y3" i="2" s="1"/>
  <c r="X3" i="2"/>
  <c r="W3" i="2"/>
  <c r="V3" i="2"/>
  <c r="U3" i="2"/>
  <c r="T3" i="2"/>
  <c r="S3" i="2"/>
  <c r="R3" i="2"/>
  <c r="Q3" i="2"/>
  <c r="P3" i="2" s="1"/>
  <c r="AF2" i="2"/>
  <c r="G15" i="1" s="1"/>
  <c r="G16" i="1" s="1"/>
  <c r="AE2" i="2"/>
  <c r="K14" i="1" s="1"/>
  <c r="L14" i="1" s="1"/>
  <c r="AD2" i="2"/>
  <c r="AC2" i="2"/>
  <c r="AB2" i="2"/>
  <c r="AA2" i="2"/>
  <c r="K10" i="1" s="1"/>
  <c r="L10" i="1" s="1"/>
  <c r="Z2" i="2"/>
  <c r="Y2" i="2" s="1"/>
  <c r="X2" i="2"/>
  <c r="W2" i="2"/>
  <c r="C15" i="1" s="1"/>
  <c r="D15" i="1" s="1"/>
  <c r="V2" i="2"/>
  <c r="U2" i="2"/>
  <c r="C13" i="1" s="1"/>
  <c r="D13" i="1" s="1"/>
  <c r="T2" i="2"/>
  <c r="C12" i="1" s="1"/>
  <c r="D12" i="1" s="1"/>
  <c r="S2" i="2"/>
  <c r="R2" i="2"/>
  <c r="C10" i="1" s="1"/>
  <c r="D10" i="1" s="1"/>
  <c r="Q2" i="2"/>
  <c r="P2" i="2"/>
  <c r="I24" i="1"/>
  <c r="H24" i="1"/>
  <c r="G24" i="1"/>
  <c r="F24" i="1"/>
  <c r="E24" i="1"/>
  <c r="D24" i="1"/>
  <c r="I23" i="1"/>
  <c r="H23" i="1"/>
  <c r="G23" i="1"/>
  <c r="F23" i="1"/>
  <c r="E23" i="1"/>
  <c r="D23" i="1"/>
  <c r="I22" i="1"/>
  <c r="H22" i="1"/>
  <c r="G22" i="1"/>
  <c r="F22" i="1"/>
  <c r="E22" i="1"/>
  <c r="D22" i="1"/>
  <c r="I21" i="1"/>
  <c r="H21" i="1"/>
  <c r="G21" i="1"/>
  <c r="F21" i="1"/>
  <c r="E21" i="1"/>
  <c r="D21" i="1"/>
  <c r="I20" i="1"/>
  <c r="H20" i="1"/>
  <c r="G20" i="1"/>
  <c r="F20" i="1"/>
  <c r="E20" i="1"/>
  <c r="D20" i="1"/>
  <c r="C16" i="1"/>
  <c r="D16" i="1" s="1"/>
  <c r="B16" i="1"/>
  <c r="B15" i="1"/>
  <c r="B14" i="1"/>
  <c r="G13" i="1"/>
  <c r="H13" i="1" s="1"/>
  <c r="B13" i="1"/>
  <c r="G12" i="1"/>
  <c r="H12" i="1" s="1"/>
  <c r="B12" i="1"/>
  <c r="H11" i="1"/>
  <c r="G11" i="1"/>
  <c r="C11" i="1"/>
  <c r="D11" i="1" s="1"/>
  <c r="B11" i="1"/>
  <c r="H10" i="1"/>
  <c r="G10" i="1"/>
  <c r="B10" i="1"/>
  <c r="G9" i="1"/>
  <c r="H9" i="1" s="1"/>
  <c r="B9" i="1"/>
  <c r="K9" i="1" l="1"/>
  <c r="L9" i="1" s="1"/>
  <c r="K12" i="1"/>
  <c r="L12" i="1" s="1"/>
  <c r="K15" i="1"/>
  <c r="L15" i="1" s="1"/>
  <c r="C9" i="1"/>
  <c r="D9" i="1" s="1"/>
</calcChain>
</file>

<file path=xl/sharedStrings.xml><?xml version="1.0" encoding="utf-8"?>
<sst xmlns="http://schemas.openxmlformats.org/spreadsheetml/2006/main" count="1533" uniqueCount="738">
  <si>
    <t>Characterizing human–AI interactions in co-writing</t>
  </si>
  <si>
    <t>Human–AI interaction coding • single first-pass analysis • counts reflect category presence</t>
  </si>
  <si>
    <t>Human prompts</t>
  </si>
  <si>
    <t>Count revised: 77 → 82 after recovering page-bottom prompts.</t>
  </si>
  <si>
    <t>No next AI response</t>
  </si>
  <si>
    <t>Expertise “none” = no explicit evidence in that prompt.</t>
  </si>
  <si>
    <t>Interaction type</t>
  </si>
  <si>
    <t>Primary count</t>
  </si>
  <si>
    <t>Any occurrence</t>
  </si>
  <si>
    <t>Share of prompts</t>
  </si>
  <si>
    <t>Agency mode</t>
  </si>
  <si>
    <t>Prompts</t>
  </si>
  <si>
    <t>Share</t>
  </si>
  <si>
    <t>Expertise evidence</t>
  </si>
  <si>
    <t>Delegation</t>
  </si>
  <si>
    <t>Delegative</t>
  </si>
  <si>
    <t>domain correction</t>
  </si>
  <si>
    <t>Directed delegation</t>
  </si>
  <si>
    <t>Directive</t>
  </si>
  <si>
    <t>conceptual discrimination</t>
  </si>
  <si>
    <t>Evaluation</t>
  </si>
  <si>
    <t>Evaluative</t>
  </si>
  <si>
    <t>evidence judgment</t>
  </si>
  <si>
    <t>Correction/Challenge</t>
  </si>
  <si>
    <t>Critical</t>
  </si>
  <si>
    <t>methodological judgment</t>
  </si>
  <si>
    <t>Redirection</t>
  </si>
  <si>
    <t>Deliberative</t>
  </si>
  <si>
    <t>argumentative judgment</t>
  </si>
  <si>
    <t>Knowledge injection</t>
  </si>
  <si>
    <t>genre/writing expertise</t>
  </si>
  <si>
    <t>Selection/Rejection</t>
  </si>
  <si>
    <t>Positive expertise evidence</t>
  </si>
  <si>
    <t>none</t>
  </si>
  <si>
    <t>Deliberation</t>
  </si>
  <si>
    <t>Share with evidence</t>
  </si>
  <si>
    <t>Phase</t>
  </si>
  <si>
    <t>First prompt</t>
  </si>
  <si>
    <t>Last prompt</t>
  </si>
  <si>
    <t>Conceptual reframing</t>
  </si>
  <si>
    <t>Manuscript drafting</t>
  </si>
  <si>
    <t>Review and evidence strengthening</t>
  </si>
  <si>
    <t>Submission preparation</t>
  </si>
  <si>
    <t>Follow-on paper planning</t>
  </si>
  <si>
    <t>Key coding patterns and limits</t>
  </si>
  <si>
    <t>Directed delegation occurs in 51/82 prompts (62.2%). Critical agency appears in 17 (20.7%) and Deliberative agency in 15 (18.3%).</t>
  </si>
  <si>
    <t>Positive expertise evidence is coded in 75/82 prompts (91.5%); genre/writing in 52, argumentative judgment in 19, methodological judgment in 18 and evidence judgment in 14.</t>
  </si>
  <si>
    <t>Early deliberation considers manuscript splitting, contribution frameworks and the relationship between AI output, human control and intellectual agency (3–5,7,15,20).</t>
  </si>
  <si>
    <t>The researcher critiques framework inflation and manuscript logic: excessive headings (21), trajectories (33,37), missing interpretation (38), duplication (43), and premature references (47).</t>
  </si>
  <si>
    <t>Review prompts strengthen source-to-claim support and empirical excerpts (60–75), including challenges to AI promises that do not deliver concrete changes (69–72).</t>
  </si>
  <si>
    <t>Post-submission prompts (80–82) plan later papers and are separately labelled. Contribution ratios and reported archive access are not treated as verified measurements.</t>
  </si>
  <si>
    <t>All 82 prompts have recoverable next AI text. OCR recovery introduces transcription uncertainty; verify original PDF wording before using direct quotations.</t>
  </si>
  <si>
    <t>Prompt ID</t>
  </si>
  <si>
    <t>Sequence</t>
  </si>
  <si>
    <t>Prompt excerpt</t>
  </si>
  <si>
    <t>Primary interaction type</t>
  </si>
  <si>
    <t>Additional interaction types</t>
  </si>
  <si>
    <t>Coding rationale</t>
  </si>
  <si>
    <t>Observed outcome / notes</t>
  </si>
  <si>
    <t>Prompt provenance</t>
  </si>
  <si>
    <t>Response provenance</t>
  </si>
  <si>
    <t>Attachment / contextual material</t>
  </si>
  <si>
    <t>Response availability</t>
  </si>
  <si>
    <t>Coding caution</t>
  </si>
  <si>
    <t>Interaction codes</t>
  </si>
  <si>
    <t>Type: Delegation</t>
  </si>
  <si>
    <t>Type: Directed delegation</t>
  </si>
  <si>
    <t>Type: Evaluation</t>
  </si>
  <si>
    <t>Type: Correction/Challenge</t>
  </si>
  <si>
    <t>Type: Redirection</t>
  </si>
  <si>
    <t>Type: Knowledge injection</t>
  </si>
  <si>
    <t>Type: Selection/Rejection</t>
  </si>
  <si>
    <t>Type: Deliberation</t>
  </si>
  <si>
    <t>Expertise codes</t>
  </si>
  <si>
    <t>Expertise: domain correction</t>
  </si>
  <si>
    <t>Expertise: conceptual discrimination</t>
  </si>
  <si>
    <t>Expertise: evidence judgment</t>
  </si>
  <si>
    <t>Expertise: methodological judgment</t>
  </si>
  <si>
    <t>Expertise: argumentative judgment</t>
  </si>
  <si>
    <t>Expertise: genre/writing expertise</t>
  </si>
  <si>
    <t>Expertise: none</t>
  </si>
  <si>
    <t>CW-001</t>
  </si>
  <si>
    <t>Human-Al co-writing</t>
  </si>
  <si>
    <t>Topic-only naming cue; no explicit substantive judgment.</t>
  </si>
  <si>
    <t>AI endorses the umbrella name and distinguishes two paper ideas.</t>
  </si>
  <si>
    <t>PDF p1 OCR L4–p1 OCR L4</t>
  </si>
  <si>
    <t>PDF p1 OCR L5–p1 OCR L20</t>
  </si>
  <si>
    <t>Visible next AI response</t>
  </si>
  <si>
    <t>OCR-recovered text: consult original PDF before quoting; AI completion/source-check claims are unverified. Interpret response/intent in context; see rationale and notes.</t>
  </si>
  <si>
    <t>CW-002</t>
  </si>
  <si>
    <t>we have got the reviews, uh, on the paper, f course, most of the issues that they have raised, I agree, they're they're legitimate. Uh, but there, of course, so many. I mean, this is, um, we need to realize that this is a complex, multifaceted, and emerging topic. We need to make lots of changes. Also, I'm attaching the paper that was submitted. I have just added two stuff that, of course, we need to do more. I think…</t>
  </si>
  <si>
    <t>Knowledge injection; Evaluation; Redirection</t>
  </si>
  <si>
    <t>methodological judgment; genre/writing expertise</t>
  </si>
  <si>
    <t>Supplies reviews and revised material; requests a new structure and revision plan.</t>
  </si>
  <si>
    <t>AI proposes rebuilding the manuscript around a clearer question.</t>
  </si>
  <si>
    <t>PDF p1 OCR L21–p1 OCR L28</t>
  </si>
  <si>
    <t>PDF p1 OCR L29–p6 OCR L45</t>
  </si>
  <si>
    <t>File/context references in prompt; inspect full text</t>
  </si>
  <si>
    <t>OCR-recovered text: consult original PDF before quoting; AI completion/source-check claims are unverified.</t>
  </si>
  <si>
    <t>CW-003</t>
  </si>
  <si>
    <t>By the way, there is just too much stuff, right? So should I break this to more than one paper? I want to keep, yeah, the modified credit table. I think that would be the heartbone of the paper, but of course I want to focus only on writing in this paper. The credit puts this in context and says that, because writing is only a part of it, and we need to separate, and in that credit table we separate writing from othe…</t>
  </si>
  <si>
    <t>Knowledge injection; Redirection</t>
  </si>
  <si>
    <t>methodological judgment; argumentative judgment</t>
  </si>
  <si>
    <t>Weighs splitting an overextended paper; quoted earlier AI text is contextual material.</t>
  </si>
  <si>
    <t>AI narrows the writing focus and discusses separate contributions.</t>
  </si>
  <si>
    <t>PDF p6 OCR L46–p9 OCR L13</t>
  </si>
  <si>
    <t>PDF p9 OCR L14–p11 OCR L24</t>
  </si>
  <si>
    <t>URL(s) supplied in prompt; File/context references in prompt; inspect full text; Extended draft/quoted context; researcher-origin judgment distinguished in rationale</t>
  </si>
  <si>
    <t>CW-004</t>
  </si>
  <si>
    <t>Okay, I also attached the PDFs of the new papers that I found in the i'project" area, so review them carefully. Well, it will be hard to cite them all, but we need to stand on the shoulders of giants. So I need to ensure so you can use their arguments in our reasoning in our paper and we can cite them. I also provide their list below. The other thing is that although Al is not allowed by journal as a co-author, but a…</t>
  </si>
  <si>
    <t>Knowledge injection; Directed delegation</t>
  </si>
  <si>
    <t>conceptual discrimination; evidence judgment; argumentative judgment</t>
  </si>
  <si>
    <t>Reasons about delegating analysis while retaining validation and intellectual control.</t>
  </si>
  <si>
    <t>AI refines the control boundary and discusses relevant literature.</t>
  </si>
  <si>
    <t>PDF p11 OCR L25–p12 OCR L4</t>
  </si>
  <si>
    <t>PDF p12 OCR L5–p15 OCR L33</t>
  </si>
  <si>
    <t>CW-005</t>
  </si>
  <si>
    <t>So I guess that paper structure is going to change, right? Substantially. I think I will just start from a new file. I think is that a good idea than surgically changing my old Word file. Do you agree?</t>
  </si>
  <si>
    <t>Evaluation; Redirection</t>
  </si>
  <si>
    <t>Compares starting a fresh manuscript with editing the old file.</t>
  </si>
  <si>
    <t>AI recommends a new manuscript.</t>
  </si>
  <si>
    <t>PDF p15 OCR L34–p15 OCR L35</t>
  </si>
  <si>
    <t>PDF p15 OCR L36–p16 OCR L11</t>
  </si>
  <si>
    <t>CW-006</t>
  </si>
  <si>
    <t>Give me a few good paper title alternatives and draft structure.</t>
  </si>
  <si>
    <t>Requests titles and an outline without new substantive constraints.</t>
  </si>
  <si>
    <t>AI offers title alternatives and a structure.</t>
  </si>
  <si>
    <t>PDF p16 OCR L12–p16 OCR L12</t>
  </si>
  <si>
    <t>PDF p16 OCR L13–p20 OCR L12</t>
  </si>
  <si>
    <t>CW-007</t>
  </si>
  <si>
    <t>Tell me which paper presented the SLICE . and the "credit" model itself is not about human Al. Are you referring to the following paper that touches on CREDIT for human-Al O https://www.nature.com/articles/d41586-026-02686- z#ref-CR2?</t>
  </si>
  <si>
    <t>Evaluation; Knowledge injection</t>
  </si>
  <si>
    <t>conceptual discrimination; evidence judgment</t>
  </si>
  <si>
    <t>Distinguishes CRediT from AI contribution frameworks and requests source attribution.</t>
  </si>
  <si>
    <t>AI acknowledges conflation and identifies the SLICE source.</t>
  </si>
  <si>
    <t>PDF p20 OCR L13–p20 OCR L15</t>
  </si>
  <si>
    <t>PDF p20 OCR L16–p21 OCR L26</t>
  </si>
  <si>
    <t>URL(s) supplied in prompt</t>
  </si>
  <si>
    <t>CW-008</t>
  </si>
  <si>
    <t>So how would you mention the novelty of our work against Slice?</t>
  </si>
  <si>
    <t>Asks for novelty positioning relative to a named comparator.</t>
  </si>
  <si>
    <t>AI explains a complementary process contribution.</t>
  </si>
  <si>
    <t>PDF p21 OCR L27–p21 OCR L27</t>
  </si>
  <si>
    <t>PDF p21 OCR L28–p22 OCR L42</t>
  </si>
  <si>
    <t>CW-009</t>
  </si>
  <si>
    <t>Let's discuss our framework more. What would be our framework? I mean, I see value when we as a human, that interaction and several iterations. As you know, you know, sometimes I put, like, UML sequence diagrams. I generated for one paper that I gave Al some ideas and it gave back, and then I changed something. I gave it back again. I think that is a novelty as well. I mean, the slice guys say that, you know, we keep…</t>
  </si>
  <si>
    <t>Deliberation; Redirection</t>
  </si>
  <si>
    <t>conceptual discrimination; argumentative judgment</t>
  </si>
  <si>
    <t>Contrasts aggregate ratios with insights from detailed interaction.</t>
  </si>
  <si>
    <t>AI shifts the novelty toward interaction processes.</t>
  </si>
  <si>
    <t>PDF p22 OCR L43–p23 OCR L4</t>
  </si>
  <si>
    <t>PDF p23 OCR L5–p26 OCR L30</t>
  </si>
  <si>
    <t>CW-010</t>
  </si>
  <si>
    <t>And actually, it could be that when human and Al interact, it could be that some of the ideas are just ignored, you know. For example, the paper that I wrote and it got rejected, but I got lots of good feedback. Or when I talk with you, we do discussion, we steer the paper in one direction. So some of the ideas do not end up appearing in final published or accepted paper, but they were part of the discussion. And Al …</t>
  </si>
  <si>
    <t>Explains why discarded ideas and steering may matter despite absence from final text.</t>
  </si>
  <si>
    <t>AI develops a process-oriented rationale.</t>
  </si>
  <si>
    <t>PDF p26 OCR L31–p26 OCR L35</t>
  </si>
  <si>
    <t>PDF p26 OCR L36–p29 OCR L20</t>
  </si>
  <si>
    <t>URL(s) supplied in prompt; File/context references in prompt; inspect full text</t>
  </si>
  <si>
    <t>CW-011</t>
  </si>
  <si>
    <t>You need to be careful there because in that slice paper they provide the full transcript of the interaction. So I don't know how they get it. So the percentage they determine because they look at the interaction, but then they have a percentage. So I'm actually puzzled how that percentage is determined. But we'll see how you want to explain that.</t>
  </si>
  <si>
    <t>Evaluation; Deliberation</t>
  </si>
  <si>
    <t>conceptual discrimination; evidence judgment; methodological judgment</t>
  </si>
  <si>
    <t>Challenges the claim that SLICE ignores transcripts and asks how percentages are derived.</t>
  </si>
  <si>
    <t>AI retracts its simplistic comparison and describes transcript-based assessment.</t>
  </si>
  <si>
    <t>PDF p29 OCR L21–p29 OCR L23</t>
  </si>
  <si>
    <t>PDF p29 OCR L24–p31 OCR L18</t>
  </si>
  <si>
    <t>CW-012</t>
  </si>
  <si>
    <t>And I mean, you can say that in the writing recall, in the many chats with you and me, I have done surgical. We have done surgical improvements. So I have looked at something and I said, insert this in the right place. Or you have told me insert this in the right place. I may have agreed with you or not. So, I can look at your paragraph and say, well, that's not strong enough. You need to make it stronger. Or you do …</t>
  </si>
  <si>
    <t>conceptual discrimination; methodological judgment; argumentative judgment</t>
  </si>
  <si>
    <t>Provides retrospective examples of iteration across writing levels.</t>
  </si>
  <si>
    <t>AI conceptualizes iterative co-writing at multiple granularities.</t>
  </si>
  <si>
    <t>PDF p31 OCR L19–p31 OCR L25</t>
  </si>
  <si>
    <t>PDF p31 OCR L26–p33 OCR L21</t>
  </si>
  <si>
    <t>CW-013</t>
  </si>
  <si>
    <t>Okay, now give a better, more precise paper title to make the novelty clear and also the structure of paper.</t>
  </si>
  <si>
    <t>argumentative judgment; genre/writing expertise</t>
  </si>
  <si>
    <t>Requests a more precise title and structure that communicate novelty.</t>
  </si>
  <si>
    <t>AI revises the framing and outline.</t>
  </si>
  <si>
    <t>PDF p33 OCR L22–p33 OCR L22</t>
  </si>
  <si>
    <t>PDF p33 OCR L23–p38 OCR L38</t>
  </si>
  <si>
    <t>CW-014</t>
  </si>
  <si>
    <t>we can quote this famous saying is 'l W' The devil is in the details," If we look at the interaction details in the log, that shows the type of things, you know, when. For example, certain interactions will show how much insight either party provided to the discussion, and I think that can be very, very interesting.</t>
  </si>
  <si>
    <t>Proposes an aphorism and a rationale for examining detailed contributions.</t>
  </si>
  <si>
    <t>AI proposes an academic use of the aphorism.</t>
  </si>
  <si>
    <t>PDF p38 OCR L39–p38 OCR L42</t>
  </si>
  <si>
    <t>PDF p38 OCR L43–p40 OCR L7</t>
  </si>
  <si>
    <t>CW-015</t>
  </si>
  <si>
    <t>l, you know, the five-level spectrum that I had, right, from one-shot to the more detailed human control. You can say that if people don't have proper agency, if they are junior, they will just use one-shot things to create sections or the entire document. But more expert people like myself, I will scrutinize Al's writing almost every line and every sentence. So that's the difference as well. By the way, I think the …</t>
  </si>
  <si>
    <t>Weighs manuscript boundaries while supplying an expertise/agency hypothesis.</t>
  </si>
  <si>
    <t>AI recommends separating process analysis from agency/expertise.</t>
  </si>
  <si>
    <t>PDF p40 OCR L8–p40 OCR L12</t>
  </si>
  <si>
    <t>PDF p40 OCR L13–p42 OCR L17</t>
  </si>
  <si>
    <t>CW-016</t>
  </si>
  <si>
    <t>0k, let's proceed with paper 1. " g God is in the detail," or "devil is in the detail," —= whch one to use? god is better</t>
  </si>
  <si>
    <t>Chooses the first paper and compares two possible opening aphorisms.</t>
  </si>
  <si>
    <t>AI recommends God is in the detail.</t>
  </si>
  <si>
    <t>PDF p42 OCR L18–p42 OCR L20</t>
  </si>
  <si>
    <t>PDF p42 OCR L21–p42 OCR L39</t>
  </si>
  <si>
    <t>CW-017</t>
  </si>
  <si>
    <t>I also saw on internet a lady professor posted a nice message that because for people like myself and hers, because we have been trained in the age of without Al, in the before Al or pre-Al age, we have done paper writing in the, let's say, hard and sweaty way, that if we offload now, of course we may get some brain rot in parts of our paper writing skills, but we have done it without Al. So for the new generation, i…</t>
  </si>
  <si>
    <t>Distinguishes offloading acquired skills from risks to skill acquisition.</t>
  </si>
  <si>
    <t>AI discusses the distinction and recommends reserving it for another paper.</t>
  </si>
  <si>
    <t>PDF p42 OCR L40–p42 OCR L43</t>
  </si>
  <si>
    <t>PDF p42 OCR L44–p43 OCR L24</t>
  </si>
  <si>
    <t>CW-018</t>
  </si>
  <si>
    <t>I don't like fine grained in the title. When Humans and Al Write Together: Characterizing Fine-Grained Human-Al Co-Writing</t>
  </si>
  <si>
    <t>Redirection; Knowledge injection</t>
  </si>
  <si>
    <t>Rejects fine-grained in the title and supplies an alternative.</t>
  </si>
  <si>
    <t>AI proposes a simpler title.</t>
  </si>
  <si>
    <t>PDF p43 OCR L25–p43 OCR L26</t>
  </si>
  <si>
    <t>PDF p43 OCR L27–p43 OCR L47</t>
  </si>
  <si>
    <t>CW-019</t>
  </si>
  <si>
    <t>When Humans and Al Write Together: Characterizing Interaction Process in Human—Al Co-Writing of Academic Research</t>
  </si>
  <si>
    <t>Supplies a preferred title for refinement.</t>
  </si>
  <si>
    <t>AI makes a grammatical adjustment.</t>
  </si>
  <si>
    <t>PDF p44 OCR L3–p44 OCR L4</t>
  </si>
  <si>
    <t>PDF p44 OCR L5–p44 OCR L20</t>
  </si>
  <si>
    <t>CW-020</t>
  </si>
  <si>
    <t>Okay, let's start writing, but give me the table of contents. I still want to include the credit table that I have. By the way, those specific values I have put inside are my own for this particular paper.</t>
  </si>
  <si>
    <t>Knowledge injection; Selection/Rejection</t>
  </si>
  <si>
    <t>Retains the CRediT table and identifies its values as the author's own assessments.</t>
  </si>
  <si>
    <t>AI drafts the contents and qualifies the contribution values.</t>
  </si>
  <si>
    <t>PDF p44 OCR L21–p44 OCR L22</t>
  </si>
  <si>
    <t>PDF p44 OCR L23–p48 OCR L39</t>
  </si>
  <si>
    <t>CW-021</t>
  </si>
  <si>
    <t>Too many sections and subsections. I guess some venues don't like this much granularity.</t>
  </si>
  <si>
    <t>Challenges excessive section/subsection granularity for the intended venue.</t>
  </si>
  <si>
    <t>AI simplifies the proposed structure.</t>
  </si>
  <si>
    <t>PDF p48 OCR L40–p48 OCR L40</t>
  </si>
  <si>
    <t>PDF p49 OCR L3–p51 OCR L16</t>
  </si>
  <si>
    <t>CW-022</t>
  </si>
  <si>
    <t>Okay, generate section two, use my old text below as well.--- By the way, the whole paper should be about 9,000 words, so consider that limit and keep track of it for when you generate each section.</t>
  </si>
  <si>
    <t>Requests Section 2 with old text and a manuscript word budget.</t>
  </si>
  <si>
    <t>AI drafts related work with a section budget.</t>
  </si>
  <si>
    <t>PDF p51 OCR L17–p51 OCR L18</t>
  </si>
  <si>
    <t>PDF p51 OCR L19–p53 OCR L16</t>
  </si>
  <si>
    <t>CW-023</t>
  </si>
  <si>
    <t>But I also want you to keep track of the references used and you need to make sure that you need to double check or triple check each reference to make sure they are not hallucinated. So give me the current list of citations for the end references in the APA format.</t>
  </si>
  <si>
    <t>evidence judgment; genre/writing expertise</t>
  </si>
  <si>
    <t>Requires citation verification, tracking and an APA reference list.</t>
  </si>
  <si>
    <t>AI supplies a registry and claims bibliographic checking.</t>
  </si>
  <si>
    <t>PDF p53 OCR L17–p53 OCR L19</t>
  </si>
  <si>
    <t>PDF p53 OCR L20–p54 OCR L13</t>
  </si>
  <si>
    <t>CW-024</t>
  </si>
  <si>
    <t>By the way, an SLR on all these papers will be doable, right? Because in my pool I had found, you know, IO or 15 papers or more.</t>
  </si>
  <si>
    <t>Knowledge injection; Deliberation</t>
  </si>
  <si>
    <t>Asks whether the available literature pool supports an SLR.</t>
  </si>
  <si>
    <t>AI distinguishes study count from systematic review design.</t>
  </si>
  <si>
    <t>PDF p54 OCR L14–p54 OCR L15</t>
  </si>
  <si>
    <t>PDF p54 OCR L16–p54 OCR L40</t>
  </si>
  <si>
    <t>CW-025</t>
  </si>
  <si>
    <t>Generate six. Are you sure we want to keep all the six papers that I had? Or I don't know. Should we keep five of them? Six may be too much. We can't go to depth. So even we can do four. Four means including this paper. So it's gonna be really three other papers from my pool.</t>
  </si>
  <si>
    <t>Directed delegation; Redirection</t>
  </si>
  <si>
    <t>Compares case counts against the achievable depth of analysis.</t>
  </si>
  <si>
    <t>AI recommends four cases including the current manuscript.</t>
  </si>
  <si>
    <t>PDF p54 OCR L41–p54 OCR L43</t>
  </si>
  <si>
    <t>PDF p54 OCR L44–p55 OCR L41</t>
  </si>
  <si>
    <t>CW-026</t>
  </si>
  <si>
    <t>Okay, I suggest not selecting the current paper because we are in the process of writing it. So we don't have all the prompts. So I gave you all the files for five papers, and I suggest you select three of them. From the file names you can see which one are them.</t>
  </si>
  <si>
    <t>Redirection; Directed delegation; Knowledge injection</t>
  </si>
  <si>
    <t>Excludes an unfinished case because its interaction history is incomplete.</t>
  </si>
  <si>
    <t>AI selects three earlier cases from the supplied candidate set.</t>
  </si>
  <si>
    <t>PDF p55 OCR L42–p55 OCR L44</t>
  </si>
  <si>
    <t>PDF p55 OCR L45–p56 OCR L22</t>
  </si>
  <si>
    <t>CW-027</t>
  </si>
  <si>
    <t>Okay, now generate section three and say that, yeah, we had a number of candidate papers and then we selected these three for those reasons.</t>
  </si>
  <si>
    <t>Requests methods prose explaining candidate selection and reasons.</t>
  </si>
  <si>
    <t>AI drafts the research design.</t>
  </si>
  <si>
    <t>PDF p56 OCR L23–p56 OCR L24</t>
  </si>
  <si>
    <t>PDF p56 OCR L25–p57 OCR L27</t>
  </si>
  <si>
    <t>CW-028</t>
  </si>
  <si>
    <t>When you generate that section three, you need to say that we need to be careful that we characterize the interaction process, but we have to keep reminding that the interaction should again stay in a responsible and ethical way. I mean, if a researcher just becomes lazy and just interacts with Al to do the work for him instead of him thinking, that's not acceptable. So that caveat should, we should mention it repeti…</t>
  </si>
  <si>
    <t>Requires responsible-use qualifications and supplies the underlying argument.</t>
  </si>
  <si>
    <t>AI proposes recurring responsibility language.</t>
  </si>
  <si>
    <t>PDF p57 OCR L28–p57 OCR L32</t>
  </si>
  <si>
    <t>PDF p57 OCR L33–p58 OCR L55</t>
  </si>
  <si>
    <t>CW-029</t>
  </si>
  <si>
    <t>Review again the old version of the paper and refer to the GitHub for data. O github.com/vgoruslu/modes-of- human-Al-collaborative-writing</t>
  </si>
  <si>
    <t>Knowledge injection; Evaluation</t>
  </si>
  <si>
    <t>methodological judgment; evidence judgment</t>
  </si>
  <si>
    <t>Supplies the older draft and archive repository and directs source-based review.</t>
  </si>
  <si>
    <t>AI discusses the draft and data; claimed repository access is not independently verified.</t>
  </si>
  <si>
    <t>PDF p58 OCR L56–p58 OCR L57</t>
  </si>
  <si>
    <t>PDF p59 OCR L3–p60 OCR L36</t>
  </si>
  <si>
    <t>CW-030</t>
  </si>
  <si>
    <t>Are you doing okay? Which earlier study are you referring to? My old draft was rejected, okay? So are you doing okay? And don't be so defensive that we don't... characterization is not endorsement. Just say that even to better understand how much involvement a human researcher had analyzing such interactions can also help. So we are trying to characterize and understand and build on the existing work that have been p…</t>
  </si>
  <si>
    <t>Redirection; Directed delegation</t>
  </si>
  <si>
    <t>evidence judgment; argumentative judgment; genre/writing expertise</t>
  </si>
  <si>
    <t>Corrects reference to a rejected draft as an earlier study and rejects defensive prose.</t>
  </si>
  <si>
    <t>AI acknowledges the error and shortens the framing.</t>
  </si>
  <si>
    <t>PDF p60 OCR L37–p60 OCR L41</t>
  </si>
  <si>
    <t>PDF p60 OCR L42–p61 OCR L49</t>
  </si>
  <si>
    <t>CW-031</t>
  </si>
  <si>
    <t>give 4 Characterizing the Human—Al Co-Writing Process 4.1 From Research Contribution to Writing Interaction</t>
  </si>
  <si>
    <t>Names the section and subsection to draft without adding a substantive criterion.</t>
  </si>
  <si>
    <t>AI drafts the contribution-to-interaction section.</t>
  </si>
  <si>
    <t>PDF p61 OCR L50–p61 OCR L51</t>
  </si>
  <si>
    <t>PDF p61 OCR L52–p63 OCR L9</t>
  </si>
  <si>
    <t>CW-032</t>
  </si>
  <si>
    <t>Do you have any comments on my credit table?</t>
  </si>
  <si>
    <t>Requests assessment of a table without stating an independent criterion.</t>
  </si>
  <si>
    <t>AI comments on the table's role and presentation.</t>
  </si>
  <si>
    <t>PDF p63 OCR L10–p63 OCR L10</t>
  </si>
  <si>
    <t>PDF p63 OCR L11–p65 OCR L4</t>
  </si>
  <si>
    <t>CW-033</t>
  </si>
  <si>
    <t>I start to not like this phrase interaction trajectories. . Why should we talk about interaction trajectory?</t>
  </si>
  <si>
    <t>Redirection; Deliberation</t>
  </si>
  <si>
    <t>conceptual discrimination; genre/writing expertise</t>
  </si>
  <si>
    <t>Questions the necessity of interaction trajectory as a construct.</t>
  </si>
  <si>
    <t>AI recommends simpler process terminology.</t>
  </si>
  <si>
    <t>PDF p65 OCR L5–p65 OCR L5</t>
  </si>
  <si>
    <t>PDF p65 OCR L6–p65 OCR L38</t>
  </si>
  <si>
    <t>CW-034</t>
  </si>
  <si>
    <t>give 4.2 Dimensions of Human—Al Co-Writing Interaction. no need for 4.3. also if in middle of sentence write 'human— Al contributions " , with lower case h</t>
  </si>
  <si>
    <t>Selection/Rejection; Redirection</t>
  </si>
  <si>
    <t>Specifies subsection structure, deletion and capitalization conventions.</t>
  </si>
  <si>
    <t>AI drafts Section 4.2.</t>
  </si>
  <si>
    <t>PDF p65 OCR L39–p65 OCR L40</t>
  </si>
  <si>
    <t>PDF p65 OCR L41–p67 OCR L31</t>
  </si>
  <si>
    <t>CW-035</t>
  </si>
  <si>
    <t>Do you want to start giving examples? My papers perhaps could be too technical, but you can give, like, generic examples to make them understandable. We can give examples from, example examples from this very, from the current paper itself.</t>
  </si>
  <si>
    <t>Requests accessible examples and suggests the current manuscript as their source.</t>
  </si>
  <si>
    <t>AI recommends generic examples drawn from this collaboration.</t>
  </si>
  <si>
    <t>PDF p67 OCR L32–p67 OCR L34</t>
  </si>
  <si>
    <t>PDF p67 OCR L35–p68 OCR L13</t>
  </si>
  <si>
    <t>CW-036</t>
  </si>
  <si>
    <t>Well, you need to regenerate 4.2 and include those examples there.</t>
  </si>
  <si>
    <t>Requires examples to be integrated into Section 4.2.</t>
  </si>
  <si>
    <t>AI redrafts the subsection with examples.</t>
  </si>
  <si>
    <t>PDF p68 OCR L14–p68 OCR L14</t>
  </si>
  <si>
    <t>PDF p68 OCR L15–p70 OCR L2</t>
  </si>
  <si>
    <t>CW-037</t>
  </si>
  <si>
    <t>Give me the structure of section 5 and now we remove the trajectories.</t>
  </si>
  <si>
    <t>Requests Section 5 structure while explicitly removing trajectories.</t>
  </si>
  <si>
    <t>AI outlines an application of the interaction dimensions.</t>
  </si>
  <si>
    <t>PDF p70 OCR L4–p70 OCR L4</t>
  </si>
  <si>
    <t>PDF p70 OCR L5–p71 OCR L29</t>
  </si>
  <si>
    <t>CW-038</t>
  </si>
  <si>
    <t>And what insights? Where will you discuss insights? Well, in 5.2, you will apply, study the dimensions, but then the reviewer will say, So what? Right? Why are we doing these analysis? I think you need an insight section.</t>
  </si>
  <si>
    <t>Diagnoses a missing interpretive step and anticipates the reader's so-what question.</t>
  </si>
  <si>
    <t>AI adds an insights section.</t>
  </si>
  <si>
    <t>PDF p71 OCR L30–p71 OCR L31</t>
  </si>
  <si>
    <t>PDF p71 OCR L32–p72 OCR L45</t>
  </si>
  <si>
    <t>CW-039</t>
  </si>
  <si>
    <t>Okay, give me five and 5.1.</t>
  </si>
  <si>
    <t>Specifies Section 5 and its first subsection for drafting without adding a substantive criterion.</t>
  </si>
  <si>
    <t>AI drafts the requested findings subsection.</t>
  </si>
  <si>
    <t>PDF p72 OCR L47–p72 OCR L47</t>
  </si>
  <si>
    <t>PDF p73 OCR L3–p74 OCR L5</t>
  </si>
  <si>
    <t>CW-040</t>
  </si>
  <si>
    <t>I really like that. In later sections of chapter 5, section 5, make sure to talk more about that very issue.</t>
  </si>
  <si>
    <t>Accepts the interpretive idea and instructs its emphasis in later analysis.</t>
  </si>
  <si>
    <t>AI describes how the theme will guide Section 5.</t>
  </si>
  <si>
    <t>PDF p74 OCR L6–p74 OCR L6</t>
  </si>
  <si>
    <t>PDF p74 OCR L7–p74 OCR L17</t>
  </si>
  <si>
    <t>CW-041</t>
  </si>
  <si>
    <t>Even one side can be the post is like a retrospective of one author by himself and looking at her past interactions with Al and see how much Al helped him to be more, you know, creative and all of that. So I think that retrospective analysis of his own work with Al.</t>
  </si>
  <si>
    <t>Proposes retrospective self-analysis of the author's interactions.</t>
  </si>
  <si>
    <t>AI develops a reflexive analysis framing.</t>
  </si>
  <si>
    <t>PDF p74 OCR L18–p74 OCR L20</t>
  </si>
  <si>
    <t>PDF p74 OCR L21–p74 OCR L45</t>
  </si>
  <si>
    <t>CW-042</t>
  </si>
  <si>
    <t>Again also don't forget the other that, you know, we will end the discussion. Of course some journals will ask Al logs, but to be submitted if Al is used, but then authors can also provide analysis of their logs using the discussions that we are doing here.</t>
  </si>
  <si>
    <t>Proposes that authors supply logs and that journals analyze them, distinguishing practical provenance from disclosure alone.</t>
  </si>
  <si>
    <t>AI develops the practical implications; journal-policy claims are not independently verified.</t>
  </si>
  <si>
    <t>PDF p74 OCR L46–p74 OCR L48</t>
  </si>
  <si>
    <t>PDF p75 OCR L3–p75 OCR L29</t>
  </si>
  <si>
    <t>CW-043</t>
  </si>
  <si>
    <t>I have a feeling that 5.1 is duplicating 3.1.</t>
  </si>
  <si>
    <t>Identifies duplication between methods and case introduction.</t>
  </si>
  <si>
    <t>AI acknowledges overlap and proposes distinct section roles.</t>
  </si>
  <si>
    <t>PDF p75 OCR L30–p75 OCR L30</t>
  </si>
  <si>
    <t>PDF p75 OCR L31–p76 OCR L10</t>
  </si>
  <si>
    <t>CW-044</t>
  </si>
  <si>
    <t>Should we talk about the three papers of this study in 3.1 or 5? I think 3.1 is too early. We can just move them to 5.1. Which one is better, you think?</t>
  </si>
  <si>
    <t>Compares where the cases should be introduced and gives a placement preference.</t>
  </si>
  <si>
    <t>AI recommends introducing case details in Section 5.1.</t>
  </si>
  <si>
    <t>PDF p76 OCR L11–p76 OCR L12</t>
  </si>
  <si>
    <t>PDF p76 OCR L13–p76 OCR L39</t>
  </si>
  <si>
    <t>CW-045</t>
  </si>
  <si>
    <t>So regenerate section three.</t>
  </si>
  <si>
    <t>Requests regeneration after an already negotiated decision; adds no new judgment.</t>
  </si>
  <si>
    <t>AI regenerates the research design.</t>
  </si>
  <si>
    <t>PDF p76 OCR L40–p76 OCR L40</t>
  </si>
  <si>
    <t>PDF p76 OCR L41–p78 OCR L19</t>
  </si>
  <si>
    <t>CW-046</t>
  </si>
  <si>
    <t>Ah, you made it too long. The existing section three only has two subsections. You made it so long. Just make it two subsections and much shorter.</t>
  </si>
  <si>
    <t>Identifies excessive length and requires two shorter subsections.</t>
  </si>
  <si>
    <t>AI shortens the methods section.</t>
  </si>
  <si>
    <t>PDF p78 OCR L20–p78 OCR L21</t>
  </si>
  <si>
    <t>PDF p78 OCR L22–p79 OCR L10</t>
  </si>
  <si>
    <t>CW-047</t>
  </si>
  <si>
    <t>Too much forward referencing. Reader hasn't seen 4.2, so regenerate section 3.2.</t>
  </si>
  <si>
    <t>Diagnoses premature forward references to an unseen framework.</t>
  </si>
  <si>
    <t>AI revises Section 3.2 to stand on its own.</t>
  </si>
  <si>
    <t>PDF p79 OCR L11–p79 OCR L11</t>
  </si>
  <si>
    <t>PDF p79 OCR L12–p79 OCR L28</t>
  </si>
  <si>
    <t>CW-048</t>
  </si>
  <si>
    <t>Regenerate section 5 and 5.1. Do not say that three cases were selected in section 3, just say that three complete papers, as if they are from fresh discussion.</t>
  </si>
  <si>
    <t>Requests self-contained case introduction rather than referring back to selection prose.</t>
  </si>
  <si>
    <t>AI regenerates Section 5 and 5.1.</t>
  </si>
  <si>
    <t>PDF p79 OCR L29–p79 OCR L30</t>
  </si>
  <si>
    <t>PDF p79 OCR L31–p80 OCR L61</t>
  </si>
  <si>
    <t>CW-049</t>
  </si>
  <si>
    <t>I think the word creative is not good. Scientists, creative, like goes to art and painting. Should we say, you know, scientific discovery or, you know, scientific, whatever?</t>
  </si>
  <si>
    <t>Questions whether creative introduces an unnecessary construct and seeks precision.</t>
  </si>
  <si>
    <t>AI recommends intellectual and scholarly work.</t>
  </si>
  <si>
    <t>PDF p80 OCR L62–p80 OCR L63</t>
  </si>
  <si>
    <t>PDF p80 OCR L64–p81 OCR L10</t>
  </si>
  <si>
    <t>CW-050</t>
  </si>
  <si>
    <t>Is the table in section 5.1 discussed in text?</t>
  </si>
  <si>
    <t>Checks whether the table is explained in the surrounding text.</t>
  </si>
  <si>
    <t>AI identifies partial discussion and proposes a stronger introduction.</t>
  </si>
  <si>
    <t>PDF p81 OCR L11–p81 OCR L11</t>
  </si>
  <si>
    <t>PDF p81 OCR L12–p81 OCR L28</t>
  </si>
  <si>
    <t>CW-051</t>
  </si>
  <si>
    <t>give 5.2 and 5.3</t>
  </si>
  <si>
    <t>Names two subsections to generate without new substantive specification.</t>
  </si>
  <si>
    <t>AI drafts analysis and cross-case insights.</t>
  </si>
  <si>
    <t>PDF p81 OCR L29–p81 OCR L29</t>
  </si>
  <si>
    <t>PDF p81 OCR L30–p83 OCR L27</t>
  </si>
  <si>
    <t>CW-052</t>
  </si>
  <si>
    <t>gen 6 Discussion and Conclusion. discuss limitations in there too</t>
  </si>
  <si>
    <t>Requests discussion/conclusion including limitations.</t>
  </si>
  <si>
    <t>AI drafts the final section.</t>
  </si>
  <si>
    <t>PDF p83 OCR L28–p83 OCR L28</t>
  </si>
  <si>
    <t>PDF p83 OCR L29–p84 OCR L46</t>
  </si>
  <si>
    <t>CW-053</t>
  </si>
  <si>
    <t>cut half</t>
  </si>
  <si>
    <t>Sets a specific reduction target.</t>
  </si>
  <si>
    <t>AI halves the section.</t>
  </si>
  <si>
    <t>PDF p84 OCR L47–p84 OCR L47</t>
  </si>
  <si>
    <t>PDF p84 OCR L48–p85 OCR L28</t>
  </si>
  <si>
    <t>CW-054</t>
  </si>
  <si>
    <t>give Disclosure of Al Use. say that table 1 reportes ratio for the contributions of human Al in this very paper, and then say that the GPT (mention your model name and version here) was used for writing assistance. and that log of interactions can be found in the open data repositoy.</t>
  </si>
  <si>
    <t>Specifies disclosure of contribution ratios, model identity and interaction repository.</t>
  </si>
  <si>
    <t>AI drafts an AI-use disclosure.</t>
  </si>
  <si>
    <t>PDF p85 OCR L29–p85 OCR L31</t>
  </si>
  <si>
    <t>PDF p85 OCR L32–p85 OCR L39</t>
  </si>
  <si>
    <t>CW-055</t>
  </si>
  <si>
    <t>Okay, I give you the draft paper. We are tight on the space, but I need you to give me abstract, keywords, and introduction. Keep them short.</t>
  </si>
  <si>
    <t>Supplies the draft and requests short abstract, keywords and introduction.</t>
  </si>
  <si>
    <t>AI drafts those front-matter elements.</t>
  </si>
  <si>
    <t>PDF p85 OCR L40–p85 OCR L41</t>
  </si>
  <si>
    <t>PDF p85 OCR L42–p86 OCR L44</t>
  </si>
  <si>
    <t>CW-056</t>
  </si>
  <si>
    <t>Make abstract unstructured.</t>
  </si>
  <si>
    <t>Specifies an unstructured abstract format.</t>
  </si>
  <si>
    <t>AI converts the abstract.</t>
  </si>
  <si>
    <t>PDF p86 OCR L45–p86 OCR L45</t>
  </si>
  <si>
    <t>PDF p86 OCR L46–p86 OCR L55</t>
  </si>
  <si>
    <t>CW-057</t>
  </si>
  <si>
    <t>I do not like when you put like a link to my own file inside my text. What is that?</t>
  </si>
  <si>
    <t>Rejects internal uploaded-file links in manuscript prose intended for copying.</t>
  </si>
  <si>
    <t>AI replaces internal file references with manuscript-appropriate citations.</t>
  </si>
  <si>
    <t>PDF p86 OCR L56–p86 OCR L56</t>
  </si>
  <si>
    <t>PDF p86 OCR L57–p87 OCR L9</t>
  </si>
  <si>
    <t>CW-058</t>
  </si>
  <si>
    <t>title? When Humans and Al Write Together. Characterizing Human—Al Interactions in Co-Writing of Academic Research</t>
  </si>
  <si>
    <t>Supplies a candidate title for assessment.</t>
  </si>
  <si>
    <t>AI recommends a shorter title.</t>
  </si>
  <si>
    <t>PDF p87 OCR L10–p87 OCR L11</t>
  </si>
  <si>
    <t>PDF p87 OCR L12–p87 OCR L20</t>
  </si>
  <si>
    <t>CW-059</t>
  </si>
  <si>
    <t>By the way, you forgot to put God in the details in the introduction.</t>
  </si>
  <si>
    <t>Detects omission of the agreed introductory aphorism.</t>
  </si>
  <si>
    <t>AI acknowledges the omission and drafts a placement.</t>
  </si>
  <si>
    <t>PDF p87 OCR L21–p87 OCR L21</t>
  </si>
  <si>
    <t>PDF p87 OCR L22–p87 OCR L38</t>
  </si>
  <si>
    <t>CW-060</t>
  </si>
  <si>
    <t>Do a detailed review of the manuscript, including the references. Are they all properly there?</t>
  </si>
  <si>
    <t>Requests manuscript and reference completeness checking.</t>
  </si>
  <si>
    <t>AI provides a detailed review and claims external bibliographic checks.</t>
  </si>
  <si>
    <t>PDF p87 OCR L39–p87 OCR L39</t>
  </si>
  <si>
    <t>PDF p87 OCR L40–p94 OCR L28</t>
  </si>
  <si>
    <t>CW-061</t>
  </si>
  <si>
    <t>which citation is this? Earp, Guernon and Porsdam Mann (2026) accordingly argue that academic authorship should be judged in relation to the depth and creativity of human intellectual engagement rather than simply by the medium through which an initial draft is produced. This distinction becomes particularly consequential when Al generates much of the surface prose but a human researcher determines the purpose and ar…</t>
  </si>
  <si>
    <t>Asks which source supports a cited argument; the paragraph is supplied as context.</t>
  </si>
  <si>
    <t>AI identifies the preprint and explains the attribution.</t>
  </si>
  <si>
    <t>PDF p94 OCR L29–p94 OCR L34</t>
  </si>
  <si>
    <t>PDF p94 OCR L35–p94 OCR L62</t>
  </si>
  <si>
    <t>CW-062</t>
  </si>
  <si>
    <t>Are you referring to the following paragraph? Where in it I should cite that paper? A contrasting but compatible argument is that thinking is not only writing. The production of sentences is not an exhaustive measure of intellectual contribution. Researchers can contribute through problem formulation, disciplinary expertise, conceptual design, interpretation, critical evaluation, selection, rejection, verification, a…</t>
  </si>
  <si>
    <t>Supplies a paragraph and asks whether a writing-is-thinking citation belongs there; the quoted argument is contextual.</t>
  </si>
  <si>
    <t>AI advises placing the citation elsewhere rather than in that paragraph.</t>
  </si>
  <si>
    <t>PDF p94 OCR L63–p95 OCR L6</t>
  </si>
  <si>
    <t>PDF p95 OCR L7–p95 OCR L32</t>
  </si>
  <si>
    <t>CW-063</t>
  </si>
  <si>
    <t>Tell me exactly what to replace them with.</t>
  </si>
  <si>
    <t>Requests exact replacement text rather than general advice.</t>
  </si>
  <si>
    <t>AI gives replacements while retaining one trajectory example.</t>
  </si>
  <si>
    <t>PDF p95 OCR L33–p95 OCR L33</t>
  </si>
  <si>
    <t>PDF p95 OCR L34–p96 OCR L22</t>
  </si>
  <si>
    <t>CW-064</t>
  </si>
  <si>
    <t>no they are: Al introduced interaction trajectory as a possible concept for describing the development of Human—Al exchanges over time. The development of the concept interaction trajectory provides an example. Al initially proposed the concept; it was used in developing an earlier version of the framework; the researcher subsequently questioned why the paper needed the concept at all; the distinction between an inte…</t>
  </si>
  <si>
    <t>Directed delegation; Knowledge injection</t>
  </si>
  <si>
    <t>Clarifies the exact passages and requires removal of the rejected term.</t>
  </si>
  <si>
    <t>AI supplies replacements without interaction trajectory.</t>
  </si>
  <si>
    <t>PDF p96 OCR L23–p96 OCR L29</t>
  </si>
  <si>
    <t>PDF p96 OCR L30–p97 OCR L6</t>
  </si>
  <si>
    <t>CW-065</t>
  </si>
  <si>
    <t>I made a number of fixes based on your comments. So, for your comments below, now I want to fix them. For comment 11 that you gave below, can you give me surgical places to fix and add new references? You have my list of citations, right? From the paper that I had given you. So, or you can find your own papers. 11. Related work is good, but a little too dependent on Earp/Porsdam Mann Conceptually I like Section 2. It…</t>
  </si>
  <si>
    <t>Requests precise source additions after reporting edits; quoted AI critique is external context.</t>
  </si>
  <si>
    <t>AI suggests surgical additions to broaden the literature base.</t>
  </si>
  <si>
    <t>PDF p97 OCR L7–p97 OCR L22</t>
  </si>
  <si>
    <t>PDF p97 OCR L23–p99 OCR L3</t>
  </si>
  <si>
    <t>CW-066</t>
  </si>
  <si>
    <t>For your comment below, do you want to give me a reduced version of 4.1? Or do you have a better idea in mind?-- - 12. Section 4.1 is currently too long This is where I see the easiest space saving. Section 4.1 explains the same central point several times: final text does not capture contribution; contribution analysis versus interaction analysis; prompt counts do not measure intellectual contribution; rejected cont…</t>
  </si>
  <si>
    <t>Compares shortening a subsection with an alternative revision strategy.</t>
  </si>
  <si>
    <t>AI recommends reducing repetition rather than restructuring.</t>
  </si>
  <si>
    <t>PDF p99 OCR L4–p99 OCR L18</t>
  </si>
  <si>
    <t>PDF p99 OCR L19–p100 OCR L23</t>
  </si>
  <si>
    <t>CW-067</t>
  </si>
  <si>
    <t>Okay, for your comment below, should we go ahead and improve section 5 or go back to our claim earlier in the paper and just make it more, you know, decrease the expectation? - 13. Section 5 is still the area a reviewer is most likely to challenge This is the substantive issue I would focus on before submission. The paper promises a qualitative retrospective multiple-case analysis. Paper--Human Al co-writing But Sect…</t>
  </si>
  <si>
    <t>Weighs improving empirical analysis against reducing the strength of the paper's claims.</t>
  </si>
  <si>
    <t>AI recommends stronger evidence plus modest methods qualification.</t>
  </si>
  <si>
    <t>PDF p100 OCR L24–p100 OCR L42</t>
  </si>
  <si>
    <t>PDF p100 OCR L43–p102 OCR L5</t>
  </si>
  <si>
    <t>CW-068</t>
  </si>
  <si>
    <t>Okay, I like your idea. So based on, I mean, I had given you all the log files of the case papers, right? So now do the analysis and give me surgical places to improve that section five.</t>
  </si>
  <si>
    <t>Accepts evidence strengthening and requires log-based analysis with precise insertion points.</t>
  </si>
  <si>
    <t>AI claims to revisit the archives and proposes empirical changes.</t>
  </si>
  <si>
    <t>PDF p102 OCR L6–p102 OCR L7</t>
  </si>
  <si>
    <t>PDF p102 OCR L8–p104 OCR L45</t>
  </si>
  <si>
    <t>CW-069</t>
  </si>
  <si>
    <t>You said you cannot recover the files or whatever. I'm giving you now all the data files for those three papers. Do you want to create the surgical changes for me again?</t>
  </si>
  <si>
    <t>Responds to claimed recovery limits by supplying all case files and requesting renewed analysis.</t>
  </si>
  <si>
    <t>AI promises to redo analysis from the complete supplied data.</t>
  </si>
  <si>
    <t>PDF p104 OCR L46–p104 OCR L47</t>
  </si>
  <si>
    <t>PDF p104 OCR L48–p105 OCR L14</t>
  </si>
  <si>
    <t>CW-070</t>
  </si>
  <si>
    <t>Have you done the work? You seem to be finished, but you didn't suggest me any surgical improvements.</t>
  </si>
  <si>
    <t>Challenges a response that described plans without delivering the requested edits.</t>
  </si>
  <si>
    <t>AI acknowledges the omission and provides surgical changes.</t>
  </si>
  <si>
    <t>PDF p105 OCR L15–p105 OCR L15</t>
  </si>
  <si>
    <t>PDF p105 OCR L16–p107 OCR L5</t>
  </si>
  <si>
    <t>CW-071</t>
  </si>
  <si>
    <t>When you give the surgical things, also include verbatim prompts from the logs. I think that will make them more meaningful.</t>
  </si>
  <si>
    <t>Requires verbatim source prompts as evidence in the proposed edits.</t>
  </si>
  <si>
    <t>AI supplies excerpts and placements.</t>
  </si>
  <si>
    <t>PDF p107 OCR L6–p107 OCR L7</t>
  </si>
  <si>
    <t>PDF p107 OCR L8–p107 OCR L37</t>
  </si>
  <si>
    <t>CW-072</t>
  </si>
  <si>
    <t>Okay, it was hard for me to know where you suggested to add those verbatims. Here is the latest version. Now give me surgical help to add those verbatims in those sentences.</t>
  </si>
  <si>
    <t>Identifies unclear placement guidance and supplies the latest draft for exact insertions.</t>
  </si>
  <si>
    <t>AI maps excerpts to specific manuscript sentences.</t>
  </si>
  <si>
    <t>PDF p107 OCR L38–p107 OCR L39</t>
  </si>
  <si>
    <t>PDF p107 OCR L40–p109 OCR L19</t>
  </si>
  <si>
    <t>CW-073</t>
  </si>
  <si>
    <t>Okay, one other comment you had given was the following: how should we fix that? 14. Section 5.3 and Section 6 overlap too much You are tight on space, and this is the other obvious place to cut. Section 5.3 gives five findings: 1. similar Al involvement can conceal different human involvement; 2. human intellectual involvement occurs throughout co-writing; 3. rejected/modified contributions matter; 4. scholarly task…</t>
  </si>
  <si>
    <t>Requests a revised discussion using a quoted overlap critique; does not originate that critique.</t>
  </si>
  <si>
    <t>AI rewrites Section 6 to reduce overlap with findings.</t>
  </si>
  <si>
    <t>PDF p109 OCR L20–p109 OCR L35</t>
  </si>
  <si>
    <t>PDF p109 OCR L36–p110 OCR L32</t>
  </si>
  <si>
    <t>CW-074</t>
  </si>
  <si>
    <t>Okay, now do a detailed review of this version, review the references and say what you think.</t>
  </si>
  <si>
    <t>Requests a fresh whole-manuscript and reference review.</t>
  </si>
  <si>
    <t>AI reviews the revised manuscript and claims source checks.</t>
  </si>
  <si>
    <t>PDF p110 OCR L33–p110 OCR L33</t>
  </si>
  <si>
    <t>PDF p110 OCR L34–p116 OCR L34</t>
  </si>
  <si>
    <t>CW-075</t>
  </si>
  <si>
    <t>We first talk about the word dimensions in the opening of Section 4. So should we say that in Section 4 or in 3.2?</t>
  </si>
  <si>
    <t>Compares methods versus framework placement of the dimensions definition.</t>
  </si>
  <si>
    <t>AI recommends introducing the definition in Section 4.</t>
  </si>
  <si>
    <t>PDF p116 OCR L35–p116 OCR L35</t>
  </si>
  <si>
    <t>PDF p116 OCR L36–p117 OCR L4</t>
  </si>
  <si>
    <t>CW-076</t>
  </si>
  <si>
    <t>reduce to under 100 words: Generative Al is increasingly used by researchers in academic writing, yet disclosures of Al use and estimates of relative human—Al contribution reveal limited information about how researchers and Al actually work together. This study develops a framework for characterizing the interaction process in human—Al academic co- writing and examines how detailed interaction records can reveal hum…</t>
  </si>
  <si>
    <t>Supplies an abstract and sets a hard word limit.</t>
  </si>
  <si>
    <t>AI provides a claimed 96-word abstract.</t>
  </si>
  <si>
    <t>PDF p117 OCR L5–p117 OCR L17</t>
  </si>
  <si>
    <t>PDF p117 OCR L18–p117 OCR L26</t>
  </si>
  <si>
    <t>CW-077</t>
  </si>
  <si>
    <t>I also want to include this interaction or sequence diagram in the paper. This was the text that we had in our other paper. So give me the text and where to put it in the paper.-- The HAIRS framework and its supporting mental models—the 80/20 rule and top-down writing approach—find concrete expression in a structured collaborative workflow. Figure 4 illustrates this workflow as a sequence diagram, showing the dynamic…</t>
  </si>
  <si>
    <t>Supplies an earlier sequence-diagram explanation and requests adaptation and placement.</t>
  </si>
  <si>
    <t>AI recommends reframing the figure for the current paper.</t>
  </si>
  <si>
    <t>PDF p117 OCR L27–p118 OCR L8</t>
  </si>
  <si>
    <t>PDF p118 OCR L9–p119 OCR L13</t>
  </si>
  <si>
    <t>File/context references in prompt; inspect full text; Extended draft/quoted context; researcher-origin judgment distinguished in rationale</t>
  </si>
  <si>
    <t>CW-078</t>
  </si>
  <si>
    <t>Provide a cover letter outlining your research. The cover letter should briefly discuss the context and importance of the submitted work and why it is appropriate for the journal. D https://link.springer.com/journal/146/submission- guidelines</t>
  </si>
  <si>
    <t>Specifies cover-letter purpose and provides journal guidance.</t>
  </si>
  <si>
    <t>AI drafts a journal-specific cover letter.</t>
  </si>
  <si>
    <t>PDF p119 OCR L14–p119 OCR L16</t>
  </si>
  <si>
    <t>PDF p119 OCR L17–p120 OCR L8</t>
  </si>
  <si>
    <t>CW-079</t>
  </si>
  <si>
    <t>too long, make it short</t>
  </si>
  <si>
    <t>Judges the cover letter too long and requests shortening.</t>
  </si>
  <si>
    <t>AI supplies a short letter.</t>
  </si>
  <si>
    <t>PDF p120 OCR L9–p120 OCR L9</t>
  </si>
  <si>
    <t>PDF p120 OCR L10–p120 OCR L24</t>
  </si>
  <si>
    <t>CW-080</t>
  </si>
  <si>
    <t>So I submitted the paper. That one is good. Now for our other two ideas below, can they be a single paper or should I keep them as two separate papers? New ones. - - Idea 1 From One-Shot Generation to Deliberative Co-Writing: Human Agency in Al-Assisted Academic Writing Or, connecting it to your other idea: Al Rewards Expertise? Human Agency and Expertise in Al-Assisted Academic Writing This paper asks a different qu…</t>
  </si>
  <si>
    <t>Reports submission and weighs combining two later paper ideas; quoted earlier AI framing is context.</t>
  </si>
  <si>
    <t>AI recommends separating intellectual labour from agency/expertise.</t>
  </si>
  <si>
    <t>PDF p120 OCR L25–p124 OCR L14</t>
  </si>
  <si>
    <t>PDF p124 OCR L15–p125 OCR L29</t>
  </si>
  <si>
    <t>Extended draft/quoted context; researcher-origin judgment distinguished in rationale</t>
  </si>
  <si>
    <t>CW-081</t>
  </si>
  <si>
    <t>Again give us a nice several alternatives for each of their titles.</t>
  </si>
  <si>
    <t>Requests distinct title alternatives for the two new ideas.</t>
  </si>
  <si>
    <t>AI proposes titles for each paper.</t>
  </si>
  <si>
    <t>PDF p125 OCR L30–p125 OCR L30</t>
  </si>
  <si>
    <t>PDF p125 OCR L31–p126 OCR L41</t>
  </si>
  <si>
    <t>CW-082</t>
  </si>
  <si>
    <t>I like this phrase. That should be in the introduction and abstract of that paper number two.</t>
  </si>
  <si>
    <t>Selects a conceptual phrase and directs its use in introduction and abstract.</t>
  </si>
  <si>
    <t>AI develops prose contrasting generated text quantity with intellectual agency.</t>
  </si>
  <si>
    <t>PDF p126 OCR L42–p126 OCR L42</t>
  </si>
  <si>
    <t>PDF p126 OCR L43–p127 OCR L6</t>
  </si>
  <si>
    <t>Full human prompt (part 1)</t>
  </si>
  <si>
    <t>Full human prompt (part 2)</t>
  </si>
  <si>
    <t>Full human prompt (part 3)</t>
  </si>
  <si>
    <t>Full human prompt (part 4)</t>
  </si>
  <si>
    <t>Full human prompt (part 5)</t>
  </si>
  <si>
    <t>we have got the reviews, uh, on the paper, f course, most of the issues that they have raised, I agree, they're they're
legitimate. Uh, but there, of course, so many. I mean, this is, um, we need to realize that this is a complex,
multifaceted, and emerging topic. We need to make lots of changes. Also, I'm attaching the paper that was submitted.
I have just added two stuff that, of course, we need to do more. I think one is a new section for 4.2. You can see track
changes, and one is a bunch of new related work after appendix. I have put as a raw text that we should integrate,
okay? Other than that, well, tell me, there's lots of changes we need to make. Review all the comments that I have
attached and tell me. I think starting from the title and paper structure, I guess. Just give me a better paper structure
and tell me how we are going to go about this.</t>
  </si>
  <si>
    <t>By the way, there is just too much stuff, right? So should I break this to more than one paper? I want to keep, yeah,
the modified credit table. I think that would be the heartbone of the paper, but of course I want to focus only on
writing in this paper. The credit puts this in context and says that, because writing is only a part of it, and we need to
separate, and in that credit table we separate writing from other research activities. That's fine. But then I want to go
down in writing in this paper. Even I've got some other ideas that I attached below. Now tell me, so the title of this
paper should be only writing, not the entire research, because I'm not going to go and talk about other research
activities with help of Al. So tell me if we need two or three papers, and tell me if the idea below also can be included
here.
Yes. This is a strong framing. The Nature piece you linked is a titled *"When Al writes the words, who is
the author?" * (18 August 2026), and its central tension is precisely authorship: if Al produces the prose, where does
authorship end and expertise begin? Your article can take that question in a
more practical direction: * *authorship is not binary; there is a spectrum of human—Al division of intellectual and
writing
I would make that spectrum the conceptual backbone of ** "How Al Made Me a More Efficient Author." **
### The Human—Al Writing Spectrum
Think of it as moving from **Al-led writing -4 human-led writing**
writes the
writes the paper**
But rather than only two extremes, I would define perhaps **six modes**:
I Mode I Human contribution I Al contribution I
1. Al-generated** I Gives topic/prompt I Produces structure, arguments and prose I
| Human-directed Al writing** I Defines purpose, key ideas and constraints I Produces most of the manuscript I
| Human-designed, I Designs argument and complete paper structure I Drafts sections/para</t>
  </si>
  <si>
    <t>graphs
according to that design I
I * Human—Al co-writing** I Develops ideas and writes substantial content I Expands, rewrites, connects and refines
selected parts I
| Human-written, I Writes essentially everything I Improves clarity, language, concision and
consistency I
I * Human-only** I Conceives, structures, writes and edits I None I
Your own approach, from what you're describing, is especially interesting because it is probably around **Modes 3—
5**, depending on the passage. The important distinction is that *typing the words* is not necessarily the same thing
as *doing the intellectual wore.
And I think your **paper pyramid** gives you an excellent way of explaining this.
### Top-down authorship
Imagine the paper as a pyramid:
**Research question / central idea**
* *Paper architecture"
**Sections**
**Subsections**
**Paragraph
* *Sentences* *
This produces a much more sophisticated definition of Al-assisted authorship.
At one extreme, the researcher says:
&gt; "Write me a ten-page paper comparing X and Y."
Al is operating at virtually * *every level of the pyramid**. It decides what matters, constructs the argument,
determines the organization and produces the sentences.
But your model would work differently. The human might determine the * *top five or six levels** and delegate
primarily the lower levels.
For example, you decide:
**Central idea:** There are hidden costs associated with using Al in software engineering.
Then:
**Main argument:** Two under-discussed costs are human oversight and cognitive/information overload.
Then:
* *Structure:** Introduction oversight overload differences between IDE-integrated and chat-based assistants
implications.
Then you might go further and decide what a particular subsection needs to argue and even what its three
paragraphs should accomplish.
Only *then* do you ask Al:
&gt; Turn these points into a coherent 180-word paragrap</t>
  </si>
  <si>
    <t>h.
That is fundamentally different from saying:
&gt; Write me an article about the hidden costs of Al in software engineering.
So I think your article can make a useful distinction between and
A very nice conceptual figure could combine the two ideas:
intellectual
High
I Human-only writing
I Human-written + Al polishing
I Human-designed + Al paragraph drafting * *your main productive zone* *
I Human-directed Al drafting
I Al-generated manuscript
Low
And alongside it, show the pyramid to demonstrate Al enters the writing
There is another dimension worth adding, because it makes your argument much stronger: **iteration**. Your
productive use of Al isn't simply *prompt text accept*. It is more like:
* *Idea -4 structure paragraph purpose Al draft human critique -4 revision -4 human judgement
integration"
That means Al becomes something closer to a very fast **writing rather than an autonomous author.
This also gives you a compelling thesis for the Nature-style piece:
&gt; has made me a more efficient author not because I have outsourced authorship, but because I have become
more deliberate about which parts of authorship require my judgement and which parts can be delegated.**
And there is a nice paradox here. * *The more capable Al becomes at producing words, the more important the
author's higher-level decisions become.** The scarce resource moves upward in the pyramid—from sentence
production toward judgement, structure, argument, evidence and ideas.
That connects beautifully with your other emerging idea about **"AI rewards expertise." ** An experienced researcher
who already knows how a strong paper should be conceptualized and structured can potentially delegate lower-level
production while retaining intellectual control. Someone who delegates the top of the pyramid as well as the bottom
is doing something quite different. [Nature article: When Al writes the words, who i</t>
  </si>
  <si>
    <t>s the author?]
(https://www.nature.com/articles/d44148-026-00236-3)
I think **"How Al Made Me a More Efficient Author"* * is actually a very good Nature-style title: personal, provocative
without being sensational, and it immediately promises practical experience rather than another generic discussion of
Al and academic writing.</t>
  </si>
  <si>
    <t>Okay, I also attached the PDFs of the new papers that I found in the i'project" area, so review them carefully. Well, it
will be hard to cite them all, but we need to stand on the shoulders of giants. So I need to ensure so you can use their
arguments in our reasoning in our paper and we can cite them. I also provide their list below. The other thing is that
although Al is not allowed by journal as a co-author, but as a collaborator, or as a research partner, or research
assistant, what you want to name it. When l, as a senior scientist, write a paper, I can bounce ideas back and forth with
Al, even for the reasoning and justification, as long as I stay in control of discussions. For example, I can tell Al: analyze
this given set of data and give me insights. Al can give me suggestions, but I would need to, I can just validate it,
right? I mean, is there a problem in that we use data for qualitative? What are the other types of analysis? So we
offload the task a bit, but we need to check and verify. Of course, this shouldn't replace us, but so that's the thing.--
Death, Authorship, and Generative Al: a Call for Commentaries
A Substantial Human Contribution-Do We Deserve to be Authors of This Essay
Mapping human and Al contributions across stages of academic writing Using SLICE—a preliminary LLM-based
method
Authorship, Schmauthorship
A Substantial Human Contribution-Do We Deserve to be Authors of This Essay
LLM use in scholarly writing poses a provenance problem
Could Al help you to write your next paper?
Al research assistants are changing science
Let stochastic parrots squawk: why academic journals should allow large language models to coauthor articles
Authorship and ChatGPT: a conservative view
"Writing is thinking"
o
"Thinking is not only writing"
https://www.nature.com/articles/s44222-026-00447-1 "Academic authorship should
depend more on the depth and creativit</t>
  </si>
  <si>
    <t>y of human intellectual engagement than on the medium through which first
drafts are produced. "
Guidelines for ethical use and acknowledgement of large language models in academic writing
Artificial intelligence-assisted academic writing: recommendations for ethical use
From human writing to artificial intelligence generated text: examining the prospects and potential threats of ChatGPT
in academic writing
https://agents4science.stanford.edu/
Dhttps://pubmed.ncbi.nlm.nih.gov/41407875/ Exploring the use of Al authors and reviewers at Agents4Science
Include this in 2.1.2 and also Remember to Include it in intro later, when we will write it:
https://www.washingtonpost.com/education/2026/09/23/nine-months-200-academic-papers-one-professors-
ai-assisted-output</t>
  </si>
  <si>
    <t>So I guess that paper structure is going to change, right? Substantially. I think I will just start from a new file. I think is
that a good idea than surgically changing my old Word file. Do you agree?</t>
  </si>
  <si>
    <t>Tell me which paper presented the SLICE . and the "credit" model itself is not about human Al. Are you referring to
the following paper that touches on CREDIT for human-Al O https://www.nature.com/articles/d41586-026-02686-
z#ref-CR2?</t>
  </si>
  <si>
    <t>Let's discuss our framework more. What would be our framework? I mean, I see value when we as a human, that
interaction and several iterations. As you know, you know, sometimes I put, like, UML sequence diagrams. I generated
for one paper that I gave Al some ideas and it gave back, and then I changed something. I gave it back again. I think
that is a novelty as well. I mean, the slice guys say that, you know, we keep everything and we give it to Al to judge
and get me the ratio. But I think when we look at the fine-grained way of interaction between human and Al during
the writing, we can get more insights, right?</t>
  </si>
  <si>
    <t>And actually, it could be that when human and Al interact, it could be that some of the ideas are just ignored, you
know. For example, the paper that I wrote and it got rejected, but I got lots of good feedback. Or when I talk with you,
we do discussion, we steer the paper in one direction. So some of the ideas do not end up appearing in final
published or accepted paper, but they were part of the discussion. And Al can help, just like an assistant, to steer the
researcher. So see the attached emails, which is from the following paper. https://arxiv.org/abs/2604.24658</t>
  </si>
  <si>
    <t>You need to be careful there because in that slice paper they provide the full transcript of the interaction. So I don't
know how they get it. So the percentage they determine because they look at the interaction, but then they have a
percentage. So I'm actually puzzled how that percentage is determined. But we'll see how you want to explain that.</t>
  </si>
  <si>
    <t>And I mean, you can say that in the writing recall, in the many chats with you and me, I have done surgical. We have
done surgical improvements. So I have looked at something and I said, insert this in the right place. Or you have told
me insert this in the right place. I may have agreed with you or not. So, I can look at your paragraph and say, well,
that's not strong enough. You need to make it stronger. Or you do it the other way around. So I guess this
collaborative writing is not just one shot, right? I don't just tell you, give me that, and that's finished. We try to, and we
go this in different aspects of writing, right? In the structure, sometimes in table of contents, we go several iterations.
We do it in the paragraph level. We do it in the relative work. So we do a lot of it.</t>
  </si>
  <si>
    <t>we can quote this famous saying is 'l W' The devil is in the details,"
If we look at the interaction details in the log, that
shows the type of things, you know, when. For example, certain interactions will show how much insight either party
provided to the discussion, and I think that can be very, very interesting.</t>
  </si>
  <si>
    <t>l, you know, the five-level spectrum that I had, right, from one-shot to the more detailed human control. You can say
that if people don't have proper agency, if they are junior, they will just use one-shot things to create sections or the
entire document. But more expert people like myself, I will scrutinize Al's writing almost every line and every sentence.
So that's the difference as well. By the way, I think the paper is growing too large. Is it time we put boundaries and
break this into two?</t>
  </si>
  <si>
    <t>0k, let's proceed with paper 1. " g God is in the detail,"
or "devil is in the detail," —= whch one to use? god is
better</t>
  </si>
  <si>
    <t>I also saw on internet a lady professor posted a nice message that because for people like myself and hers, because
we have been trained in the age of without Al, in the before Al or pre-Al age, we have done paper writing in the, let's
say, hard and sweaty way, that if we offload now, of course we may get some brain rot in parts of our paper writing
skills, but we have done it without Al. So for the new generation, it's that, there are just risks associated with this.</t>
  </si>
  <si>
    <t>I don't like fine grained in the title. When Humans and Al Write Together:
Characterizing Fine-Grained Human-Al Co-Writing</t>
  </si>
  <si>
    <t>When Humans and Al Write Together: Characterizing Interaction Process in Human—Al Co-Writing of Academic
Research</t>
  </si>
  <si>
    <t>Okay, let's start writing, but give me the table of contents. I still want to include the credit table that I have. By the
way, those specific values I have put inside are my own for this particular paper.</t>
  </si>
  <si>
    <t>Okay, generate section two, use my old text below as well.--- By the way, the whole paper should be about 9,000
words, so consider that limit and keep track of it for when you generate each section.</t>
  </si>
  <si>
    <t>But I also want you to keep track of the references used and you need to make sure that you need to double check or
triple check each reference to make sure they are not hallucinated. So give me the current list of citations for the end
references in the APA format.</t>
  </si>
  <si>
    <t>By the way, an SLR on all these papers will be doable, right? Because in my pool I had found, you know, IO or 15
papers or more.</t>
  </si>
  <si>
    <t>Generate six. Are you sure we want to keep all the six papers that I had? Or I don't know. Should we keep five of
them? Six may be too much. We can't go to depth. So even we can do four. Four means including this paper. So it's
gonna be really three other papers from my pool.</t>
  </si>
  <si>
    <t>Okay, I suggest not selecting the current paper because we are in the process of writing it. So we don't have all the
prompts. So I gave you all the files for five papers, and I suggest you select three of them. From the file names you
can see which one are them.</t>
  </si>
  <si>
    <t>Okay, now generate section three and say that, yeah, we had a number of candidate papers and then we selected
these three for those reasons.</t>
  </si>
  <si>
    <t>When you generate that section three, you need to say that we need to be careful that we characterize the interaction
process, but we have to keep reminding that the interaction should again stay in a responsible and ethical way. I
mean, if a researcher just becomes lazy and just interacts with Al to do the work for him instead of him thinking, that's
not acceptable. So that caveat should, we should mention it repetitively so the reviewer knows that we are not
advocating for irresponsible use in that interaction.</t>
  </si>
  <si>
    <t>Review again the old version of the paper and refer to the GitHub for data. O github.com/vgoruslu/modes-of-
human-Al-collaborative-writing</t>
  </si>
  <si>
    <t>Are you doing okay? Which earlier study are you referring to? My old draft was rejected, okay? So are you doing
okay? And don't be so defensive that we don't... characterization is not endorsement. Just say that even to better
understand how much involvement a human researcher had analyzing such interactions can also help. So we are
trying to characterize and understand and build on the existing work that have been published. So you need to
regenerate. And I think what you have given for chapter three is too long. You need to shorten it a little bit.</t>
  </si>
  <si>
    <t>give 4 Characterizing the Human—Al Co-Writing Process
4.1 From Research Contribution to Writing Interaction</t>
  </si>
  <si>
    <t>give 4.2 Dimensions of Human—Al Co-Writing Interaction. no need for 4.3. also if in middle of sentence write 'human—
Al contributions " , with lower case h</t>
  </si>
  <si>
    <t>Do you want to start giving examples? My papers perhaps could be too technical, but you can give, like, generic
examples to make them understandable. We can give examples from, example examples from this very, from the
current paper itself.</t>
  </si>
  <si>
    <t>And what insights? Where will you discuss insights? Well, in 5.2, you will apply, study the dimensions, but then the
reviewer will say, So what? Right? Why are we doing these analysis? I think you need an insight section.</t>
  </si>
  <si>
    <t>Even one side can be the post is like a retrospective of one author by himself and looking at her past interactions with
Al and see how much Al helped him to be more, you know, creative and all of that. So I think that retrospective
analysis of his own work with Al.</t>
  </si>
  <si>
    <t>Again also don't forget the other that, you know, we will end the discussion. Of course some journals will ask Al logs,
but to be submitted if Al is used, but then authors can also provide analysis of their logs using the discussions that we
are doing here.</t>
  </si>
  <si>
    <t>Should we talk about the three papers of this study in 3.1 or 5? I think 3.1 is too early. We can just move them to 5.1.
Which one is better, you think?</t>
  </si>
  <si>
    <t>Ah, you made it too long. The existing section three only has two subsections. You made it so long. Just make it two
subsections and much shorter.</t>
  </si>
  <si>
    <t>Regenerate section 5 and 5.1. Do not say that three cases were selected in section 3, just say that three complete
papers, as if they are from fresh discussion.</t>
  </si>
  <si>
    <t>I think the word creative is not good. Scientists, creative, like goes to art and painting. Should we say, you know,
scientific discovery or, you know, scientific, whatever?</t>
  </si>
  <si>
    <t>give Disclosure of Al Use. say that table 1 reportes ratio for the contributions of human Al in this very paper, and then
say that the GPT (mention your model name and version here) was used for writing assistance. and that log of
interactions can be found in the open data repositoy.</t>
  </si>
  <si>
    <t>Okay, I give you the draft paper. We are tight on the space, but I need you to give me abstract, keywords, and
introduction. Keep them short.</t>
  </si>
  <si>
    <t>title? When Humans and Al Write Together. Characterizing Human—Al Interactions in Co-Writing of Academic
Research</t>
  </si>
  <si>
    <t>which citation is this? Earp, Guernon and Porsdam Mann (2026) accordingly argue that academic authorship should
be judged in relation to the depth and creativity of human intellectual engagement rather than simply by the medium
through which an initial draft is produced. This distinction becomes particularly consequential when Al generates
much of the surface prose but a human researcher determines the purpose and argument, repeatedly evaluates
alternatives, rejects unsuitable proposals, supplies domain knowledge, verifies claims, and remains accountable for the
resulting work.</t>
  </si>
  <si>
    <t>Are you referring to the following paragraph? Where in it I should cite that paper? A contrasting but compatible
argument is that thinking is not only writing. The production of sentences is not an exhaustive measure of intellectual
contribution. Researchers can contribute through problem formulation, disciplinary expertise, conceptual design,
interpretation, critical evaluation, selection, rejection, verification, and repeated redirection of a developing text. Earp
et al. (2026a) accordingly argue that academic authorship should be judged in relation to the depth and creativity of
human intellectual engagement rather than simply by the medium through which an initial draft is produced. This
distinction becomes particularly consequential when Al generates much of the surface prose but a human researcher
determines the purpose and argument, repeatedly evaluates alternatives, rejects unsuitable proposals, supplies
domain knowledge, verifies claims, and remains accountable for the resulting work.</t>
  </si>
  <si>
    <t>no they are: Al introduced interaction trajectory as a possible concept for describing the development of Human—Al
exchanges over time. The development of the concept interaction trajectory provides an example. Al initially
proposed the concept; it was used in developing an earlier version of the framework; the researcher subsequently
questioned why the paper needed the concept at all; the distinction between an interaction trajectory and the more
general interaction process was then reconsidered; and the researcher ultimately decided to remove trajectory as a
central construct. The relevant interaction was therefore not simply "Al suggested a term." It was an iterative exchange
involving proposal, use, questioning, reconsideration and eventual rejection... replace them</t>
  </si>
  <si>
    <t>I made a number of fixes based on your comments. So, for your comments below, now I want to fix them. For
comment 11 that you gave below, can you give me surgical places to fix and add new references? You have my list of
citations, right? From the paper that I had given you. So, or you can find your own papers. 11. Related work is good,
but a little too dependent on Earp/Porsdam Mann
Conceptually I like Section 2. It has a coherent progression:
Al in research writing/thinking authorship/accountability -9 provenance CRediT SLICE -4 your gap.
That is strong.
However, the scholarly base is narrow. A large fraction of the conceptual argument comes from Earp, Porsdam Mann
and collaborators. That isn't inherently wrong—they are directly relevant—but a reviewer might characterize the
literature review as too concentrated around one research group.
Given your space constraint, I would not add a large literature review. I would add perhaps 2—3 strategically chosen
independent sources around:
- writing as thinking/cognition;
- human—Al co-writing;
- Al-assisted scholarly writing/authorship.
That would make the literature base look considerably more balanced without adding more than a few sentences.</t>
  </si>
  <si>
    <t>For your comment below, do you want to give me a reduced version of 4.1? Or do you have a better idea in mind?--
- 12. Section 4.1 is currently too long
This is where I see the easiest space saving.
Section 4.1 explains the same central point several times:
final text does not capture contribution;
contribution analysis versus interaction analysis;
prompt counts do not measure intellectual contribution;
rejected contributions can matter;
interaction analysis complements contribution analysis.
The core distinction is excellent:
"Contribution analysis asks what and how much each party contributed. Interaction analysis asks how those
contributions emerged and developed through human—Al exchange."
Paper--Human Al co-writing
That sentence does enormous work. I would retain it and cut approximately 20—25% of 4.1 around it.
You need the space more for the actual empirical analysis.</t>
  </si>
  <si>
    <t>Okay, for your comment below, should we go ahead and improve section 5 or go back to our claim earlier in the
paper and just make it more, you know, decrease the expectation? -
13. Section 5 is still the area a reviewer is most likely to challenge
This is the substantive issue I would focus on before submission.
The paper promises a qualitative retrospective multiple-case analysis. Paper--Human Al co-writing But Section 5
currently reads more like a high-level characterization of the three cases than a detailed qualitative analysis of actual
interaction episodes.
For example, you say:
"The archived exchanges also show that decisions about the study pool, inclusion and exclusion criteria, and the
nature of relevant empirical evidence remained subjects of interaction..."
Paper--Human Al co-writing
But we rarely see an actual compact interaction example such as:
Human Al human correction * Al revision * outcome.
This matters because your whole thesis is "God is in the detail." A reviewer could reasonably respond: show me the
detail.
I would not make Section 5 much longer. Instead, I would replace some generalized description with 3—5 very short
concrete interaction episodes, perhaps one particularly revealing episode per case plus one or two cross-case
examples.
That would make the empirical contribution substantially more convincing without increasing the word count much.</t>
  </si>
  <si>
    <t>Okay, I like your idea. So based on, I mean, I had given you all the log files of the case papers, right? So now do the
analysis and give me surgical places to improve that section five.</t>
  </si>
  <si>
    <t>You said you cannot recover the files or whatever. I'm giving you now all the data files for those three papers. Do you
want to create the surgical changes for me again?</t>
  </si>
  <si>
    <t>When you give the surgical things, also include verbatim prompts from the logs. I think that will make them more
meaningful.</t>
  </si>
  <si>
    <t>Okay, it was hard for me to know where you suggested to add those verbatims. Here is the latest version. Now give
me surgical help to add those verbatims in those sentences.</t>
  </si>
  <si>
    <t>Okay, one other comment you had given was the following: how should we fix that?
14. Section 5.3 and Section 6 overlap too much
You are tight on space, and this is the other obvious place to cut.
Section 5.3 gives five findings:
1. similar Al involvement can conceal different human involvement;
2. human intellectual involvement occurs throughout co-writing;
3. rejected/modified contributions matter;
4. scholarly task shapes interaction;
5. Al can influence scholarly reasoning.
Paper--Human Al co-writing
Then Section 6 essentially states those findings again. Paper--Human Al co-writing
I would let 5.3 own the empirical findings and make Section 6 more interpretive:
What does this mean for contribution attribution, authorship/provenance, reflective use, disclosure, limitations?
You could probably remove 250—350 words from Section 6 without losing anything substantive
6?
.------------- rewse sec</t>
  </si>
  <si>
    <t>reduce to under 100 words: Generative Al is increasingly used by researchers in academic writing, yet disclosures of Al
use and estimates of relative human—Al contribution reveal limited information about how researchers and Al actually
work together. This study develops a framework for characterizing the interaction process in human—Al academic co-
writing and examines how detailed interaction records can reveal human and Al intellectual contributions. A
qualitative retrospective analysis is conducted using archived human—Al interactions from three completed research
papers representing different co-writing contexts and patterns. The framework characterizes interactions through five
dimensions: writing level, interaction purpose, initiation, interaction form, and outcome. The analysis shows that
intellectual contribution can become visible through proposing, evaluating, challenging, correcting, rejecting, and
developing ideas—not only through text retained in the final manuscript. Rejected, modified, superseded, and
indirectly influential contributions can therefore provide important evidence about both human intellectual
involvement and substantive Al assistance. The framework complements recent contribution-oriented approaches by
shifting attention from what and how much each party contributes toward how those contributions emerge and
develop through human—Al interaction.</t>
  </si>
  <si>
    <t>I also want to include this interaction or sequence diagram in the paper. This was the text that we had in our other
paper. So give me the text and where to put it in the paper.--
The HAIRS framework and its supporting mental
models—the 80/20 rule and top-down writing approach—find concrete expression in a structured collaborative
workflow. Figure 4 illustrates this workflow as a sequence diagram, showing the dynamic interaction between human
researcher and Al across five key phases. Sequence diagram is a modeling notation and one of the model types in the
Unified Modeling Language (UML) (Eriksson et al., 2003), showing interactions arranged in time sequence between a
number of actions.
The collaborative workflow typically includes the following phrases:
Phase 1: Initiation and Idea Sharing. The researcher begins by providing the Al with initial research or paper ideas—as
detailed as possible. Rather than a vague prompt (e.g., "write about Al in research"), the researcher supplies context:
the research question, preliminary motivation, intended scope, and desired audience. The researcher asks Al for
feedback: Does this framing make sense? What related work is missing? How might the argument be strengthened?
Phase 2: Al Feedback and Consultation. Al responds with observations, suggestions for framing, references to related
literature, and structural guidance. The Al functions as a knowledgeable colleague offering a sounding board.
Phase 3: Iterative Refinement. The researcher reviews Al's suggestions, incorporates useful ideas, and revises the initial
concept. This cycle repeats as many times as needed. With each iteration, the idea becomes clearer, more focused,
and better grounded. The researcher retains agency: not all Al suggestions are adopted; the researcher makes final
judgment calls.
Figure 4- Workflow of human-Al collaborative writing (in the form of a UML seq</t>
  </si>
  <si>
    <t>uence diagram), for the case of paper
P 1: Fault Tolerance for Model-Based Software Testing (to be discussed in Section 5.2.1)
Phase 4: Collaborative Research Execution. Once the idea is solid, human and Al work collaboratively to gather and
analyze secondary data, synthesize literature, and develop arguments. However, a critical boundary applies here:
primary data collection (interviews, surveys, experiments, observations) must be conducted by the human alone. The
data must reflect the world, not Al's model of the world. Al can assist with instrument design (e.g., survey question
wording) and analysis (e.g., coding qualitative data), but collection remains irreducibly human.
Phase 5: Top-Down Paper Writing. With research complete, the researcher applies top-down writing: creating a
detailed outline and providing section-level prompts to Al. As illustrated in Figure 2 (Section 4.2.2) and documented in
the concrete workflow for Paper P 1, the researcher specifies the structure, key arguments, evidence to include, and
intellectual direction for each section. Al drafts; the researcher reviews, refines, and validates. This iterative refinement
continues until the paper meets the researcher's standards.
Throughout all five phases, the researcher steers and makes final decisions. Al provides rapid feedback, suggestions,
and draft text; the researcher filters, selects, and directs. This is Level 5 collaboration in practice: the researcher's
cognitive effort focuses on innovation and judgment; Al accelerates mechanical writing work.
The workflow is not linear—researchers often cycle back (e.g., refining research design mid-writing, discovering a
need to revisit literature)—but the principle remains consistent: human leads, Al executes, human validates.</t>
  </si>
  <si>
    <t>Provide a cover letter outlining your research. The cover letter should briefly discuss the context and importance of
the submitted work and why it is appropriate for the journal. D https://link.springer.com/journal/146/submission-
guidelines</t>
  </si>
  <si>
    <t>So I submitted the paper. That one is good. Now for our other two ideas below, can they be a single paper or should I
keep them as two separate papers? New ones. -
- Idea 1
From One-Shot Generation to Deliberative Co-Writing: Human Agency in Al-Assisted Academic Writing
Or, connecting it to your other idea:
Al Rewards Expertise? Human Agency and Expertise in Al-Assisted Academic Writing
This paper asks a different question:
How does the researcher's expertise and writing capability affect the way Al is used and the degree of intellectual
agency retained?
Now your observation becomes central.
At one end:
One-shot delegation
"Write a paper about X."
or:
"Write Section 3."
Al makes many decisions implicitly. Human scrutiny may be limited.
At the other end is something much closer to your practice:
Deliberative/iterative co-writing
Human defines the problem Al proposes human scrutinizes challenges -4 modifies Al revises human
checks sentence/claim — rejects something redirects Al revises human integrates.
And between them we can construct the continuum.
That is where the old HAIRS insight can be rescued without retaining the problematic "maturity levels."
I might call it a Human Agency Spectrum, not a maturity spectrum.
Something conceptually like:
Delegative
Deliberative
One-shot generation directed generation iterative revision critical co-writing fine-grained deliberative
co-writing
Now we're measuring/characterizing something coherent: how much active human intellectual engagement occurs
throughout the interaction, rather than mixing proofreading, drafting and ideation into "levels."
Expertise then becomes a hypothesis, not an assumption
This is important.
Your experience suggests:
Expert researchers may be better positioned to use highly capable Al without surrendering agency because they
possess the domain and writing expertise necessary to recognize weak arguments,</t>
  </si>
  <si>
    <t>factual errors, inappropriate
interpretations and poor formulations.
Conversely, someone without that expertise may not know what needs challenging.
That's closely related to your "Al rewards expertise" idea.
But we should test it rather than write:
Juniors use one-shot; seniors use iterative Al.
There will surely be careful junior researchers and careless senior researchers.
The more defensible hypothesis is:
Prior expertise may increase a researcher's capacity for effective scrutiny, selective delegation and critical
integration of Al output.
That could eventually be studied across career stages.
And your own longitudinal experience could motivate the theory without being evidence for a population-level claim.
Idea 2
Yes. This is a strong framing. The Nature piece you linked is a Comment titled "When Al writes the words, who is the
author?" (18 August 2026), and its central tension is precisely authorship: if Al produces the prose, where does
authorship end and expertise begin? O Nature Your article can take that question in a more practical direction:
authorship is not binary; there is a spectrum of human—Al division of intellectual and writing labour.
I would make that spectrum the conceptual backbone of "How Al Made Me a More Efficient Author."
The Human—Al Writing Spectrum
Think of it as moving from Al-led writing human-led writing:
Al writes the paper
Human writes the paper
But rather than only two extremes, I would define perhaps six modes:
Mode
Human contribution
Al contribution
1. Al-generated
Gives topic/prompt
Produces structure, arguments and prose
2. Human-directed Al writing
Defines purpose, key ideas and constraints
Produces most of the manuscript
3. Human-designed, Al-drafted
Designs argument and complete paper structure
Drafts sections/paragraphs according to that design
4. Human—Al co-writing
Develops ideas and writes substantial content
Expands, r</t>
  </si>
  <si>
    <t>ewrites, connects and refines selected parts
5. Human-written, Al-polished
Writes essentially everything
Improves clarity, language, concision and consistency
6. Human-only
Conceives, structures, writes and edits
None
Your own approach, from what you're describing, is especially interesting because it is probably around Modes 3—5,
depending on the passage. The important distinction is that typing the words is not necessarily the same thing as
doing the intellectual work.
And I think your paper pyramid gives you an excellent way of explaining this.
Top-down authorship
Imagine the paper as a pyramid:
Research question / central idea
Argument / contribution
Paper architecture
Sections
Subsections
Paragraph arguments
Sentences
Words
This produces a much more sophisticated definition of Al-assisted authorship.
At one extreme, the researcher says:
"Write me a ten-page paper comparing X and Y."
Al is operating at virtually every level of the pyramid. It decides what matters, constructs the argument, determines
the organization and produces the sentences.
But your model would work differently. The human might determine the top five or six levels and delegate primarily
the lower levels.
For example, you decide:
Central idea: There are hidden costs associated with using Al in software engineering.
Then:
Main argument: Two under-discussed costs are human oversight and cognitive/information overload.
Then:
Structure: Introduction oversight overload differences between IDE-integrated and chat-based assistants
implications.
Then you might go further and decide what a particular subsection needs to argue and even what its three
paragraphs should accomplish.
Only then do you ask Al:
Turn these points into a coherent 180-word paragraph.
That is fundamentally different from saying:
Write me an article about the hidden costs of Al in software engineering.
So I think your article can mak</t>
  </si>
  <si>
    <t>e a useful distinction between delegating writing and delegating thinking.
A very nice conceptual figure could combine the two ideas:
Human intellectual control
High
I Human-only writing
Human-written + Al polishing
I Human-designed + Al paragraph drafting your main productive zone
I Human-directed Al drafting
I Al-generated manuscript
Low
And alongside it, show the pyramid to demonstrate where Al enters the writing process.
There is another dimension worth adding, because it makes your argument much stronger: iteration. Your productive
use of Al isn't simply prompt text accept. It is more like:
Idea structure paragraph purpose Al draft human critique revision human judgement integration
That means Al becomes something closer to a very fast writing instrument rather than an autonomous author.
This also gives you a compelling thesis for the Nature-style piece:
Al has made me a more efficient author not because I have outsourced authorship, but because I have become
more deliberate about which parts of authorship require my judgement and which parts can be delegated.
And there is a nice paradox here. The more capable Al becomes at producing words, the more important the
author's higher-level decisions become. The scarce resource moves upward in the pyramid—from sentence
production toward judgement, structure, argument, evidence and ideas.
That connects beautifully with your other emerging idea about "Al rewards expertise." An experienced researcher
who already knows how a strong paper should be conceptualized and structured can potentially delegate lower-level
production while retaining intellectual control. Someone who delegates the top of the pyramid as well as the bottom
is doing something quite different. Nature article: When Al writes the words, who is the author?
I think "How Al Made Me a More Efficient Author" is actually a very good Nature-style title: personal,</t>
  </si>
  <si>
    <t>provocative
without being sensational, and it immediately promises practical experience rather than another generic discussion of
Al and academic writing.</t>
  </si>
  <si>
    <t>Dimension</t>
  </si>
  <si>
    <t>Code / rule</t>
  </si>
  <si>
    <t>Definition / interpretation limit</t>
  </si>
  <si>
    <t>Method</t>
  </si>
  <si>
    <t>Coverage</t>
  </si>
  <si>
    <t>82 reconstructed text-bearing human prompts in the supplied topic log. This describes the surviving export, not completeness of all historical work. Follow-on planning after reported submission is included and separately labelled.</t>
  </si>
  <si>
    <t>Coding unit</t>
  </si>
  <si>
    <t>One human prompt is one observation. Page/textbox continuations are joined. Quoted previous prompts inside a new message are contextual material and not separate new observations.</t>
  </si>
  <si>
    <t>Multiple codes</t>
  </si>
  <si>
    <t>One primary interaction type; additional types capture distinct visible acts. Each type is counted at most once per prompt. One dominant agency mode. Multiple positive expertise categories may apply; none is exclusive.</t>
  </si>
  <si>
    <t>Expertise attribution</t>
  </si>
  <si>
    <t>Expertise codes concern observable judgments in the human prompt, not personal competence or correctness. Copied AI/reviewer text and attached documents do not establish that the researcher originated the ideas. Rationales distinguish context provision from interpretation.</t>
  </si>
  <si>
    <t>Outcome boundary</t>
  </si>
  <si>
    <t>Outcome/notes refer to the next visible AI response only. Statements about reading files, checking references, executing research or completing edits remain reported AI claims unless demonstrated in the visible response. No bibliographic fact-checking was performed for this coding task.</t>
  </si>
  <si>
    <t>Provenance</t>
  </si>
  <si>
    <t>PDF pages and OCR line indices are 1-based. OCR indices refer to recovered page text, not printed line numbers. Prompt boundaries use blue human-text regions in the original PDF.</t>
  </si>
  <si>
    <t>Extraction</t>
  </si>
  <si>
    <t>The PDF character mapping is corrupted. Text was recovered with Windows OCR and aligned to original human/AI colour regions. OCR wording may contain errors (for example AI/Al); consult the original PDF before verbatim quotation.</t>
  </si>
  <si>
    <t>Count correction</t>
  </si>
  <si>
    <t>82 replaces the earlier 77: five human prompts at page bottoms had been omitted by the earlier cutoff. Recovered prompts are CW-021, CW-029, CW-039, CW-042 and CW-057.</t>
  </si>
  <si>
    <t>Full text</t>
  </si>
  <si>
    <t>Human prompts preserves all recovered human text in ordered part columns of at most 1,900 characters. Join nonempty parts with NO added separator to reconstruct the prompt. Line breaks and conversion/OCR remnants are retained. Excerpts normalize whitespace and truncate at 420 characters.</t>
  </si>
  <si>
    <t>Workbook use</t>
  </si>
  <si>
    <t>Edit E:H in Coding using exact Codebook spellings; separate multiple labels with semicolon-space. P counts interaction codes; Q:X are type presence; Y counts positive expertise codes; Z:AE are positive expertise presence; AF is none. Summary formulas update. These counts do not measure expertise or agency intensity.</t>
  </si>
  <si>
    <t>Chart interpretation</t>
  </si>
  <si>
    <t>Use separate stacked columns for interaction types and positive expertise evidence. A bar height counts categories present in a prompt. Zero expertise means no coded positive evidence. None should not be added as positive expertise. Agency modes are categorical, not ordinal scores.</t>
  </si>
  <si>
    <t>Phase labels</t>
  </si>
  <si>
    <t>Phases describe observed task focus for navigation. They are analyst-assigned segments, not an independently validated progression. Follow-on planning is separate so manuscript-only comparisons can exclude it.</t>
  </si>
  <si>
    <t>Interpretive status</t>
  </si>
  <si>
    <t>Single AI-assisted first-pass qualitative coding, with no independent second coder or inter-rater reliability estimate. Borderline codes are reviewable against full prompts, source locations and rationales.</t>
  </si>
  <si>
    <t>Specific cautions</t>
  </si>
  <si>
    <t>Case-count and contribution-ratio claims are researcher reports, not independently verified measurements. Broad literature/repository review claims by AI are recorded as claims. Post-submission prompts CW-080–082 discuss subsequent papers.</t>
  </si>
  <si>
    <t>Open generation or explanation with little substantive specification. Established context can still constrain AI.</t>
  </si>
  <si>
    <t>Sets purpose, scope, structure, content, output format or evidence constraints and delegates execution. Established section instructions may carry forward.</t>
  </si>
  <si>
    <t>Requests or performs assessment or verification without necessarily identifying an error.</t>
  </si>
  <si>
    <t>Explicitly diagnoses or challenges an error, weak wording, unsupported claim, inconsistency or unsatisfactory response.</t>
  </si>
  <si>
    <t>Changes scope, priority, framing, sequencing or the previous course of work.</t>
  </si>
  <si>
    <t>Supplies facts, interpretation, drafts, documents, source pools or experience. External material is context provision, not automatically researcher expertise.</t>
  </si>
  <si>
    <t>Explicitly approves, chooses, excludes or rejects an option, output, source or proposed action.</t>
  </si>
  <si>
    <t>Initiates reasoned comparison or reconciliation of concepts, explanations, methods or arguments. Simply requesting alternatives is insufficient.</t>
  </si>
  <si>
    <t>Open execution delegated to AI.</t>
  </si>
  <si>
    <t>Human constrains or selects execution.</t>
  </si>
  <si>
    <t>Human requests or exercises assessment.</t>
  </si>
  <si>
    <t>Human explicitly scrutinizes or corrects output.</t>
  </si>
  <si>
    <t>Human initiates reasoned comparison or reconciliation.</t>
  </si>
  <si>
    <t>Corrects field-specific terminology or technical claims using an explicit distinction.</t>
  </si>
  <si>
    <t>Distinguishes analytical concepts, categories, mechanisms or source roles.</t>
  </si>
  <si>
    <t>Sets or applies criteria for relevance, accuracy, source-to-claim support, traceability or evidential limits.</t>
  </si>
  <si>
    <t>Sets or critiques research design, data collection, selection, synthesis, modeling or inferential procedures.</t>
  </si>
  <si>
    <t>Develops, qualifies or evaluates reasoning, contribution framing, claim strength or the argumentative role of evidence.</t>
  </si>
  <si>
    <t>Applies manuscript structure, language, citation conventions, tone, audience, narrative sequence or submission genre.</t>
  </si>
  <si>
    <t>No sufficient explicit expertise evidence in this prompt. Does not mean the researcher lacks expertise; exclusive of positive categories.</t>
  </si>
  <si>
    <t>Source</t>
  </si>
  <si>
    <t>Interaction log</t>
  </si>
  <si>
    <t>paper-Human AI interactions-log.pdf — supplied log in Data (empirical). OCR recovery used because embedded text mapping is corrupted.</t>
  </si>
  <si>
    <t>Context paper</t>
  </si>
  <si>
    <t>paper-Human AI interactions-Paper itself.pdf — topic context only; manuscript content does not establish what was present in individual prompts.</t>
  </si>
  <si>
    <t>Reference</t>
  </si>
  <si>
    <t>Layout</t>
  </si>
  <si>
    <t>CODING of interactions-for Paper-Human oversight.xlsx — used to match Summary, Coding, Human prompts and Codebook tabs; its case codes were not reused as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</si>
</sst>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name val="Carlito"/>
    </font>
    <font>
      <sz val="10"/>
      <color rgb="FF223449"/>
      <name val="Arial"/>
      <family val="2"/>
    </font>
    <font>
      <b/>
      <sz val="10"/>
      <color rgb="FFFFFFFF"/>
      <name val="Arial"/>
      <family val="2"/>
    </font>
    <font>
      <b/>
      <sz val="17"/>
      <color rgb="FF29435C"/>
      <name val="Arial"/>
      <family val="2"/>
    </font>
    <font>
      <b/>
      <sz val="10"/>
      <color rgb="FF223449"/>
      <name val="Arial"/>
      <family val="2"/>
    </font>
  </fonts>
  <fills count="3">
    <fill>
      <patternFill patternType="none"/>
    </fill>
    <fill>
      <patternFill patternType="gray125"/>
    </fill>
    <fill>
      <patternFill patternType="solid">
        <fgColor rgb="FF29435C"/>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applyAlignment="1">
      <alignment horizontal="center" vertical="center" wrapText="1"/>
    </xf>
    <xf numFmtId="0" fontId="1" fillId="0" borderId="0" xfId="0" applyFont="1" applyAlignment="1">
      <alignment wrapText="1"/>
    </xf>
    <xf numFmtId="0" fontId="1" fillId="0" borderId="0" xfId="0" applyFont="1" applyAlignment="1">
      <alignment vertical="top" wrapText="1"/>
    </xf>
    <xf numFmtId="1" fontId="1" fillId="0" borderId="0" xfId="0" applyNumberFormat="1" applyFont="1" applyAlignment="1">
      <alignment vertical="top" wrapText="1"/>
    </xf>
    <xf numFmtId="164" fontId="1" fillId="0" borderId="0" xfId="0" applyNumberFormat="1" applyFont="1"/>
    <xf numFmtId="1" fontId="1" fillId="0" borderId="0" xfId="0" applyNumberFormat="1" applyFont="1"/>
    <xf numFmtId="1" fontId="1" fillId="0" borderId="0" xfId="0" applyNumberFormat="1" applyFont="1" applyAlignment="1">
      <alignment wrapText="1"/>
    </xf>
    <xf numFmtId="0" fontId="3" fillId="0" borderId="0" xfId="0" applyFont="1"/>
    <xf numFmtId="0" fontId="1" fillId="0" borderId="0" xfId="0" applyFont="1"/>
    <xf numFmtId="0" fontId="4" fillId="0" borderId="0" xfId="0" applyFont="1"/>
    <xf numFmtId="0" fontId="1" fillId="0" borderId="0" xfId="0" applyFont="1" applyAlignment="1">
      <alignment wrapText="1"/>
    </xf>
  </cellXfs>
  <cellStyles count="1">
    <cellStyle name="Normal" xfId="0" builtinId="0"/>
  </cellStyles>
  <dxfs count="1">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WCoding" displayName="CWCoding" ref="A1:AF83" totalsRowShown="0">
  <tableColumns count="32">
    <tableColumn id="1" xr3:uid="{00000000-0010-0000-0000-000001000000}" name="Prompt ID"/>
    <tableColumn id="2" xr3:uid="{00000000-0010-0000-0000-000002000000}" name="Sequence"/>
    <tableColumn id="3" xr3:uid="{00000000-0010-0000-0000-000003000000}" name="Phase"/>
    <tableColumn id="4" xr3:uid="{00000000-0010-0000-0000-000004000000}" name="Prompt excerpt"/>
    <tableColumn id="5" xr3:uid="{00000000-0010-0000-0000-000005000000}" name="Primary interaction type"/>
    <tableColumn id="6" xr3:uid="{00000000-0010-0000-0000-000006000000}" name="Additional interaction types"/>
    <tableColumn id="7" xr3:uid="{00000000-0010-0000-0000-000007000000}" name="Agency mode"/>
    <tableColumn id="8" xr3:uid="{00000000-0010-0000-0000-000008000000}" name="Expertise evidence"/>
    <tableColumn id="9" xr3:uid="{00000000-0010-0000-0000-000009000000}" name="Coding rationale"/>
    <tableColumn id="10" xr3:uid="{00000000-0010-0000-0000-00000A000000}" name="Observed outcome / notes"/>
    <tableColumn id="11" xr3:uid="{00000000-0010-0000-0000-00000B000000}" name="Prompt provenance"/>
    <tableColumn id="12" xr3:uid="{00000000-0010-0000-0000-00000C000000}" name="Response provenance"/>
    <tableColumn id="13" xr3:uid="{00000000-0010-0000-0000-00000D000000}" name="Attachment / contextual material"/>
    <tableColumn id="14" xr3:uid="{00000000-0010-0000-0000-00000E000000}" name="Response availability"/>
    <tableColumn id="15" xr3:uid="{00000000-0010-0000-0000-00000F000000}" name="Coding caution"/>
    <tableColumn id="16" xr3:uid="{00000000-0010-0000-0000-000010000000}" name="Interaction codes"/>
    <tableColumn id="17" xr3:uid="{00000000-0010-0000-0000-000011000000}" name="Type: Delegation"/>
    <tableColumn id="18" xr3:uid="{00000000-0010-0000-0000-000012000000}" name="Type: Directed delegation"/>
    <tableColumn id="19" xr3:uid="{00000000-0010-0000-0000-000013000000}" name="Type: Evaluation"/>
    <tableColumn id="20" xr3:uid="{00000000-0010-0000-0000-000014000000}" name="Type: Correction/Challenge"/>
    <tableColumn id="21" xr3:uid="{00000000-0010-0000-0000-000015000000}" name="Type: Redirection"/>
    <tableColumn id="22" xr3:uid="{00000000-0010-0000-0000-000016000000}" name="Type: Knowledge injection"/>
    <tableColumn id="23" xr3:uid="{00000000-0010-0000-0000-000017000000}" name="Type: Selection/Rejection"/>
    <tableColumn id="24" xr3:uid="{00000000-0010-0000-0000-000018000000}" name="Type: Deliberation"/>
    <tableColumn id="25" xr3:uid="{00000000-0010-0000-0000-000019000000}" name="Expertise codes"/>
    <tableColumn id="26" xr3:uid="{00000000-0010-0000-0000-00001A000000}" name="Expertise: domain correction"/>
    <tableColumn id="27" xr3:uid="{00000000-0010-0000-0000-00001B000000}" name="Expertise: conceptual discrimination"/>
    <tableColumn id="28" xr3:uid="{00000000-0010-0000-0000-00001C000000}" name="Expertise: evidence judgment"/>
    <tableColumn id="29" xr3:uid="{00000000-0010-0000-0000-00001D000000}" name="Expertise: methodological judgment"/>
    <tableColumn id="30" xr3:uid="{00000000-0010-0000-0000-00001E000000}" name="Expertise: argumentative judgment"/>
    <tableColumn id="31" xr3:uid="{00000000-0010-0000-0000-00001F000000}" name="Expertise: genre/writing expertise"/>
    <tableColumn id="32" xr3:uid="{00000000-0010-0000-0000-000020000000}" name="Expertise: 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WPrompts" displayName="CWPrompts" ref="A1:I83" totalsRowShown="0">
  <tableColumns count="9">
    <tableColumn id="1" xr3:uid="{00000000-0010-0000-0100-000001000000}" name="Prompt ID"/>
    <tableColumn id="2" xr3:uid="{00000000-0010-0000-0100-000002000000}" name="Sequence"/>
    <tableColumn id="3" xr3:uid="{00000000-0010-0000-0100-000003000000}" name="Prompt provenance"/>
    <tableColumn id="4" xr3:uid="{00000000-0010-0000-0100-000004000000}" name="Attachment / contextual material"/>
    <tableColumn id="5" xr3:uid="{00000000-0010-0000-0100-000005000000}" name="Full human prompt (part 1)"/>
    <tableColumn id="6" xr3:uid="{00000000-0010-0000-0100-000006000000}" name="Full human prompt (part 2)"/>
    <tableColumn id="7" xr3:uid="{00000000-0010-0000-0100-000007000000}" name="Full human prompt (part 3)"/>
    <tableColumn id="8" xr3:uid="{00000000-0010-0000-0100-000008000000}" name="Full human prompt (part 4)"/>
    <tableColumn id="9" xr3:uid="{00000000-0010-0000-0100-000009000000}" name="Full human prompt (part 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WCodebook" displayName="CWCodebook" ref="A1:C38" totalsRowShown="0">
  <tableColumns count="3">
    <tableColumn id="1" xr3:uid="{00000000-0010-0000-0200-000001000000}" name="Dimension"/>
    <tableColumn id="2" xr3:uid="{00000000-0010-0000-0200-000002000000}" name="Code / rule"/>
    <tableColumn id="3" xr3:uid="{00000000-0010-0000-0200-000003000000}" name="Definition / interpretation lim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abSelected="1" zoomScale="70" zoomScaleNormal="70" workbookViewId="0">
      <selection activeCell="L9" sqref="L9:L15"/>
    </sheetView>
  </sheetViews>
  <sheetFormatPr defaultRowHeight="14.25" x14ac:dyDescent="0.2"/>
  <cols>
    <col min="1" max="1" width="43" customWidth="1"/>
    <col min="2" max="2" width="14" customWidth="1"/>
    <col min="3" max="3" width="16" customWidth="1"/>
    <col min="4" max="4" width="22" customWidth="1"/>
    <col min="5" max="5" width="15" customWidth="1"/>
    <col min="6" max="6" width="28" customWidth="1"/>
    <col min="7" max="7" width="13" customWidth="1"/>
    <col min="8" max="8" width="14" customWidth="1"/>
    <col min="9" max="9" width="15" customWidth="1"/>
    <col min="10" max="10" width="32" customWidth="1"/>
    <col min="11" max="12" width="13" customWidth="1"/>
  </cols>
  <sheetData>
    <row r="1" spans="1:12" x14ac:dyDescent="0.2">
      <c r="A1" s="1"/>
      <c r="B1" s="1"/>
      <c r="C1" s="1"/>
      <c r="D1" s="1"/>
      <c r="E1" s="1"/>
      <c r="F1" s="1"/>
      <c r="G1" s="1"/>
      <c r="H1" s="1"/>
      <c r="I1" s="1"/>
      <c r="J1" s="1"/>
      <c r="K1" s="1"/>
      <c r="L1" s="1"/>
    </row>
    <row r="2" spans="1:12" ht="32.1" customHeight="1" x14ac:dyDescent="0.3">
      <c r="A2" s="9" t="s">
        <v>0</v>
      </c>
      <c r="B2" s="10"/>
      <c r="C2" s="10"/>
      <c r="D2" s="10"/>
      <c r="E2" s="10"/>
      <c r="F2" s="10"/>
      <c r="G2" s="10"/>
      <c r="H2" s="10"/>
      <c r="I2" s="10"/>
      <c r="J2" s="10"/>
      <c r="K2" s="10"/>
      <c r="L2" s="10"/>
    </row>
    <row r="3" spans="1:12" x14ac:dyDescent="0.2">
      <c r="A3" s="10" t="s">
        <v>1</v>
      </c>
      <c r="B3" s="10"/>
      <c r="C3" s="10"/>
      <c r="D3" s="10"/>
      <c r="E3" s="10"/>
      <c r="F3" s="10"/>
      <c r="G3" s="10"/>
      <c r="H3" s="10"/>
      <c r="I3" s="10"/>
      <c r="J3" s="10"/>
      <c r="K3" s="10"/>
      <c r="L3" s="10"/>
    </row>
    <row r="4" spans="1:12" x14ac:dyDescent="0.2">
      <c r="A4" s="1"/>
      <c r="B4" s="1"/>
      <c r="C4" s="1"/>
      <c r="D4" s="1"/>
      <c r="E4" s="1"/>
      <c r="F4" s="1"/>
      <c r="G4" s="1"/>
      <c r="H4" s="1"/>
      <c r="I4" s="1"/>
      <c r="J4" s="1"/>
      <c r="K4" s="1"/>
      <c r="L4" s="1"/>
    </row>
    <row r="5" spans="1:12" x14ac:dyDescent="0.2">
      <c r="A5" s="1" t="s">
        <v>2</v>
      </c>
      <c r="B5" s="7">
        <v>82</v>
      </c>
      <c r="C5" s="1"/>
      <c r="D5" s="10" t="s">
        <v>3</v>
      </c>
      <c r="E5" s="10"/>
      <c r="F5" s="10"/>
      <c r="G5" s="10"/>
      <c r="H5" s="10"/>
      <c r="I5" s="10"/>
      <c r="J5" s="1"/>
      <c r="K5" s="1"/>
      <c r="L5" s="1"/>
    </row>
    <row r="6" spans="1:12" x14ac:dyDescent="0.2">
      <c r="A6" s="1" t="s">
        <v>4</v>
      </c>
      <c r="B6" s="7">
        <v>0</v>
      </c>
      <c r="C6" s="1"/>
      <c r="D6" s="10" t="s">
        <v>5</v>
      </c>
      <c r="E6" s="10"/>
      <c r="F6" s="10"/>
      <c r="G6" s="10"/>
      <c r="H6" s="10"/>
      <c r="I6" s="10"/>
      <c r="J6" s="1"/>
      <c r="K6" s="1"/>
      <c r="L6" s="1"/>
    </row>
    <row r="7" spans="1:12" x14ac:dyDescent="0.2">
      <c r="A7" s="1"/>
      <c r="B7" s="1"/>
      <c r="C7" s="1"/>
      <c r="D7" s="1"/>
      <c r="E7" s="1"/>
      <c r="F7" s="1"/>
      <c r="G7" s="1"/>
      <c r="H7" s="1"/>
      <c r="I7" s="1"/>
      <c r="J7" s="1"/>
      <c r="K7" s="1"/>
      <c r="L7" s="1"/>
    </row>
    <row r="8" spans="1:12" ht="45.95" customHeight="1" x14ac:dyDescent="0.2">
      <c r="A8" s="2" t="s">
        <v>6</v>
      </c>
      <c r="B8" s="2" t="s">
        <v>7</v>
      </c>
      <c r="C8" s="2" t="s">
        <v>8</v>
      </c>
      <c r="D8" s="2" t="s">
        <v>9</v>
      </c>
      <c r="E8" s="1"/>
      <c r="F8" s="2" t="s">
        <v>10</v>
      </c>
      <c r="G8" s="2" t="s">
        <v>11</v>
      </c>
      <c r="H8" s="2" t="s">
        <v>12</v>
      </c>
      <c r="I8" s="1"/>
      <c r="J8" s="2" t="s">
        <v>13</v>
      </c>
      <c r="K8" s="2" t="s">
        <v>11</v>
      </c>
      <c r="L8" s="2" t="s">
        <v>12</v>
      </c>
    </row>
    <row r="9" spans="1:12" x14ac:dyDescent="0.2">
      <c r="A9" s="1" t="s">
        <v>14</v>
      </c>
      <c r="B9" s="7">
        <f>COUNTIFS(Coding!$E$2:$E$83,A9)</f>
        <v>2</v>
      </c>
      <c r="C9" s="7">
        <f>SUM(Coding!Q2:Q83)</f>
        <v>2</v>
      </c>
      <c r="D9" s="6">
        <f t="shared" ref="D9:D16" si="0">C9/$B$5</f>
        <v>2.4390243902439025E-2</v>
      </c>
      <c r="E9" s="1"/>
      <c r="F9" s="1" t="s">
        <v>15</v>
      </c>
      <c r="G9" s="7">
        <f>COUNTIFS(Coding!$G$2:$G$83,F9)</f>
        <v>2</v>
      </c>
      <c r="H9" s="6">
        <f>G9/$B$5</f>
        <v>2.4390243902439025E-2</v>
      </c>
      <c r="I9" s="1"/>
      <c r="J9" s="3" t="s">
        <v>16</v>
      </c>
      <c r="K9" s="7">
        <f>SUM(Coding!Z2:Z83)</f>
        <v>0</v>
      </c>
      <c r="L9" s="6">
        <f t="shared" ref="L9:L15" si="1">K9/$B$5</f>
        <v>0</v>
      </c>
    </row>
    <row r="10" spans="1:12" x14ac:dyDescent="0.2">
      <c r="A10" s="1" t="s">
        <v>17</v>
      </c>
      <c r="B10" s="7">
        <f>COUNTIFS(Coding!$E$2:$E$83,A10)</f>
        <v>32</v>
      </c>
      <c r="C10" s="7">
        <f>SUM(Coding!R2:R83)</f>
        <v>51</v>
      </c>
      <c r="D10" s="6">
        <f t="shared" si="0"/>
        <v>0.62195121951219512</v>
      </c>
      <c r="E10" s="1"/>
      <c r="F10" s="1" t="s">
        <v>18</v>
      </c>
      <c r="G10" s="7">
        <f>COUNTIFS(Coding!$G$2:$G$83,F10)</f>
        <v>40</v>
      </c>
      <c r="H10" s="6">
        <f>G10/$B$5</f>
        <v>0.48780487804878048</v>
      </c>
      <c r="I10" s="1"/>
      <c r="J10" s="3" t="s">
        <v>19</v>
      </c>
      <c r="K10" s="7">
        <f>SUM(Coding!AA2:AA83)</f>
        <v>12</v>
      </c>
      <c r="L10" s="6">
        <f t="shared" si="1"/>
        <v>0.14634146341463414</v>
      </c>
    </row>
    <row r="11" spans="1:12" x14ac:dyDescent="0.2">
      <c r="A11" s="1" t="s">
        <v>20</v>
      </c>
      <c r="B11" s="7">
        <f>COUNTIFS(Coding!$E$2:$E$83,A11)</f>
        <v>8</v>
      </c>
      <c r="C11" s="7">
        <f>SUM(Coding!S2:S83)</f>
        <v>14</v>
      </c>
      <c r="D11" s="6">
        <f t="shared" si="0"/>
        <v>0.17073170731707318</v>
      </c>
      <c r="E11" s="1"/>
      <c r="F11" s="1" t="s">
        <v>21</v>
      </c>
      <c r="G11" s="7">
        <f>COUNTIFS(Coding!$G$2:$G$83,F11)</f>
        <v>8</v>
      </c>
      <c r="H11" s="6">
        <f>G11/$B$5</f>
        <v>9.7560975609756101E-2</v>
      </c>
      <c r="I11" s="1"/>
      <c r="J11" s="3" t="s">
        <v>22</v>
      </c>
      <c r="K11" s="7">
        <f>SUM(Coding!AB2:AB83)</f>
        <v>14</v>
      </c>
      <c r="L11" s="6">
        <f t="shared" si="1"/>
        <v>0.17073170731707318</v>
      </c>
    </row>
    <row r="12" spans="1:12" x14ac:dyDescent="0.2">
      <c r="A12" s="1" t="s">
        <v>23</v>
      </c>
      <c r="B12" s="7">
        <f>COUNTIFS(Coding!$E$2:$E$83,A12)</f>
        <v>17</v>
      </c>
      <c r="C12" s="7">
        <f>SUM(Coding!T2:T83)</f>
        <v>17</v>
      </c>
      <c r="D12" s="6">
        <f t="shared" si="0"/>
        <v>0.2073170731707317</v>
      </c>
      <c r="E12" s="1"/>
      <c r="F12" s="1" t="s">
        <v>24</v>
      </c>
      <c r="G12" s="7">
        <f>COUNTIFS(Coding!$G$2:$G$83,F12)</f>
        <v>17</v>
      </c>
      <c r="H12" s="6">
        <f>G12/$B$5</f>
        <v>0.2073170731707317</v>
      </c>
      <c r="I12" s="1"/>
      <c r="J12" s="3" t="s">
        <v>25</v>
      </c>
      <c r="K12" s="7">
        <f>SUM(Coding!AC2:AC83)</f>
        <v>18</v>
      </c>
      <c r="L12" s="6">
        <f t="shared" si="1"/>
        <v>0.21951219512195122</v>
      </c>
    </row>
    <row r="13" spans="1:12" x14ac:dyDescent="0.2">
      <c r="A13" s="1" t="s">
        <v>26</v>
      </c>
      <c r="B13" s="7">
        <f>COUNTIFS(Coding!$E$2:$E$83,A13)</f>
        <v>0</v>
      </c>
      <c r="C13" s="7">
        <f>SUM(Coding!U2:U83)</f>
        <v>16</v>
      </c>
      <c r="D13" s="6">
        <f t="shared" si="0"/>
        <v>0.1951219512195122</v>
      </c>
      <c r="E13" s="1"/>
      <c r="F13" s="1" t="s">
        <v>27</v>
      </c>
      <c r="G13" s="7">
        <f>COUNTIFS(Coding!$G$2:$G$83,F13)</f>
        <v>15</v>
      </c>
      <c r="H13" s="6">
        <f>G13/$B$5</f>
        <v>0.18292682926829268</v>
      </c>
      <c r="I13" s="1"/>
      <c r="J13" s="3" t="s">
        <v>28</v>
      </c>
      <c r="K13" s="7">
        <f>SUM(Coding!AD2:AD83)</f>
        <v>19</v>
      </c>
      <c r="L13" s="6">
        <f t="shared" si="1"/>
        <v>0.23170731707317074</v>
      </c>
    </row>
    <row r="14" spans="1:12" x14ac:dyDescent="0.2">
      <c r="A14" s="1" t="s">
        <v>29</v>
      </c>
      <c r="B14" s="7">
        <f>COUNTIFS(Coding!$E$2:$E$83,A14)</f>
        <v>8</v>
      </c>
      <c r="C14" s="7">
        <f>SUM(Coding!V2:V83)</f>
        <v>37</v>
      </c>
      <c r="D14" s="6">
        <f t="shared" si="0"/>
        <v>0.45121951219512196</v>
      </c>
      <c r="E14" s="1"/>
      <c r="F14" s="1"/>
      <c r="G14" s="7"/>
      <c r="H14" s="1"/>
      <c r="I14" s="1"/>
      <c r="J14" s="3" t="s">
        <v>30</v>
      </c>
      <c r="K14" s="7">
        <f>SUM(Coding!AE2:AE83)</f>
        <v>52</v>
      </c>
      <c r="L14" s="6">
        <f t="shared" si="1"/>
        <v>0.63414634146341464</v>
      </c>
    </row>
    <row r="15" spans="1:12" x14ac:dyDescent="0.2">
      <c r="A15" s="1" t="s">
        <v>31</v>
      </c>
      <c r="B15" s="7">
        <f>COUNTIFS(Coding!$E$2:$E$83,A15)</f>
        <v>5</v>
      </c>
      <c r="C15" s="7">
        <f>SUM(Coding!W2:W83)</f>
        <v>11</v>
      </c>
      <c r="D15" s="6">
        <f t="shared" si="0"/>
        <v>0.13414634146341464</v>
      </c>
      <c r="E15" s="1"/>
      <c r="F15" s="3" t="s">
        <v>32</v>
      </c>
      <c r="G15" s="7">
        <f>$B$5-SUM(Coding!AF2:AF83)</f>
        <v>75</v>
      </c>
      <c r="H15" s="1"/>
      <c r="I15" s="1"/>
      <c r="J15" s="3" t="s">
        <v>33</v>
      </c>
      <c r="K15" s="7">
        <f>SUM(Coding!AF2:AF83)</f>
        <v>7</v>
      </c>
      <c r="L15" s="6">
        <f t="shared" si="1"/>
        <v>8.5365853658536592E-2</v>
      </c>
    </row>
    <row r="16" spans="1:12" x14ac:dyDescent="0.2">
      <c r="A16" s="1" t="s">
        <v>34</v>
      </c>
      <c r="B16" s="7">
        <f>COUNTIFS(Coding!$E$2:$E$83,A16)</f>
        <v>10</v>
      </c>
      <c r="C16" s="7">
        <f>SUM(Coding!X2:X83)</f>
        <v>19</v>
      </c>
      <c r="D16" s="6">
        <f t="shared" si="0"/>
        <v>0.23170731707317074</v>
      </c>
      <c r="E16" s="1"/>
      <c r="F16" s="3" t="s">
        <v>35</v>
      </c>
      <c r="G16" s="6">
        <f>G15/$B$5</f>
        <v>0.91463414634146345</v>
      </c>
      <c r="H16" s="1"/>
      <c r="I16" s="1"/>
      <c r="J16" s="1"/>
      <c r="K16" s="1"/>
      <c r="L16" s="1"/>
    </row>
    <row r="17" spans="1:12" x14ac:dyDescent="0.2">
      <c r="A17" s="1"/>
      <c r="B17" s="1"/>
      <c r="C17" s="1"/>
      <c r="D17" s="1"/>
      <c r="E17" s="1"/>
      <c r="F17" s="1"/>
      <c r="G17" s="1"/>
      <c r="H17" s="1"/>
      <c r="I17" s="1"/>
      <c r="J17" s="1"/>
      <c r="K17" s="1"/>
      <c r="L17" s="1"/>
    </row>
    <row r="18" spans="1:12" x14ac:dyDescent="0.2">
      <c r="A18" s="1"/>
      <c r="B18" s="1"/>
      <c r="C18" s="1"/>
      <c r="D18" s="1"/>
      <c r="E18" s="1"/>
      <c r="F18" s="1"/>
      <c r="G18" s="1"/>
      <c r="H18" s="1"/>
      <c r="I18" s="1"/>
      <c r="J18" s="1"/>
      <c r="K18" s="1"/>
      <c r="L18" s="1"/>
    </row>
    <row r="19" spans="1:12" ht="45.95" customHeight="1" x14ac:dyDescent="0.2">
      <c r="A19" s="2" t="s">
        <v>36</v>
      </c>
      <c r="B19" s="2" t="s">
        <v>37</v>
      </c>
      <c r="C19" s="2" t="s">
        <v>38</v>
      </c>
      <c r="D19" s="2" t="s">
        <v>11</v>
      </c>
      <c r="E19" s="2" t="s">
        <v>15</v>
      </c>
      <c r="F19" s="2" t="s">
        <v>18</v>
      </c>
      <c r="G19" s="2" t="s">
        <v>21</v>
      </c>
      <c r="H19" s="2" t="s">
        <v>24</v>
      </c>
      <c r="I19" s="2" t="s">
        <v>27</v>
      </c>
      <c r="J19" s="1"/>
      <c r="K19" s="1"/>
      <c r="L19" s="1"/>
    </row>
    <row r="20" spans="1:12" ht="39.950000000000003" customHeight="1" x14ac:dyDescent="0.2">
      <c r="A20" s="3" t="s">
        <v>39</v>
      </c>
      <c r="B20" s="8">
        <v>1</v>
      </c>
      <c r="C20" s="8">
        <v>20</v>
      </c>
      <c r="D20" s="8">
        <f>COUNTIFS(Coding!$C$2:$C$83,A20)</f>
        <v>20</v>
      </c>
      <c r="E20" s="8">
        <f>COUNTIFS(Coding!$C$2:$C$83,$A20,Coding!$G$2:$G$83,"Delegative")</f>
        <v>2</v>
      </c>
      <c r="F20" s="8">
        <f>COUNTIFS(Coding!$C$2:$C$83,$A20,Coding!$G$2:$G$83,"Directive")</f>
        <v>7</v>
      </c>
      <c r="G20" s="8">
        <f>COUNTIFS(Coding!$C$2:$C$83,$A20,Coding!$G$2:$G$83,"Evaluative")</f>
        <v>0</v>
      </c>
      <c r="H20" s="8">
        <f>COUNTIFS(Coding!$C$2:$C$83,$A20,Coding!$G$2:$G$83,"Critical")</f>
        <v>2</v>
      </c>
      <c r="I20" s="8">
        <f>COUNTIFS(Coding!$C$2:$C$83,$A20,Coding!$G$2:$G$83,"Deliberative")</f>
        <v>9</v>
      </c>
      <c r="J20" s="1"/>
      <c r="K20" s="1"/>
      <c r="L20" s="1"/>
    </row>
    <row r="21" spans="1:12" ht="39.950000000000003" customHeight="1" x14ac:dyDescent="0.2">
      <c r="A21" s="3" t="s">
        <v>40</v>
      </c>
      <c r="B21" s="8">
        <v>21</v>
      </c>
      <c r="C21" s="8">
        <v>59</v>
      </c>
      <c r="D21" s="8">
        <f>COUNTIFS(Coding!$C$2:$C$83,A21)</f>
        <v>39</v>
      </c>
      <c r="E21" s="8">
        <f>COUNTIFS(Coding!$C$2:$C$83,$A21,Coding!$G$2:$G$83,"Delegative")</f>
        <v>0</v>
      </c>
      <c r="F21" s="8">
        <f>COUNTIFS(Coding!$C$2:$C$83,$A21,Coding!$G$2:$G$83,"Directive")</f>
        <v>23</v>
      </c>
      <c r="G21" s="8">
        <f>COUNTIFS(Coding!$C$2:$C$83,$A21,Coding!$G$2:$G$83,"Evaluative")</f>
        <v>4</v>
      </c>
      <c r="H21" s="8">
        <f>COUNTIFS(Coding!$C$2:$C$83,$A21,Coding!$G$2:$G$83,"Critical")</f>
        <v>10</v>
      </c>
      <c r="I21" s="8">
        <f>COUNTIFS(Coding!$C$2:$C$83,$A21,Coding!$G$2:$G$83,"Deliberative")</f>
        <v>2</v>
      </c>
      <c r="J21" s="1"/>
      <c r="K21" s="1"/>
      <c r="L21" s="1"/>
    </row>
    <row r="22" spans="1:12" ht="39.950000000000003" customHeight="1" x14ac:dyDescent="0.2">
      <c r="A22" s="3" t="s">
        <v>41</v>
      </c>
      <c r="B22" s="8">
        <v>60</v>
      </c>
      <c r="C22" s="8">
        <v>75</v>
      </c>
      <c r="D22" s="8">
        <f>COUNTIFS(Coding!$C$2:$C$83,A22)</f>
        <v>16</v>
      </c>
      <c r="E22" s="8">
        <f>COUNTIFS(Coding!$C$2:$C$83,$A22,Coding!$G$2:$G$83,"Delegative")</f>
        <v>0</v>
      </c>
      <c r="F22" s="8">
        <f>COUNTIFS(Coding!$C$2:$C$83,$A22,Coding!$G$2:$G$83,"Directive")</f>
        <v>5</v>
      </c>
      <c r="G22" s="8">
        <f>COUNTIFS(Coding!$C$2:$C$83,$A22,Coding!$G$2:$G$83,"Evaluative")</f>
        <v>4</v>
      </c>
      <c r="H22" s="8">
        <f>COUNTIFS(Coding!$C$2:$C$83,$A22,Coding!$G$2:$G$83,"Critical")</f>
        <v>4</v>
      </c>
      <c r="I22" s="8">
        <f>COUNTIFS(Coding!$C$2:$C$83,$A22,Coding!$G$2:$G$83,"Deliberative")</f>
        <v>3</v>
      </c>
      <c r="J22" s="1"/>
      <c r="K22" s="1"/>
      <c r="L22" s="1"/>
    </row>
    <row r="23" spans="1:12" ht="39.950000000000003" customHeight="1" x14ac:dyDescent="0.2">
      <c r="A23" s="3" t="s">
        <v>42</v>
      </c>
      <c r="B23" s="8">
        <v>76</v>
      </c>
      <c r="C23" s="8">
        <v>79</v>
      </c>
      <c r="D23" s="8">
        <f>COUNTIFS(Coding!$C$2:$C$83,A23)</f>
        <v>4</v>
      </c>
      <c r="E23" s="8">
        <f>COUNTIFS(Coding!$C$2:$C$83,$A23,Coding!$G$2:$G$83,"Delegative")</f>
        <v>0</v>
      </c>
      <c r="F23" s="8">
        <f>COUNTIFS(Coding!$C$2:$C$83,$A23,Coding!$G$2:$G$83,"Directive")</f>
        <v>3</v>
      </c>
      <c r="G23" s="8">
        <f>COUNTIFS(Coding!$C$2:$C$83,$A23,Coding!$G$2:$G$83,"Evaluative")</f>
        <v>0</v>
      </c>
      <c r="H23" s="8">
        <f>COUNTIFS(Coding!$C$2:$C$83,$A23,Coding!$G$2:$G$83,"Critical")</f>
        <v>1</v>
      </c>
      <c r="I23" s="8">
        <f>COUNTIFS(Coding!$C$2:$C$83,$A23,Coding!$G$2:$G$83,"Deliberative")</f>
        <v>0</v>
      </c>
      <c r="J23" s="1"/>
      <c r="K23" s="1"/>
      <c r="L23" s="1"/>
    </row>
    <row r="24" spans="1:12" ht="39.950000000000003" customHeight="1" x14ac:dyDescent="0.2">
      <c r="A24" s="3" t="s">
        <v>43</v>
      </c>
      <c r="B24" s="8">
        <v>80</v>
      </c>
      <c r="C24" s="8">
        <v>82</v>
      </c>
      <c r="D24" s="8">
        <f>COUNTIFS(Coding!$C$2:$C$83,A24)</f>
        <v>3</v>
      </c>
      <c r="E24" s="8">
        <f>COUNTIFS(Coding!$C$2:$C$83,$A24,Coding!$G$2:$G$83,"Delegative")</f>
        <v>0</v>
      </c>
      <c r="F24" s="8">
        <f>COUNTIFS(Coding!$C$2:$C$83,$A24,Coding!$G$2:$G$83,"Directive")</f>
        <v>2</v>
      </c>
      <c r="G24" s="8">
        <f>COUNTIFS(Coding!$C$2:$C$83,$A24,Coding!$G$2:$G$83,"Evaluative")</f>
        <v>0</v>
      </c>
      <c r="H24" s="8">
        <f>COUNTIFS(Coding!$C$2:$C$83,$A24,Coding!$G$2:$G$83,"Critical")</f>
        <v>0</v>
      </c>
      <c r="I24" s="8">
        <f>COUNTIFS(Coding!$C$2:$C$83,$A24,Coding!$G$2:$G$83,"Deliberative")</f>
        <v>1</v>
      </c>
      <c r="J24" s="1"/>
      <c r="K24" s="1"/>
      <c r="L24" s="1"/>
    </row>
    <row r="25" spans="1:12" x14ac:dyDescent="0.2">
      <c r="A25" s="1"/>
      <c r="B25" s="1"/>
      <c r="C25" s="1"/>
      <c r="D25" s="1"/>
      <c r="E25" s="1"/>
      <c r="F25" s="1"/>
      <c r="G25" s="1"/>
      <c r="H25" s="1"/>
      <c r="I25" s="1"/>
      <c r="J25" s="1"/>
      <c r="K25" s="1"/>
      <c r="L25" s="1"/>
    </row>
    <row r="26" spans="1:12" x14ac:dyDescent="0.2">
      <c r="A26" s="1"/>
      <c r="B26" s="1"/>
      <c r="C26" s="1"/>
      <c r="D26" s="1"/>
      <c r="E26" s="1"/>
      <c r="F26" s="1"/>
      <c r="G26" s="1"/>
      <c r="H26" s="1"/>
      <c r="I26" s="1"/>
      <c r="J26" s="1"/>
      <c r="K26" s="1"/>
      <c r="L26" s="1"/>
    </row>
    <row r="27" spans="1:12" x14ac:dyDescent="0.2">
      <c r="A27" s="1"/>
      <c r="B27" s="1"/>
      <c r="C27" s="1"/>
      <c r="D27" s="1"/>
      <c r="E27" s="1"/>
      <c r="F27" s="1"/>
      <c r="G27" s="1"/>
      <c r="H27" s="1"/>
      <c r="I27" s="1"/>
      <c r="J27" s="1"/>
      <c r="K27" s="1"/>
      <c r="L27" s="1"/>
    </row>
    <row r="28" spans="1:12" x14ac:dyDescent="0.2">
      <c r="A28" s="11" t="s">
        <v>44</v>
      </c>
      <c r="B28" s="10"/>
      <c r="C28" s="10"/>
      <c r="D28" s="10"/>
      <c r="E28" s="10"/>
      <c r="F28" s="10"/>
      <c r="G28" s="10"/>
      <c r="H28" s="10"/>
      <c r="I28" s="10"/>
      <c r="J28" s="10"/>
      <c r="K28" s="10"/>
      <c r="L28" s="10"/>
    </row>
    <row r="29" spans="1:12" ht="39.950000000000003" customHeight="1" x14ac:dyDescent="0.2">
      <c r="A29" s="12" t="s">
        <v>45</v>
      </c>
      <c r="B29" s="12"/>
      <c r="C29" s="12"/>
      <c r="D29" s="12"/>
      <c r="E29" s="12"/>
      <c r="F29" s="12"/>
      <c r="G29" s="12"/>
      <c r="H29" s="12"/>
      <c r="I29" s="12"/>
      <c r="J29" s="12"/>
      <c r="K29" s="12"/>
      <c r="L29" s="12"/>
    </row>
    <row r="30" spans="1:12" ht="39.950000000000003" customHeight="1" x14ac:dyDescent="0.2">
      <c r="A30" s="12" t="s">
        <v>46</v>
      </c>
      <c r="B30" s="12"/>
      <c r="C30" s="12"/>
      <c r="D30" s="12"/>
      <c r="E30" s="12"/>
      <c r="F30" s="12"/>
      <c r="G30" s="12"/>
      <c r="H30" s="12"/>
      <c r="I30" s="12"/>
      <c r="J30" s="12"/>
      <c r="K30" s="12"/>
      <c r="L30" s="12"/>
    </row>
    <row r="31" spans="1:12" ht="39.950000000000003" customHeight="1" x14ac:dyDescent="0.2">
      <c r="A31" s="12" t="s">
        <v>47</v>
      </c>
      <c r="B31" s="12"/>
      <c r="C31" s="12"/>
      <c r="D31" s="12"/>
      <c r="E31" s="12"/>
      <c r="F31" s="12"/>
      <c r="G31" s="12"/>
      <c r="H31" s="12"/>
      <c r="I31" s="12"/>
      <c r="J31" s="12"/>
      <c r="K31" s="12"/>
      <c r="L31" s="12"/>
    </row>
    <row r="32" spans="1:12" ht="39.950000000000003" customHeight="1" x14ac:dyDescent="0.2">
      <c r="A32" s="12" t="s">
        <v>48</v>
      </c>
      <c r="B32" s="12"/>
      <c r="C32" s="12"/>
      <c r="D32" s="12"/>
      <c r="E32" s="12"/>
      <c r="F32" s="12"/>
      <c r="G32" s="12"/>
      <c r="H32" s="12"/>
      <c r="I32" s="12"/>
      <c r="J32" s="12"/>
      <c r="K32" s="12"/>
      <c r="L32" s="12"/>
    </row>
    <row r="33" spans="1:12" ht="39.950000000000003" customHeight="1" x14ac:dyDescent="0.2">
      <c r="A33" s="12" t="s">
        <v>49</v>
      </c>
      <c r="B33" s="12"/>
      <c r="C33" s="12"/>
      <c r="D33" s="12"/>
      <c r="E33" s="12"/>
      <c r="F33" s="12"/>
      <c r="G33" s="12"/>
      <c r="H33" s="12"/>
      <c r="I33" s="12"/>
      <c r="J33" s="12"/>
      <c r="K33" s="12"/>
      <c r="L33" s="12"/>
    </row>
    <row r="34" spans="1:12" ht="39.950000000000003" customHeight="1" x14ac:dyDescent="0.2">
      <c r="A34" s="12" t="s">
        <v>50</v>
      </c>
      <c r="B34" s="12"/>
      <c r="C34" s="12"/>
      <c r="D34" s="12"/>
      <c r="E34" s="12"/>
      <c r="F34" s="12"/>
      <c r="G34" s="12"/>
      <c r="H34" s="12"/>
      <c r="I34" s="12"/>
      <c r="J34" s="12"/>
      <c r="K34" s="12"/>
      <c r="L34" s="12"/>
    </row>
    <row r="35" spans="1:12" ht="39.950000000000003" customHeight="1" x14ac:dyDescent="0.2">
      <c r="A35" s="12" t="s">
        <v>51</v>
      </c>
      <c r="B35" s="12"/>
      <c r="C35" s="12"/>
      <c r="D35" s="12"/>
      <c r="E35" s="12"/>
      <c r="F35" s="12"/>
      <c r="G35" s="12"/>
      <c r="H35" s="12"/>
      <c r="I35" s="12"/>
      <c r="J35" s="12"/>
      <c r="K35" s="12"/>
      <c r="L35" s="12"/>
    </row>
    <row r="36" spans="1:12" x14ac:dyDescent="0.2">
      <c r="A36" s="1"/>
      <c r="B36" s="1"/>
      <c r="C36" s="1"/>
      <c r="D36" s="1"/>
      <c r="E36" s="1"/>
      <c r="F36" s="1"/>
      <c r="G36" s="1"/>
      <c r="H36" s="1"/>
      <c r="I36" s="1"/>
      <c r="J36" s="1"/>
      <c r="K36" s="1"/>
      <c r="L36" s="1"/>
    </row>
    <row r="37" spans="1:12" x14ac:dyDescent="0.2">
      <c r="A37" s="1"/>
      <c r="B37" s="1"/>
      <c r="C37" s="1"/>
      <c r="D37" s="1"/>
      <c r="E37" s="1"/>
      <c r="F37" s="1"/>
      <c r="G37" s="1"/>
      <c r="H37" s="1"/>
      <c r="I37" s="1"/>
      <c r="J37" s="1"/>
      <c r="K37" s="1"/>
      <c r="L37" s="1"/>
    </row>
    <row r="38" spans="1:12" x14ac:dyDescent="0.2">
      <c r="A38" s="1"/>
      <c r="B38" s="1"/>
      <c r="C38" s="1"/>
      <c r="D38" s="1"/>
      <c r="E38" s="1"/>
      <c r="F38" s="1"/>
      <c r="G38" s="1"/>
      <c r="H38" s="1"/>
      <c r="I38" s="1"/>
      <c r="J38" s="1"/>
      <c r="K38" s="1"/>
      <c r="L38" s="1"/>
    </row>
    <row r="39" spans="1:12" x14ac:dyDescent="0.2">
      <c r="A39" s="1"/>
      <c r="B39" s="1"/>
      <c r="C39" s="1"/>
      <c r="D39" s="1"/>
      <c r="E39" s="1"/>
      <c r="F39" s="1"/>
      <c r="G39" s="1"/>
      <c r="H39" s="1"/>
      <c r="I39" s="1"/>
      <c r="J39" s="1"/>
      <c r="K39" s="1"/>
      <c r="L39" s="1"/>
    </row>
    <row r="40" spans="1:12" x14ac:dyDescent="0.2">
      <c r="A40" s="1"/>
      <c r="B40" s="1"/>
      <c r="C40" s="1"/>
      <c r="D40" s="1"/>
      <c r="E40" s="1"/>
      <c r="F40" s="1"/>
      <c r="G40" s="1"/>
      <c r="H40" s="1"/>
      <c r="I40" s="1"/>
      <c r="J40" s="1"/>
      <c r="K40" s="1"/>
      <c r="L40" s="1"/>
    </row>
    <row r="41" spans="1:12" x14ac:dyDescent="0.2">
      <c r="A41" s="1"/>
      <c r="B41" s="1"/>
      <c r="C41" s="1"/>
      <c r="D41" s="1"/>
      <c r="E41" s="1"/>
      <c r="F41" s="1"/>
      <c r="G41" s="1"/>
      <c r="H41" s="1"/>
      <c r="I41" s="1"/>
      <c r="J41" s="1"/>
      <c r="K41" s="1"/>
      <c r="L41" s="1"/>
    </row>
    <row r="42" spans="1:12" x14ac:dyDescent="0.2">
      <c r="A42" s="1"/>
      <c r="B42" s="1"/>
      <c r="C42" s="1"/>
      <c r="D42" s="1"/>
      <c r="E42" s="1"/>
      <c r="F42" s="1"/>
      <c r="G42" s="1"/>
      <c r="H42" s="1"/>
      <c r="I42" s="1"/>
      <c r="J42" s="1"/>
      <c r="K42" s="1"/>
      <c r="L42" s="1"/>
    </row>
    <row r="43" spans="1:12" x14ac:dyDescent="0.2">
      <c r="A43" s="1"/>
      <c r="B43" s="1"/>
      <c r="C43" s="1"/>
      <c r="D43" s="1"/>
      <c r="E43" s="1"/>
      <c r="F43" s="1"/>
      <c r="G43" s="1"/>
      <c r="H43" s="1"/>
      <c r="I43" s="1"/>
      <c r="J43" s="1"/>
      <c r="K43" s="1"/>
      <c r="L43" s="1"/>
    </row>
    <row r="44" spans="1:12" x14ac:dyDescent="0.2">
      <c r="A44" s="1"/>
      <c r="B44" s="1"/>
      <c r="C44" s="1"/>
      <c r="D44" s="1"/>
      <c r="E44" s="1"/>
      <c r="F44" s="1"/>
      <c r="G44" s="1"/>
      <c r="H44" s="1"/>
      <c r="I44" s="1"/>
      <c r="J44" s="1"/>
      <c r="K44" s="1"/>
      <c r="L44" s="1"/>
    </row>
    <row r="45" spans="1:12" x14ac:dyDescent="0.2">
      <c r="A45" s="1"/>
      <c r="B45" s="1"/>
      <c r="C45" s="1"/>
      <c r="D45" s="1"/>
      <c r="E45" s="1"/>
      <c r="F45" s="1"/>
      <c r="G45" s="1"/>
      <c r="H45" s="1"/>
      <c r="I45" s="1"/>
      <c r="J45" s="1"/>
      <c r="K45" s="1"/>
      <c r="L45" s="1"/>
    </row>
    <row r="46" spans="1:12" x14ac:dyDescent="0.2">
      <c r="A46" s="1"/>
      <c r="B46" s="1"/>
      <c r="C46" s="1"/>
      <c r="D46" s="1"/>
      <c r="E46" s="1"/>
      <c r="F46" s="1"/>
      <c r="G46" s="1"/>
      <c r="H46" s="1"/>
      <c r="I46" s="1"/>
      <c r="J46" s="1"/>
      <c r="K46" s="1"/>
      <c r="L46" s="1"/>
    </row>
    <row r="47" spans="1:12" x14ac:dyDescent="0.2">
      <c r="A47" s="1"/>
      <c r="B47" s="1"/>
      <c r="C47" s="1"/>
      <c r="D47" s="1"/>
      <c r="E47" s="1"/>
      <c r="F47" s="1"/>
      <c r="G47" s="1"/>
      <c r="H47" s="1"/>
      <c r="I47" s="1"/>
      <c r="J47" s="1"/>
      <c r="K47" s="1"/>
      <c r="L47" s="1"/>
    </row>
    <row r="48" spans="1:12" x14ac:dyDescent="0.2">
      <c r="A48" s="1"/>
      <c r="B48" s="1"/>
      <c r="C48" s="1"/>
      <c r="D48" s="1"/>
      <c r="E48" s="1"/>
      <c r="F48" s="1"/>
      <c r="G48" s="1"/>
      <c r="H48" s="1"/>
      <c r="I48" s="1"/>
      <c r="J48" s="1"/>
      <c r="K48" s="1"/>
      <c r="L48" s="1"/>
    </row>
  </sheetData>
  <mergeCells count="12">
    <mergeCell ref="A34:L34"/>
    <mergeCell ref="A35:L35"/>
    <mergeCell ref="A29:L29"/>
    <mergeCell ref="A30:L30"/>
    <mergeCell ref="A31:L31"/>
    <mergeCell ref="A32:L32"/>
    <mergeCell ref="A33:L33"/>
    <mergeCell ref="A2:L2"/>
    <mergeCell ref="A3:L3"/>
    <mergeCell ref="D5:I5"/>
    <mergeCell ref="D6:I6"/>
    <mergeCell ref="A28:L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83"/>
  <sheetViews>
    <sheetView showGridLines="0" workbookViewId="0">
      <pane xSplit="2" ySplit="1" topLeftCell="C2" activePane="bottomRight" state="frozen"/>
      <selection pane="topRight"/>
      <selection pane="bottomLeft"/>
      <selection pane="bottomRight" activeCell="C2" sqref="C2"/>
    </sheetView>
  </sheetViews>
  <sheetFormatPr defaultRowHeight="14.25" x14ac:dyDescent="0.2"/>
  <cols>
    <col min="1" max="1" width="17" customWidth="1"/>
    <col min="2" max="2" width="9" customWidth="1"/>
    <col min="3" max="3" width="29" customWidth="1"/>
    <col min="4" max="4" width="66" customWidth="1"/>
    <col min="5" max="5" width="27" customWidth="1"/>
    <col min="6" max="6" width="45" customWidth="1"/>
    <col min="7" max="7" width="19" customWidth="1"/>
    <col min="8" max="8" width="46" customWidth="1"/>
    <col min="9" max="9" width="67" customWidth="1"/>
    <col min="10" max="10" width="76" customWidth="1"/>
    <col min="11" max="12" width="33" customWidth="1"/>
    <col min="13" max="13" width="50" customWidth="1"/>
    <col min="14" max="14" width="30" customWidth="1"/>
    <col min="15" max="15" width="68" customWidth="1"/>
    <col min="16" max="32" width="22" customWidth="1"/>
  </cols>
  <sheetData>
    <row r="1" spans="1:32" ht="45.95" customHeight="1" x14ac:dyDescent="0.2">
      <c r="A1" s="2" t="s">
        <v>52</v>
      </c>
      <c r="B1" s="2" t="s">
        <v>53</v>
      </c>
      <c r="C1" s="2" t="s">
        <v>36</v>
      </c>
      <c r="D1" s="2" t="s">
        <v>54</v>
      </c>
      <c r="E1" s="2" t="s">
        <v>55</v>
      </c>
      <c r="F1" s="2" t="s">
        <v>56</v>
      </c>
      <c r="G1" s="2" t="s">
        <v>10</v>
      </c>
      <c r="H1" s="2" t="s">
        <v>13</v>
      </c>
      <c r="I1" s="2" t="s">
        <v>57</v>
      </c>
      <c r="J1" s="2" t="s">
        <v>58</v>
      </c>
      <c r="K1" s="2" t="s">
        <v>59</v>
      </c>
      <c r="L1" s="2" t="s">
        <v>60</v>
      </c>
      <c r="M1" s="2" t="s">
        <v>61</v>
      </c>
      <c r="N1" s="2" t="s">
        <v>62</v>
      </c>
      <c r="O1" s="2" t="s">
        <v>63</v>
      </c>
      <c r="P1" s="2" t="s">
        <v>64</v>
      </c>
      <c r="Q1" s="2" t="s">
        <v>65</v>
      </c>
      <c r="R1" s="2" t="s">
        <v>66</v>
      </c>
      <c r="S1" s="2" t="s">
        <v>67</v>
      </c>
      <c r="T1" s="2" t="s">
        <v>68</v>
      </c>
      <c r="U1" s="2" t="s">
        <v>69</v>
      </c>
      <c r="V1" s="2" t="s">
        <v>70</v>
      </c>
      <c r="W1" s="2" t="s">
        <v>71</v>
      </c>
      <c r="X1" s="2" t="s">
        <v>72</v>
      </c>
      <c r="Y1" s="2" t="s">
        <v>73</v>
      </c>
      <c r="Z1" s="2" t="s">
        <v>74</v>
      </c>
      <c r="AA1" s="2" t="s">
        <v>75</v>
      </c>
      <c r="AB1" s="2" t="s">
        <v>76</v>
      </c>
      <c r="AC1" s="2" t="s">
        <v>77</v>
      </c>
      <c r="AD1" s="2" t="s">
        <v>78</v>
      </c>
      <c r="AE1" s="2" t="s">
        <v>79</v>
      </c>
      <c r="AF1" s="2" t="s">
        <v>80</v>
      </c>
    </row>
    <row r="2" spans="1:32" ht="75.95" customHeight="1" x14ac:dyDescent="0.2">
      <c r="A2" s="4" t="s">
        <v>81</v>
      </c>
      <c r="B2" s="5">
        <v>1</v>
      </c>
      <c r="C2" s="4" t="s">
        <v>39</v>
      </c>
      <c r="D2" s="4" t="s">
        <v>82</v>
      </c>
      <c r="E2" s="4" t="s">
        <v>14</v>
      </c>
      <c r="F2" s="4"/>
      <c r="G2" s="4" t="s">
        <v>15</v>
      </c>
      <c r="H2" s="4" t="s">
        <v>33</v>
      </c>
      <c r="I2" s="4" t="s">
        <v>83</v>
      </c>
      <c r="J2" s="4" t="s">
        <v>84</v>
      </c>
      <c r="K2" s="4" t="s">
        <v>85</v>
      </c>
      <c r="L2" s="4" t="s">
        <v>86</v>
      </c>
      <c r="M2" s="4"/>
      <c r="N2" s="4" t="s">
        <v>87</v>
      </c>
      <c r="O2" s="4" t="s">
        <v>88</v>
      </c>
      <c r="P2" s="5">
        <f t="shared" ref="P2:P33" si="0">SUM(Q2:X2)</f>
        <v>1</v>
      </c>
      <c r="Q2" s="5">
        <f t="shared" ref="Q2:Q33" si="1">IF(OR(E2="Delegation",ISNUMBER(SEARCH("; Delegation; ","; "&amp;F2&amp;"; "))),1,0)</f>
        <v>1</v>
      </c>
      <c r="R2" s="5">
        <f t="shared" ref="R2:R33" si="2">IF(OR(E2="Directed delegation",ISNUMBER(SEARCH("; Directed delegation; ","; "&amp;F2&amp;"; "))),1,0)</f>
        <v>0</v>
      </c>
      <c r="S2" s="5">
        <f t="shared" ref="S2:S33" si="3">IF(OR(E2="Evaluation",ISNUMBER(SEARCH("; Evaluation; ","; "&amp;F2&amp;"; "))),1,0)</f>
        <v>0</v>
      </c>
      <c r="T2" s="5">
        <f t="shared" ref="T2:T33" si="4">IF(OR(E2="Correction/Challenge",ISNUMBER(SEARCH("; Correction/Challenge; ","; "&amp;F2&amp;"; "))),1,0)</f>
        <v>0</v>
      </c>
      <c r="U2" s="5">
        <f t="shared" ref="U2:U33" si="5">IF(OR(E2="Redirection",ISNUMBER(SEARCH("; Redirection; ","; "&amp;F2&amp;"; "))),1,0)</f>
        <v>0</v>
      </c>
      <c r="V2" s="5">
        <f t="shared" ref="V2:V33" si="6">IF(OR(E2="Knowledge injection",ISNUMBER(SEARCH("; Knowledge injection; ","; "&amp;F2&amp;"; "))),1,0)</f>
        <v>0</v>
      </c>
      <c r="W2" s="5">
        <f t="shared" ref="W2:W33" si="7">IF(OR(E2="Selection/Rejection",ISNUMBER(SEARCH("; Selection/Rejection; ","; "&amp;F2&amp;"; "))),1,0)</f>
        <v>0</v>
      </c>
      <c r="X2" s="5">
        <f t="shared" ref="X2:X33" si="8">IF(OR(E2="Deliberation",ISNUMBER(SEARCH("; Deliberation; ","; "&amp;F2&amp;"; "))),1,0)</f>
        <v>0</v>
      </c>
      <c r="Y2" s="5">
        <f t="shared" ref="Y2:Y33" si="9">SUM(Z2:AE2)</f>
        <v>0</v>
      </c>
      <c r="Z2" s="5">
        <f t="shared" ref="Z2:Z33" si="10">IF(ISNUMBER(SEARCH("; domain correction; ","; "&amp;H2&amp;"; ")),1,0)</f>
        <v>0</v>
      </c>
      <c r="AA2" s="5">
        <f t="shared" ref="AA2:AA33" si="11">IF(ISNUMBER(SEARCH("; conceptual discrimination; ","; "&amp;H2&amp;"; ")),1,0)</f>
        <v>0</v>
      </c>
      <c r="AB2" s="5">
        <f t="shared" ref="AB2:AB33" si="12">IF(ISNUMBER(SEARCH("; evidence judgment; ","; "&amp;H2&amp;"; ")),1,0)</f>
        <v>0</v>
      </c>
      <c r="AC2" s="5">
        <f t="shared" ref="AC2:AC33" si="13">IF(ISNUMBER(SEARCH("; methodological judgment; ","; "&amp;H2&amp;"; ")),1,0)</f>
        <v>0</v>
      </c>
      <c r="AD2" s="5">
        <f t="shared" ref="AD2:AD33" si="14">IF(ISNUMBER(SEARCH("; argumentative judgment; ","; "&amp;H2&amp;"; ")),1,0)</f>
        <v>0</v>
      </c>
      <c r="AE2" s="5">
        <f t="shared" ref="AE2:AE33" si="15">IF(ISNUMBER(SEARCH("; genre/writing expertise; ","; "&amp;H2&amp;"; ")),1,0)</f>
        <v>0</v>
      </c>
      <c r="AF2" s="5">
        <f t="shared" ref="AF2:AF33" si="16">IF(ISNUMBER(SEARCH("; none; ","; "&amp;H2&amp;"; ")),1,0)</f>
        <v>1</v>
      </c>
    </row>
    <row r="3" spans="1:32" ht="122.1" customHeight="1" x14ac:dyDescent="0.2">
      <c r="A3" s="4" t="s">
        <v>89</v>
      </c>
      <c r="B3" s="5">
        <v>2</v>
      </c>
      <c r="C3" s="4" t="s">
        <v>39</v>
      </c>
      <c r="D3" s="4" t="s">
        <v>90</v>
      </c>
      <c r="E3" s="4" t="s">
        <v>17</v>
      </c>
      <c r="F3" s="4" t="s">
        <v>91</v>
      </c>
      <c r="G3" s="4" t="s">
        <v>18</v>
      </c>
      <c r="H3" s="4" t="s">
        <v>92</v>
      </c>
      <c r="I3" s="4" t="s">
        <v>93</v>
      </c>
      <c r="J3" s="4" t="s">
        <v>94</v>
      </c>
      <c r="K3" s="4" t="s">
        <v>95</v>
      </c>
      <c r="L3" s="4" t="s">
        <v>96</v>
      </c>
      <c r="M3" s="4" t="s">
        <v>97</v>
      </c>
      <c r="N3" s="4" t="s">
        <v>87</v>
      </c>
      <c r="O3" s="4" t="s">
        <v>98</v>
      </c>
      <c r="P3" s="5">
        <f t="shared" si="0"/>
        <v>4</v>
      </c>
      <c r="Q3" s="5">
        <f t="shared" si="1"/>
        <v>0</v>
      </c>
      <c r="R3" s="5">
        <f t="shared" si="2"/>
        <v>1</v>
      </c>
      <c r="S3" s="5">
        <f t="shared" si="3"/>
        <v>1</v>
      </c>
      <c r="T3" s="5">
        <f t="shared" si="4"/>
        <v>0</v>
      </c>
      <c r="U3" s="5">
        <f t="shared" si="5"/>
        <v>1</v>
      </c>
      <c r="V3" s="5">
        <f t="shared" si="6"/>
        <v>1</v>
      </c>
      <c r="W3" s="5">
        <f t="shared" si="7"/>
        <v>0</v>
      </c>
      <c r="X3" s="5">
        <f t="shared" si="8"/>
        <v>0</v>
      </c>
      <c r="Y3" s="5">
        <f t="shared" si="9"/>
        <v>2</v>
      </c>
      <c r="Z3" s="5">
        <f t="shared" si="10"/>
        <v>0</v>
      </c>
      <c r="AA3" s="5">
        <f t="shared" si="11"/>
        <v>0</v>
      </c>
      <c r="AB3" s="5">
        <f t="shared" si="12"/>
        <v>0</v>
      </c>
      <c r="AC3" s="5">
        <f t="shared" si="13"/>
        <v>1</v>
      </c>
      <c r="AD3" s="5">
        <f t="shared" si="14"/>
        <v>0</v>
      </c>
      <c r="AE3" s="5">
        <f t="shared" si="15"/>
        <v>1</v>
      </c>
      <c r="AF3" s="5">
        <f t="shared" si="16"/>
        <v>0</v>
      </c>
    </row>
    <row r="4" spans="1:32" ht="122.1" customHeight="1" x14ac:dyDescent="0.2">
      <c r="A4" s="4" t="s">
        <v>99</v>
      </c>
      <c r="B4" s="5">
        <v>3</v>
      </c>
      <c r="C4" s="4" t="s">
        <v>39</v>
      </c>
      <c r="D4" s="4" t="s">
        <v>100</v>
      </c>
      <c r="E4" s="4" t="s">
        <v>34</v>
      </c>
      <c r="F4" s="4" t="s">
        <v>101</v>
      </c>
      <c r="G4" s="4" t="s">
        <v>27</v>
      </c>
      <c r="H4" s="4" t="s">
        <v>102</v>
      </c>
      <c r="I4" s="4" t="s">
        <v>103</v>
      </c>
      <c r="J4" s="4" t="s">
        <v>104</v>
      </c>
      <c r="K4" s="4" t="s">
        <v>105</v>
      </c>
      <c r="L4" s="4" t="s">
        <v>106</v>
      </c>
      <c r="M4" s="4" t="s">
        <v>107</v>
      </c>
      <c r="N4" s="4" t="s">
        <v>87</v>
      </c>
      <c r="O4" s="4" t="s">
        <v>98</v>
      </c>
      <c r="P4" s="5">
        <f t="shared" si="0"/>
        <v>3</v>
      </c>
      <c r="Q4" s="5">
        <f t="shared" si="1"/>
        <v>0</v>
      </c>
      <c r="R4" s="5">
        <f t="shared" si="2"/>
        <v>0</v>
      </c>
      <c r="S4" s="5">
        <f t="shared" si="3"/>
        <v>0</v>
      </c>
      <c r="T4" s="5">
        <f t="shared" si="4"/>
        <v>0</v>
      </c>
      <c r="U4" s="5">
        <f t="shared" si="5"/>
        <v>1</v>
      </c>
      <c r="V4" s="5">
        <f t="shared" si="6"/>
        <v>1</v>
      </c>
      <c r="W4" s="5">
        <f t="shared" si="7"/>
        <v>0</v>
      </c>
      <c r="X4" s="5">
        <f t="shared" si="8"/>
        <v>1</v>
      </c>
      <c r="Y4" s="5">
        <f t="shared" si="9"/>
        <v>2</v>
      </c>
      <c r="Z4" s="5">
        <f t="shared" si="10"/>
        <v>0</v>
      </c>
      <c r="AA4" s="5">
        <f t="shared" si="11"/>
        <v>0</v>
      </c>
      <c r="AB4" s="5">
        <f t="shared" si="12"/>
        <v>0</v>
      </c>
      <c r="AC4" s="5">
        <f t="shared" si="13"/>
        <v>1</v>
      </c>
      <c r="AD4" s="5">
        <f t="shared" si="14"/>
        <v>1</v>
      </c>
      <c r="AE4" s="5">
        <f t="shared" si="15"/>
        <v>0</v>
      </c>
      <c r="AF4" s="5">
        <f t="shared" si="16"/>
        <v>0</v>
      </c>
    </row>
    <row r="5" spans="1:32" ht="122.1" customHeight="1" x14ac:dyDescent="0.2">
      <c r="A5" s="4" t="s">
        <v>108</v>
      </c>
      <c r="B5" s="5">
        <v>4</v>
      </c>
      <c r="C5" s="4" t="s">
        <v>39</v>
      </c>
      <c r="D5" s="4" t="s">
        <v>109</v>
      </c>
      <c r="E5" s="4" t="s">
        <v>34</v>
      </c>
      <c r="F5" s="4" t="s">
        <v>110</v>
      </c>
      <c r="G5" s="4" t="s">
        <v>27</v>
      </c>
      <c r="H5" s="4" t="s">
        <v>111</v>
      </c>
      <c r="I5" s="4" t="s">
        <v>112</v>
      </c>
      <c r="J5" s="4" t="s">
        <v>113</v>
      </c>
      <c r="K5" s="4" t="s">
        <v>114</v>
      </c>
      <c r="L5" s="4" t="s">
        <v>115</v>
      </c>
      <c r="M5" s="4" t="s">
        <v>107</v>
      </c>
      <c r="N5" s="4" t="s">
        <v>87</v>
      </c>
      <c r="O5" s="4" t="s">
        <v>98</v>
      </c>
      <c r="P5" s="5">
        <f t="shared" si="0"/>
        <v>3</v>
      </c>
      <c r="Q5" s="5">
        <f t="shared" si="1"/>
        <v>0</v>
      </c>
      <c r="R5" s="5">
        <f t="shared" si="2"/>
        <v>1</v>
      </c>
      <c r="S5" s="5">
        <f t="shared" si="3"/>
        <v>0</v>
      </c>
      <c r="T5" s="5">
        <f t="shared" si="4"/>
        <v>0</v>
      </c>
      <c r="U5" s="5">
        <f t="shared" si="5"/>
        <v>0</v>
      </c>
      <c r="V5" s="5">
        <f t="shared" si="6"/>
        <v>1</v>
      </c>
      <c r="W5" s="5">
        <f t="shared" si="7"/>
        <v>0</v>
      </c>
      <c r="X5" s="5">
        <f t="shared" si="8"/>
        <v>1</v>
      </c>
      <c r="Y5" s="5">
        <f t="shared" si="9"/>
        <v>3</v>
      </c>
      <c r="Z5" s="5">
        <f t="shared" si="10"/>
        <v>0</v>
      </c>
      <c r="AA5" s="5">
        <f t="shared" si="11"/>
        <v>1</v>
      </c>
      <c r="AB5" s="5">
        <f t="shared" si="12"/>
        <v>1</v>
      </c>
      <c r="AC5" s="5">
        <f t="shared" si="13"/>
        <v>0</v>
      </c>
      <c r="AD5" s="5">
        <f t="shared" si="14"/>
        <v>1</v>
      </c>
      <c r="AE5" s="5">
        <f t="shared" si="15"/>
        <v>0</v>
      </c>
      <c r="AF5" s="5">
        <f t="shared" si="16"/>
        <v>0</v>
      </c>
    </row>
    <row r="6" spans="1:32" ht="80.099999999999994" customHeight="1" x14ac:dyDescent="0.2">
      <c r="A6" s="4" t="s">
        <v>116</v>
      </c>
      <c r="B6" s="5">
        <v>5</v>
      </c>
      <c r="C6" s="4" t="s">
        <v>39</v>
      </c>
      <c r="D6" s="4" t="s">
        <v>117</v>
      </c>
      <c r="E6" s="4" t="s">
        <v>34</v>
      </c>
      <c r="F6" s="4" t="s">
        <v>118</v>
      </c>
      <c r="G6" s="4" t="s">
        <v>27</v>
      </c>
      <c r="H6" s="4" t="s">
        <v>30</v>
      </c>
      <c r="I6" s="4" t="s">
        <v>119</v>
      </c>
      <c r="J6" s="4" t="s">
        <v>120</v>
      </c>
      <c r="K6" s="4" t="s">
        <v>121</v>
      </c>
      <c r="L6" s="4" t="s">
        <v>122</v>
      </c>
      <c r="M6" s="4"/>
      <c r="N6" s="4" t="s">
        <v>87</v>
      </c>
      <c r="O6" s="4" t="s">
        <v>98</v>
      </c>
      <c r="P6" s="5">
        <f t="shared" si="0"/>
        <v>3</v>
      </c>
      <c r="Q6" s="5">
        <f t="shared" si="1"/>
        <v>0</v>
      </c>
      <c r="R6" s="5">
        <f t="shared" si="2"/>
        <v>0</v>
      </c>
      <c r="S6" s="5">
        <f t="shared" si="3"/>
        <v>1</v>
      </c>
      <c r="T6" s="5">
        <f t="shared" si="4"/>
        <v>0</v>
      </c>
      <c r="U6" s="5">
        <f t="shared" si="5"/>
        <v>1</v>
      </c>
      <c r="V6" s="5">
        <f t="shared" si="6"/>
        <v>0</v>
      </c>
      <c r="W6" s="5">
        <f t="shared" si="7"/>
        <v>0</v>
      </c>
      <c r="X6" s="5">
        <f t="shared" si="8"/>
        <v>1</v>
      </c>
      <c r="Y6" s="5">
        <f t="shared" si="9"/>
        <v>1</v>
      </c>
      <c r="Z6" s="5">
        <f t="shared" si="10"/>
        <v>0</v>
      </c>
      <c r="AA6" s="5">
        <f t="shared" si="11"/>
        <v>0</v>
      </c>
      <c r="AB6" s="5">
        <f t="shared" si="12"/>
        <v>0</v>
      </c>
      <c r="AC6" s="5">
        <f t="shared" si="13"/>
        <v>0</v>
      </c>
      <c r="AD6" s="5">
        <f t="shared" si="14"/>
        <v>0</v>
      </c>
      <c r="AE6" s="5">
        <f t="shared" si="15"/>
        <v>1</v>
      </c>
      <c r="AF6" s="5">
        <f t="shared" si="16"/>
        <v>0</v>
      </c>
    </row>
    <row r="7" spans="1:32" ht="75.95" customHeight="1" x14ac:dyDescent="0.2">
      <c r="A7" s="4" t="s">
        <v>123</v>
      </c>
      <c r="B7" s="5">
        <v>6</v>
      </c>
      <c r="C7" s="4" t="s">
        <v>39</v>
      </c>
      <c r="D7" s="4" t="s">
        <v>124</v>
      </c>
      <c r="E7" s="4" t="s">
        <v>14</v>
      </c>
      <c r="F7" s="4"/>
      <c r="G7" s="4" t="s">
        <v>15</v>
      </c>
      <c r="H7" s="4" t="s">
        <v>33</v>
      </c>
      <c r="I7" s="4" t="s">
        <v>125</v>
      </c>
      <c r="J7" s="4" t="s">
        <v>126</v>
      </c>
      <c r="K7" s="4" t="s">
        <v>127</v>
      </c>
      <c r="L7" s="4" t="s">
        <v>128</v>
      </c>
      <c r="M7" s="4"/>
      <c r="N7" s="4" t="s">
        <v>87</v>
      </c>
      <c r="O7" s="4" t="s">
        <v>98</v>
      </c>
      <c r="P7" s="5">
        <f t="shared" si="0"/>
        <v>1</v>
      </c>
      <c r="Q7" s="5">
        <f t="shared" si="1"/>
        <v>1</v>
      </c>
      <c r="R7" s="5">
        <f t="shared" si="2"/>
        <v>0</v>
      </c>
      <c r="S7" s="5">
        <f t="shared" si="3"/>
        <v>0</v>
      </c>
      <c r="T7" s="5">
        <f t="shared" si="4"/>
        <v>0</v>
      </c>
      <c r="U7" s="5">
        <f t="shared" si="5"/>
        <v>0</v>
      </c>
      <c r="V7" s="5">
        <f t="shared" si="6"/>
        <v>0</v>
      </c>
      <c r="W7" s="5">
        <f t="shared" si="7"/>
        <v>0</v>
      </c>
      <c r="X7" s="5">
        <f t="shared" si="8"/>
        <v>0</v>
      </c>
      <c r="Y7" s="5">
        <f t="shared" si="9"/>
        <v>0</v>
      </c>
      <c r="Z7" s="5">
        <f t="shared" si="10"/>
        <v>0</v>
      </c>
      <c r="AA7" s="5">
        <f t="shared" si="11"/>
        <v>0</v>
      </c>
      <c r="AB7" s="5">
        <f t="shared" si="12"/>
        <v>0</v>
      </c>
      <c r="AC7" s="5">
        <f t="shared" si="13"/>
        <v>0</v>
      </c>
      <c r="AD7" s="5">
        <f t="shared" si="14"/>
        <v>0</v>
      </c>
      <c r="AE7" s="5">
        <f t="shared" si="15"/>
        <v>0</v>
      </c>
      <c r="AF7" s="5">
        <f t="shared" si="16"/>
        <v>1</v>
      </c>
    </row>
    <row r="8" spans="1:32" ht="80.099999999999994" customHeight="1" x14ac:dyDescent="0.2">
      <c r="A8" s="4" t="s">
        <v>129</v>
      </c>
      <c r="B8" s="5">
        <v>7</v>
      </c>
      <c r="C8" s="4" t="s">
        <v>39</v>
      </c>
      <c r="D8" s="4" t="s">
        <v>130</v>
      </c>
      <c r="E8" s="4" t="s">
        <v>23</v>
      </c>
      <c r="F8" s="4" t="s">
        <v>131</v>
      </c>
      <c r="G8" s="4" t="s">
        <v>24</v>
      </c>
      <c r="H8" s="4" t="s">
        <v>132</v>
      </c>
      <c r="I8" s="4" t="s">
        <v>133</v>
      </c>
      <c r="J8" s="4" t="s">
        <v>134</v>
      </c>
      <c r="K8" s="4" t="s">
        <v>135</v>
      </c>
      <c r="L8" s="4" t="s">
        <v>136</v>
      </c>
      <c r="M8" s="4" t="s">
        <v>137</v>
      </c>
      <c r="N8" s="4" t="s">
        <v>87</v>
      </c>
      <c r="O8" s="4" t="s">
        <v>98</v>
      </c>
      <c r="P8" s="5">
        <f t="shared" si="0"/>
        <v>3</v>
      </c>
      <c r="Q8" s="5">
        <f t="shared" si="1"/>
        <v>0</v>
      </c>
      <c r="R8" s="5">
        <f t="shared" si="2"/>
        <v>0</v>
      </c>
      <c r="S8" s="5">
        <f t="shared" si="3"/>
        <v>1</v>
      </c>
      <c r="T8" s="5">
        <f t="shared" si="4"/>
        <v>1</v>
      </c>
      <c r="U8" s="5">
        <f t="shared" si="5"/>
        <v>0</v>
      </c>
      <c r="V8" s="5">
        <f t="shared" si="6"/>
        <v>1</v>
      </c>
      <c r="W8" s="5">
        <f t="shared" si="7"/>
        <v>0</v>
      </c>
      <c r="X8" s="5">
        <f t="shared" si="8"/>
        <v>0</v>
      </c>
      <c r="Y8" s="5">
        <f t="shared" si="9"/>
        <v>2</v>
      </c>
      <c r="Z8" s="5">
        <f t="shared" si="10"/>
        <v>0</v>
      </c>
      <c r="AA8" s="5">
        <f t="shared" si="11"/>
        <v>1</v>
      </c>
      <c r="AB8" s="5">
        <f t="shared" si="12"/>
        <v>1</v>
      </c>
      <c r="AC8" s="5">
        <f t="shared" si="13"/>
        <v>0</v>
      </c>
      <c r="AD8" s="5">
        <f t="shared" si="14"/>
        <v>0</v>
      </c>
      <c r="AE8" s="5">
        <f t="shared" si="15"/>
        <v>0</v>
      </c>
      <c r="AF8" s="5">
        <f t="shared" si="16"/>
        <v>0</v>
      </c>
    </row>
    <row r="9" spans="1:32" ht="75.95" customHeight="1" x14ac:dyDescent="0.2">
      <c r="A9" s="4" t="s">
        <v>138</v>
      </c>
      <c r="B9" s="5">
        <v>8</v>
      </c>
      <c r="C9" s="4" t="s">
        <v>39</v>
      </c>
      <c r="D9" s="4" t="s">
        <v>139</v>
      </c>
      <c r="E9" s="4" t="s">
        <v>17</v>
      </c>
      <c r="F9" s="4"/>
      <c r="G9" s="4" t="s">
        <v>18</v>
      </c>
      <c r="H9" s="4" t="s">
        <v>28</v>
      </c>
      <c r="I9" s="4" t="s">
        <v>140</v>
      </c>
      <c r="J9" s="4" t="s">
        <v>141</v>
      </c>
      <c r="K9" s="4" t="s">
        <v>142</v>
      </c>
      <c r="L9" s="4" t="s">
        <v>143</v>
      </c>
      <c r="M9" s="4"/>
      <c r="N9" s="4" t="s">
        <v>87</v>
      </c>
      <c r="O9" s="4" t="s">
        <v>98</v>
      </c>
      <c r="P9" s="5">
        <f t="shared" si="0"/>
        <v>1</v>
      </c>
      <c r="Q9" s="5">
        <f t="shared" si="1"/>
        <v>0</v>
      </c>
      <c r="R9" s="5">
        <f t="shared" si="2"/>
        <v>1</v>
      </c>
      <c r="S9" s="5">
        <f t="shared" si="3"/>
        <v>0</v>
      </c>
      <c r="T9" s="5">
        <f t="shared" si="4"/>
        <v>0</v>
      </c>
      <c r="U9" s="5">
        <f t="shared" si="5"/>
        <v>0</v>
      </c>
      <c r="V9" s="5">
        <f t="shared" si="6"/>
        <v>0</v>
      </c>
      <c r="W9" s="5">
        <f t="shared" si="7"/>
        <v>0</v>
      </c>
      <c r="X9" s="5">
        <f t="shared" si="8"/>
        <v>0</v>
      </c>
      <c r="Y9" s="5">
        <f t="shared" si="9"/>
        <v>1</v>
      </c>
      <c r="Z9" s="5">
        <f t="shared" si="10"/>
        <v>0</v>
      </c>
      <c r="AA9" s="5">
        <f t="shared" si="11"/>
        <v>0</v>
      </c>
      <c r="AB9" s="5">
        <f t="shared" si="12"/>
        <v>0</v>
      </c>
      <c r="AC9" s="5">
        <f t="shared" si="13"/>
        <v>0</v>
      </c>
      <c r="AD9" s="5">
        <f t="shared" si="14"/>
        <v>1</v>
      </c>
      <c r="AE9" s="5">
        <f t="shared" si="15"/>
        <v>0</v>
      </c>
      <c r="AF9" s="5">
        <f t="shared" si="16"/>
        <v>0</v>
      </c>
    </row>
    <row r="10" spans="1:32" ht="122.1" customHeight="1" x14ac:dyDescent="0.2">
      <c r="A10" s="4" t="s">
        <v>144</v>
      </c>
      <c r="B10" s="5">
        <v>9</v>
      </c>
      <c r="C10" s="4" t="s">
        <v>39</v>
      </c>
      <c r="D10" s="4" t="s">
        <v>145</v>
      </c>
      <c r="E10" s="4" t="s">
        <v>29</v>
      </c>
      <c r="F10" s="4" t="s">
        <v>146</v>
      </c>
      <c r="G10" s="4" t="s">
        <v>27</v>
      </c>
      <c r="H10" s="4" t="s">
        <v>147</v>
      </c>
      <c r="I10" s="4" t="s">
        <v>148</v>
      </c>
      <c r="J10" s="4" t="s">
        <v>149</v>
      </c>
      <c r="K10" s="4" t="s">
        <v>150</v>
      </c>
      <c r="L10" s="4" t="s">
        <v>151</v>
      </c>
      <c r="M10" s="4"/>
      <c r="N10" s="4" t="s">
        <v>87</v>
      </c>
      <c r="O10" s="4" t="s">
        <v>98</v>
      </c>
      <c r="P10" s="5">
        <f t="shared" si="0"/>
        <v>3</v>
      </c>
      <c r="Q10" s="5">
        <f t="shared" si="1"/>
        <v>0</v>
      </c>
      <c r="R10" s="5">
        <f t="shared" si="2"/>
        <v>0</v>
      </c>
      <c r="S10" s="5">
        <f t="shared" si="3"/>
        <v>0</v>
      </c>
      <c r="T10" s="5">
        <f t="shared" si="4"/>
        <v>0</v>
      </c>
      <c r="U10" s="5">
        <f t="shared" si="5"/>
        <v>1</v>
      </c>
      <c r="V10" s="5">
        <f t="shared" si="6"/>
        <v>1</v>
      </c>
      <c r="W10" s="5">
        <f t="shared" si="7"/>
        <v>0</v>
      </c>
      <c r="X10" s="5">
        <f t="shared" si="8"/>
        <v>1</v>
      </c>
      <c r="Y10" s="5">
        <f t="shared" si="9"/>
        <v>2</v>
      </c>
      <c r="Z10" s="5">
        <f t="shared" si="10"/>
        <v>0</v>
      </c>
      <c r="AA10" s="5">
        <f t="shared" si="11"/>
        <v>1</v>
      </c>
      <c r="AB10" s="5">
        <f t="shared" si="12"/>
        <v>0</v>
      </c>
      <c r="AC10" s="5">
        <f t="shared" si="13"/>
        <v>0</v>
      </c>
      <c r="AD10" s="5">
        <f t="shared" si="14"/>
        <v>1</v>
      </c>
      <c r="AE10" s="5">
        <f t="shared" si="15"/>
        <v>0</v>
      </c>
      <c r="AF10" s="5">
        <f t="shared" si="16"/>
        <v>0</v>
      </c>
    </row>
    <row r="11" spans="1:32" ht="122.1" customHeight="1" x14ac:dyDescent="0.2">
      <c r="A11" s="4" t="s">
        <v>152</v>
      </c>
      <c r="B11" s="5">
        <v>10</v>
      </c>
      <c r="C11" s="4" t="s">
        <v>39</v>
      </c>
      <c r="D11" s="4" t="s">
        <v>153</v>
      </c>
      <c r="E11" s="4" t="s">
        <v>29</v>
      </c>
      <c r="F11" s="4" t="s">
        <v>34</v>
      </c>
      <c r="G11" s="4" t="s">
        <v>27</v>
      </c>
      <c r="H11" s="4" t="s">
        <v>147</v>
      </c>
      <c r="I11" s="4" t="s">
        <v>154</v>
      </c>
      <c r="J11" s="4" t="s">
        <v>155</v>
      </c>
      <c r="K11" s="4" t="s">
        <v>156</v>
      </c>
      <c r="L11" s="4" t="s">
        <v>157</v>
      </c>
      <c r="M11" s="4" t="s">
        <v>158</v>
      </c>
      <c r="N11" s="4" t="s">
        <v>87</v>
      </c>
      <c r="O11" s="4" t="s">
        <v>98</v>
      </c>
      <c r="P11" s="5">
        <f t="shared" si="0"/>
        <v>2</v>
      </c>
      <c r="Q11" s="5">
        <f t="shared" si="1"/>
        <v>0</v>
      </c>
      <c r="R11" s="5">
        <f t="shared" si="2"/>
        <v>0</v>
      </c>
      <c r="S11" s="5">
        <f t="shared" si="3"/>
        <v>0</v>
      </c>
      <c r="T11" s="5">
        <f t="shared" si="4"/>
        <v>0</v>
      </c>
      <c r="U11" s="5">
        <f t="shared" si="5"/>
        <v>0</v>
      </c>
      <c r="V11" s="5">
        <f t="shared" si="6"/>
        <v>1</v>
      </c>
      <c r="W11" s="5">
        <f t="shared" si="7"/>
        <v>0</v>
      </c>
      <c r="X11" s="5">
        <f t="shared" si="8"/>
        <v>1</v>
      </c>
      <c r="Y11" s="5">
        <f t="shared" si="9"/>
        <v>2</v>
      </c>
      <c r="Z11" s="5">
        <f t="shared" si="10"/>
        <v>0</v>
      </c>
      <c r="AA11" s="5">
        <f t="shared" si="11"/>
        <v>1</v>
      </c>
      <c r="AB11" s="5">
        <f t="shared" si="12"/>
        <v>0</v>
      </c>
      <c r="AC11" s="5">
        <f t="shared" si="13"/>
        <v>0</v>
      </c>
      <c r="AD11" s="5">
        <f t="shared" si="14"/>
        <v>1</v>
      </c>
      <c r="AE11" s="5">
        <f t="shared" si="15"/>
        <v>0</v>
      </c>
      <c r="AF11" s="5">
        <f t="shared" si="16"/>
        <v>0</v>
      </c>
    </row>
    <row r="12" spans="1:32" ht="108" customHeight="1" x14ac:dyDescent="0.2">
      <c r="A12" s="4" t="s">
        <v>159</v>
      </c>
      <c r="B12" s="5">
        <v>11</v>
      </c>
      <c r="C12" s="4" t="s">
        <v>39</v>
      </c>
      <c r="D12" s="4" t="s">
        <v>160</v>
      </c>
      <c r="E12" s="4" t="s">
        <v>23</v>
      </c>
      <c r="F12" s="4" t="s">
        <v>161</v>
      </c>
      <c r="G12" s="4" t="s">
        <v>24</v>
      </c>
      <c r="H12" s="4" t="s">
        <v>162</v>
      </c>
      <c r="I12" s="4" t="s">
        <v>163</v>
      </c>
      <c r="J12" s="4" t="s">
        <v>164</v>
      </c>
      <c r="K12" s="4" t="s">
        <v>165</v>
      </c>
      <c r="L12" s="4" t="s">
        <v>166</v>
      </c>
      <c r="M12" s="4"/>
      <c r="N12" s="4" t="s">
        <v>87</v>
      </c>
      <c r="O12" s="4" t="s">
        <v>98</v>
      </c>
      <c r="P12" s="5">
        <f t="shared" si="0"/>
        <v>3</v>
      </c>
      <c r="Q12" s="5">
        <f t="shared" si="1"/>
        <v>0</v>
      </c>
      <c r="R12" s="5">
        <f t="shared" si="2"/>
        <v>0</v>
      </c>
      <c r="S12" s="5">
        <f t="shared" si="3"/>
        <v>1</v>
      </c>
      <c r="T12" s="5">
        <f t="shared" si="4"/>
        <v>1</v>
      </c>
      <c r="U12" s="5">
        <f t="shared" si="5"/>
        <v>0</v>
      </c>
      <c r="V12" s="5">
        <f t="shared" si="6"/>
        <v>0</v>
      </c>
      <c r="W12" s="5">
        <f t="shared" si="7"/>
        <v>0</v>
      </c>
      <c r="X12" s="5">
        <f t="shared" si="8"/>
        <v>1</v>
      </c>
      <c r="Y12" s="5">
        <f t="shared" si="9"/>
        <v>3</v>
      </c>
      <c r="Z12" s="5">
        <f t="shared" si="10"/>
        <v>0</v>
      </c>
      <c r="AA12" s="5">
        <f t="shared" si="11"/>
        <v>1</v>
      </c>
      <c r="AB12" s="5">
        <f t="shared" si="12"/>
        <v>1</v>
      </c>
      <c r="AC12" s="5">
        <f t="shared" si="13"/>
        <v>1</v>
      </c>
      <c r="AD12" s="5">
        <f t="shared" si="14"/>
        <v>0</v>
      </c>
      <c r="AE12" s="5">
        <f t="shared" si="15"/>
        <v>0</v>
      </c>
      <c r="AF12" s="5">
        <f t="shared" si="16"/>
        <v>0</v>
      </c>
    </row>
    <row r="13" spans="1:32" ht="122.1" customHeight="1" x14ac:dyDescent="0.2">
      <c r="A13" s="4" t="s">
        <v>167</v>
      </c>
      <c r="B13" s="5">
        <v>12</v>
      </c>
      <c r="C13" s="4" t="s">
        <v>39</v>
      </c>
      <c r="D13" s="4" t="s">
        <v>168</v>
      </c>
      <c r="E13" s="4" t="s">
        <v>29</v>
      </c>
      <c r="F13" s="4" t="s">
        <v>34</v>
      </c>
      <c r="G13" s="4" t="s">
        <v>27</v>
      </c>
      <c r="H13" s="4" t="s">
        <v>169</v>
      </c>
      <c r="I13" s="4" t="s">
        <v>170</v>
      </c>
      <c r="J13" s="4" t="s">
        <v>171</v>
      </c>
      <c r="K13" s="4" t="s">
        <v>172</v>
      </c>
      <c r="L13" s="4" t="s">
        <v>173</v>
      </c>
      <c r="M13" s="4"/>
      <c r="N13" s="4" t="s">
        <v>87</v>
      </c>
      <c r="O13" s="4" t="s">
        <v>98</v>
      </c>
      <c r="P13" s="5">
        <f t="shared" si="0"/>
        <v>2</v>
      </c>
      <c r="Q13" s="5">
        <f t="shared" si="1"/>
        <v>0</v>
      </c>
      <c r="R13" s="5">
        <f t="shared" si="2"/>
        <v>0</v>
      </c>
      <c r="S13" s="5">
        <f t="shared" si="3"/>
        <v>0</v>
      </c>
      <c r="T13" s="5">
        <f t="shared" si="4"/>
        <v>0</v>
      </c>
      <c r="U13" s="5">
        <f t="shared" si="5"/>
        <v>0</v>
      </c>
      <c r="V13" s="5">
        <f t="shared" si="6"/>
        <v>1</v>
      </c>
      <c r="W13" s="5">
        <f t="shared" si="7"/>
        <v>0</v>
      </c>
      <c r="X13" s="5">
        <f t="shared" si="8"/>
        <v>1</v>
      </c>
      <c r="Y13" s="5">
        <f t="shared" si="9"/>
        <v>3</v>
      </c>
      <c r="Z13" s="5">
        <f t="shared" si="10"/>
        <v>0</v>
      </c>
      <c r="AA13" s="5">
        <f t="shared" si="11"/>
        <v>1</v>
      </c>
      <c r="AB13" s="5">
        <f t="shared" si="12"/>
        <v>0</v>
      </c>
      <c r="AC13" s="5">
        <f t="shared" si="13"/>
        <v>1</v>
      </c>
      <c r="AD13" s="5">
        <f t="shared" si="14"/>
        <v>1</v>
      </c>
      <c r="AE13" s="5">
        <f t="shared" si="15"/>
        <v>0</v>
      </c>
      <c r="AF13" s="5">
        <f t="shared" si="16"/>
        <v>0</v>
      </c>
    </row>
    <row r="14" spans="1:32" ht="75.95" customHeight="1" x14ac:dyDescent="0.2">
      <c r="A14" s="4" t="s">
        <v>174</v>
      </c>
      <c r="B14" s="5">
        <v>13</v>
      </c>
      <c r="C14" s="4" t="s">
        <v>39</v>
      </c>
      <c r="D14" s="4" t="s">
        <v>175</v>
      </c>
      <c r="E14" s="4" t="s">
        <v>17</v>
      </c>
      <c r="F14" s="4"/>
      <c r="G14" s="4" t="s">
        <v>18</v>
      </c>
      <c r="H14" s="4" t="s">
        <v>176</v>
      </c>
      <c r="I14" s="4" t="s">
        <v>177</v>
      </c>
      <c r="J14" s="4" t="s">
        <v>178</v>
      </c>
      <c r="K14" s="4" t="s">
        <v>179</v>
      </c>
      <c r="L14" s="4" t="s">
        <v>180</v>
      </c>
      <c r="M14" s="4"/>
      <c r="N14" s="4" t="s">
        <v>87</v>
      </c>
      <c r="O14" s="4" t="s">
        <v>98</v>
      </c>
      <c r="P14" s="5">
        <f t="shared" si="0"/>
        <v>1</v>
      </c>
      <c r="Q14" s="5">
        <f t="shared" si="1"/>
        <v>0</v>
      </c>
      <c r="R14" s="5">
        <f t="shared" si="2"/>
        <v>1</v>
      </c>
      <c r="S14" s="5">
        <f t="shared" si="3"/>
        <v>0</v>
      </c>
      <c r="T14" s="5">
        <f t="shared" si="4"/>
        <v>0</v>
      </c>
      <c r="U14" s="5">
        <f t="shared" si="5"/>
        <v>0</v>
      </c>
      <c r="V14" s="5">
        <f t="shared" si="6"/>
        <v>0</v>
      </c>
      <c r="W14" s="5">
        <f t="shared" si="7"/>
        <v>0</v>
      </c>
      <c r="X14" s="5">
        <f t="shared" si="8"/>
        <v>0</v>
      </c>
      <c r="Y14" s="5">
        <f t="shared" si="9"/>
        <v>2</v>
      </c>
      <c r="Z14" s="5">
        <f t="shared" si="10"/>
        <v>0</v>
      </c>
      <c r="AA14" s="5">
        <f t="shared" si="11"/>
        <v>0</v>
      </c>
      <c r="AB14" s="5">
        <f t="shared" si="12"/>
        <v>0</v>
      </c>
      <c r="AC14" s="5">
        <f t="shared" si="13"/>
        <v>0</v>
      </c>
      <c r="AD14" s="5">
        <f t="shared" si="14"/>
        <v>1</v>
      </c>
      <c r="AE14" s="5">
        <f t="shared" si="15"/>
        <v>1</v>
      </c>
      <c r="AF14" s="5">
        <f t="shared" si="16"/>
        <v>0</v>
      </c>
    </row>
    <row r="15" spans="1:32" ht="108" customHeight="1" x14ac:dyDescent="0.2">
      <c r="A15" s="4" t="s">
        <v>181</v>
      </c>
      <c r="B15" s="5">
        <v>14</v>
      </c>
      <c r="C15" s="4" t="s">
        <v>39</v>
      </c>
      <c r="D15" s="4" t="s">
        <v>182</v>
      </c>
      <c r="E15" s="4" t="s">
        <v>29</v>
      </c>
      <c r="F15" s="4" t="s">
        <v>17</v>
      </c>
      <c r="G15" s="4" t="s">
        <v>18</v>
      </c>
      <c r="H15" s="4" t="s">
        <v>176</v>
      </c>
      <c r="I15" s="4" t="s">
        <v>183</v>
      </c>
      <c r="J15" s="4" t="s">
        <v>184</v>
      </c>
      <c r="K15" s="4" t="s">
        <v>185</v>
      </c>
      <c r="L15" s="4" t="s">
        <v>186</v>
      </c>
      <c r="M15" s="4"/>
      <c r="N15" s="4" t="s">
        <v>87</v>
      </c>
      <c r="O15" s="4" t="s">
        <v>98</v>
      </c>
      <c r="P15" s="5">
        <f t="shared" si="0"/>
        <v>2</v>
      </c>
      <c r="Q15" s="5">
        <f t="shared" si="1"/>
        <v>0</v>
      </c>
      <c r="R15" s="5">
        <f t="shared" si="2"/>
        <v>1</v>
      </c>
      <c r="S15" s="5">
        <f t="shared" si="3"/>
        <v>0</v>
      </c>
      <c r="T15" s="5">
        <f t="shared" si="4"/>
        <v>0</v>
      </c>
      <c r="U15" s="5">
        <f t="shared" si="5"/>
        <v>0</v>
      </c>
      <c r="V15" s="5">
        <f t="shared" si="6"/>
        <v>1</v>
      </c>
      <c r="W15" s="5">
        <f t="shared" si="7"/>
        <v>0</v>
      </c>
      <c r="X15" s="5">
        <f t="shared" si="8"/>
        <v>0</v>
      </c>
      <c r="Y15" s="5">
        <f t="shared" si="9"/>
        <v>2</v>
      </c>
      <c r="Z15" s="5">
        <f t="shared" si="10"/>
        <v>0</v>
      </c>
      <c r="AA15" s="5">
        <f t="shared" si="11"/>
        <v>0</v>
      </c>
      <c r="AB15" s="5">
        <f t="shared" si="12"/>
        <v>0</v>
      </c>
      <c r="AC15" s="5">
        <f t="shared" si="13"/>
        <v>0</v>
      </c>
      <c r="AD15" s="5">
        <f t="shared" si="14"/>
        <v>1</v>
      </c>
      <c r="AE15" s="5">
        <f t="shared" si="15"/>
        <v>1</v>
      </c>
      <c r="AF15" s="5">
        <f t="shared" si="16"/>
        <v>0</v>
      </c>
    </row>
    <row r="16" spans="1:32" ht="122.1" customHeight="1" x14ac:dyDescent="0.2">
      <c r="A16" s="4" t="s">
        <v>187</v>
      </c>
      <c r="B16" s="5">
        <v>15</v>
      </c>
      <c r="C16" s="4" t="s">
        <v>39</v>
      </c>
      <c r="D16" s="4" t="s">
        <v>188</v>
      </c>
      <c r="E16" s="4" t="s">
        <v>34</v>
      </c>
      <c r="F16" s="4" t="s">
        <v>101</v>
      </c>
      <c r="G16" s="4" t="s">
        <v>27</v>
      </c>
      <c r="H16" s="4" t="s">
        <v>102</v>
      </c>
      <c r="I16" s="4" t="s">
        <v>189</v>
      </c>
      <c r="J16" s="4" t="s">
        <v>190</v>
      </c>
      <c r="K16" s="4" t="s">
        <v>191</v>
      </c>
      <c r="L16" s="4" t="s">
        <v>192</v>
      </c>
      <c r="M16" s="4" t="s">
        <v>97</v>
      </c>
      <c r="N16" s="4" t="s">
        <v>87</v>
      </c>
      <c r="O16" s="4" t="s">
        <v>98</v>
      </c>
      <c r="P16" s="5">
        <f t="shared" si="0"/>
        <v>3</v>
      </c>
      <c r="Q16" s="5">
        <f t="shared" si="1"/>
        <v>0</v>
      </c>
      <c r="R16" s="5">
        <f t="shared" si="2"/>
        <v>0</v>
      </c>
      <c r="S16" s="5">
        <f t="shared" si="3"/>
        <v>0</v>
      </c>
      <c r="T16" s="5">
        <f t="shared" si="4"/>
        <v>0</v>
      </c>
      <c r="U16" s="5">
        <f t="shared" si="5"/>
        <v>1</v>
      </c>
      <c r="V16" s="5">
        <f t="shared" si="6"/>
        <v>1</v>
      </c>
      <c r="W16" s="5">
        <f t="shared" si="7"/>
        <v>0</v>
      </c>
      <c r="X16" s="5">
        <f t="shared" si="8"/>
        <v>1</v>
      </c>
      <c r="Y16" s="5">
        <f t="shared" si="9"/>
        <v>2</v>
      </c>
      <c r="Z16" s="5">
        <f t="shared" si="10"/>
        <v>0</v>
      </c>
      <c r="AA16" s="5">
        <f t="shared" si="11"/>
        <v>0</v>
      </c>
      <c r="AB16" s="5">
        <f t="shared" si="12"/>
        <v>0</v>
      </c>
      <c r="AC16" s="5">
        <f t="shared" si="13"/>
        <v>1</v>
      </c>
      <c r="AD16" s="5">
        <f t="shared" si="14"/>
        <v>1</v>
      </c>
      <c r="AE16" s="5">
        <f t="shared" si="15"/>
        <v>0</v>
      </c>
      <c r="AF16" s="5">
        <f t="shared" si="16"/>
        <v>0</v>
      </c>
    </row>
    <row r="17" spans="1:32" ht="75.95" customHeight="1" x14ac:dyDescent="0.2">
      <c r="A17" s="4" t="s">
        <v>193</v>
      </c>
      <c r="B17" s="5">
        <v>16</v>
      </c>
      <c r="C17" s="4" t="s">
        <v>39</v>
      </c>
      <c r="D17" s="4" t="s">
        <v>194</v>
      </c>
      <c r="E17" s="4" t="s">
        <v>31</v>
      </c>
      <c r="F17" s="4" t="s">
        <v>34</v>
      </c>
      <c r="G17" s="4" t="s">
        <v>27</v>
      </c>
      <c r="H17" s="4" t="s">
        <v>30</v>
      </c>
      <c r="I17" s="4" t="s">
        <v>195</v>
      </c>
      <c r="J17" s="4" t="s">
        <v>196</v>
      </c>
      <c r="K17" s="4" t="s">
        <v>197</v>
      </c>
      <c r="L17" s="4" t="s">
        <v>198</v>
      </c>
      <c r="M17" s="4"/>
      <c r="N17" s="4" t="s">
        <v>87</v>
      </c>
      <c r="O17" s="4" t="s">
        <v>98</v>
      </c>
      <c r="P17" s="5">
        <f t="shared" si="0"/>
        <v>2</v>
      </c>
      <c r="Q17" s="5">
        <f t="shared" si="1"/>
        <v>0</v>
      </c>
      <c r="R17" s="5">
        <f t="shared" si="2"/>
        <v>0</v>
      </c>
      <c r="S17" s="5">
        <f t="shared" si="3"/>
        <v>0</v>
      </c>
      <c r="T17" s="5">
        <f t="shared" si="4"/>
        <v>0</v>
      </c>
      <c r="U17" s="5">
        <f t="shared" si="5"/>
        <v>0</v>
      </c>
      <c r="V17" s="5">
        <f t="shared" si="6"/>
        <v>0</v>
      </c>
      <c r="W17" s="5">
        <f t="shared" si="7"/>
        <v>1</v>
      </c>
      <c r="X17" s="5">
        <f t="shared" si="8"/>
        <v>1</v>
      </c>
      <c r="Y17" s="5">
        <f t="shared" si="9"/>
        <v>1</v>
      </c>
      <c r="Z17" s="5">
        <f t="shared" si="10"/>
        <v>0</v>
      </c>
      <c r="AA17" s="5">
        <f t="shared" si="11"/>
        <v>0</v>
      </c>
      <c r="AB17" s="5">
        <f t="shared" si="12"/>
        <v>0</v>
      </c>
      <c r="AC17" s="5">
        <f t="shared" si="13"/>
        <v>0</v>
      </c>
      <c r="AD17" s="5">
        <f t="shared" si="14"/>
        <v>0</v>
      </c>
      <c r="AE17" s="5">
        <f t="shared" si="15"/>
        <v>1</v>
      </c>
      <c r="AF17" s="5">
        <f t="shared" si="16"/>
        <v>0</v>
      </c>
    </row>
    <row r="18" spans="1:32" ht="122.1" customHeight="1" x14ac:dyDescent="0.2">
      <c r="A18" s="4" t="s">
        <v>199</v>
      </c>
      <c r="B18" s="5">
        <v>17</v>
      </c>
      <c r="C18" s="4" t="s">
        <v>39</v>
      </c>
      <c r="D18" s="4" t="s">
        <v>200</v>
      </c>
      <c r="E18" s="4" t="s">
        <v>29</v>
      </c>
      <c r="F18" s="4" t="s">
        <v>34</v>
      </c>
      <c r="G18" s="4" t="s">
        <v>27</v>
      </c>
      <c r="H18" s="4" t="s">
        <v>147</v>
      </c>
      <c r="I18" s="4" t="s">
        <v>201</v>
      </c>
      <c r="J18" s="4" t="s">
        <v>202</v>
      </c>
      <c r="K18" s="4" t="s">
        <v>203</v>
      </c>
      <c r="L18" s="4" t="s">
        <v>204</v>
      </c>
      <c r="M18" s="4"/>
      <c r="N18" s="4" t="s">
        <v>87</v>
      </c>
      <c r="O18" s="4" t="s">
        <v>98</v>
      </c>
      <c r="P18" s="5">
        <f t="shared" si="0"/>
        <v>2</v>
      </c>
      <c r="Q18" s="5">
        <f t="shared" si="1"/>
        <v>0</v>
      </c>
      <c r="R18" s="5">
        <f t="shared" si="2"/>
        <v>0</v>
      </c>
      <c r="S18" s="5">
        <f t="shared" si="3"/>
        <v>0</v>
      </c>
      <c r="T18" s="5">
        <f t="shared" si="4"/>
        <v>0</v>
      </c>
      <c r="U18" s="5">
        <f t="shared" si="5"/>
        <v>0</v>
      </c>
      <c r="V18" s="5">
        <f t="shared" si="6"/>
        <v>1</v>
      </c>
      <c r="W18" s="5">
        <f t="shared" si="7"/>
        <v>0</v>
      </c>
      <c r="X18" s="5">
        <f t="shared" si="8"/>
        <v>1</v>
      </c>
      <c r="Y18" s="5">
        <f t="shared" si="9"/>
        <v>2</v>
      </c>
      <c r="Z18" s="5">
        <f t="shared" si="10"/>
        <v>0</v>
      </c>
      <c r="AA18" s="5">
        <f t="shared" si="11"/>
        <v>1</v>
      </c>
      <c r="AB18" s="5">
        <f t="shared" si="12"/>
        <v>0</v>
      </c>
      <c r="AC18" s="5">
        <f t="shared" si="13"/>
        <v>0</v>
      </c>
      <c r="AD18" s="5">
        <f t="shared" si="14"/>
        <v>1</v>
      </c>
      <c r="AE18" s="5">
        <f t="shared" si="15"/>
        <v>0</v>
      </c>
      <c r="AF18" s="5">
        <f t="shared" si="16"/>
        <v>0</v>
      </c>
    </row>
    <row r="19" spans="1:32" ht="75.95" customHeight="1" x14ac:dyDescent="0.2">
      <c r="A19" s="4" t="s">
        <v>205</v>
      </c>
      <c r="B19" s="5">
        <v>18</v>
      </c>
      <c r="C19" s="4" t="s">
        <v>39</v>
      </c>
      <c r="D19" s="4" t="s">
        <v>206</v>
      </c>
      <c r="E19" s="4" t="s">
        <v>31</v>
      </c>
      <c r="F19" s="4" t="s">
        <v>207</v>
      </c>
      <c r="G19" s="4" t="s">
        <v>18</v>
      </c>
      <c r="H19" s="4" t="s">
        <v>30</v>
      </c>
      <c r="I19" s="4" t="s">
        <v>208</v>
      </c>
      <c r="J19" s="4" t="s">
        <v>209</v>
      </c>
      <c r="K19" s="4" t="s">
        <v>210</v>
      </c>
      <c r="L19" s="4" t="s">
        <v>211</v>
      </c>
      <c r="M19" s="4"/>
      <c r="N19" s="4" t="s">
        <v>87</v>
      </c>
      <c r="O19" s="4" t="s">
        <v>98</v>
      </c>
      <c r="P19" s="5">
        <f t="shared" si="0"/>
        <v>3</v>
      </c>
      <c r="Q19" s="5">
        <f t="shared" si="1"/>
        <v>0</v>
      </c>
      <c r="R19" s="5">
        <f t="shared" si="2"/>
        <v>0</v>
      </c>
      <c r="S19" s="5">
        <f t="shared" si="3"/>
        <v>0</v>
      </c>
      <c r="T19" s="5">
        <f t="shared" si="4"/>
        <v>0</v>
      </c>
      <c r="U19" s="5">
        <f t="shared" si="5"/>
        <v>1</v>
      </c>
      <c r="V19" s="5">
        <f t="shared" si="6"/>
        <v>1</v>
      </c>
      <c r="W19" s="5">
        <f t="shared" si="7"/>
        <v>1</v>
      </c>
      <c r="X19" s="5">
        <f t="shared" si="8"/>
        <v>0</v>
      </c>
      <c r="Y19" s="5">
        <f t="shared" si="9"/>
        <v>1</v>
      </c>
      <c r="Z19" s="5">
        <f t="shared" si="10"/>
        <v>0</v>
      </c>
      <c r="AA19" s="5">
        <f t="shared" si="11"/>
        <v>0</v>
      </c>
      <c r="AB19" s="5">
        <f t="shared" si="12"/>
        <v>0</v>
      </c>
      <c r="AC19" s="5">
        <f t="shared" si="13"/>
        <v>0</v>
      </c>
      <c r="AD19" s="5">
        <f t="shared" si="14"/>
        <v>0</v>
      </c>
      <c r="AE19" s="5">
        <f t="shared" si="15"/>
        <v>1</v>
      </c>
      <c r="AF19" s="5">
        <f t="shared" si="16"/>
        <v>0</v>
      </c>
    </row>
    <row r="20" spans="1:32" ht="75.95" customHeight="1" x14ac:dyDescent="0.2">
      <c r="A20" s="4" t="s">
        <v>212</v>
      </c>
      <c r="B20" s="5">
        <v>19</v>
      </c>
      <c r="C20" s="4" t="s">
        <v>39</v>
      </c>
      <c r="D20" s="4" t="s">
        <v>213</v>
      </c>
      <c r="E20" s="4" t="s">
        <v>29</v>
      </c>
      <c r="F20" s="4" t="s">
        <v>31</v>
      </c>
      <c r="G20" s="4" t="s">
        <v>18</v>
      </c>
      <c r="H20" s="4" t="s">
        <v>30</v>
      </c>
      <c r="I20" s="4" t="s">
        <v>214</v>
      </c>
      <c r="J20" s="4" t="s">
        <v>215</v>
      </c>
      <c r="K20" s="4" t="s">
        <v>216</v>
      </c>
      <c r="L20" s="4" t="s">
        <v>217</v>
      </c>
      <c r="M20" s="4"/>
      <c r="N20" s="4" t="s">
        <v>87</v>
      </c>
      <c r="O20" s="4" t="s">
        <v>98</v>
      </c>
      <c r="P20" s="5">
        <f t="shared" si="0"/>
        <v>2</v>
      </c>
      <c r="Q20" s="5">
        <f t="shared" si="1"/>
        <v>0</v>
      </c>
      <c r="R20" s="5">
        <f t="shared" si="2"/>
        <v>0</v>
      </c>
      <c r="S20" s="5">
        <f t="shared" si="3"/>
        <v>0</v>
      </c>
      <c r="T20" s="5">
        <f t="shared" si="4"/>
        <v>0</v>
      </c>
      <c r="U20" s="5">
        <f t="shared" si="5"/>
        <v>0</v>
      </c>
      <c r="V20" s="5">
        <f t="shared" si="6"/>
        <v>1</v>
      </c>
      <c r="W20" s="5">
        <f t="shared" si="7"/>
        <v>1</v>
      </c>
      <c r="X20" s="5">
        <f t="shared" si="8"/>
        <v>0</v>
      </c>
      <c r="Y20" s="5">
        <f t="shared" si="9"/>
        <v>1</v>
      </c>
      <c r="Z20" s="5">
        <f t="shared" si="10"/>
        <v>0</v>
      </c>
      <c r="AA20" s="5">
        <f t="shared" si="11"/>
        <v>0</v>
      </c>
      <c r="AB20" s="5">
        <f t="shared" si="12"/>
        <v>0</v>
      </c>
      <c r="AC20" s="5">
        <f t="shared" si="13"/>
        <v>0</v>
      </c>
      <c r="AD20" s="5">
        <f t="shared" si="14"/>
        <v>0</v>
      </c>
      <c r="AE20" s="5">
        <f t="shared" si="15"/>
        <v>1</v>
      </c>
      <c r="AF20" s="5">
        <f t="shared" si="16"/>
        <v>0</v>
      </c>
    </row>
    <row r="21" spans="1:32" ht="80.099999999999994" customHeight="1" x14ac:dyDescent="0.2">
      <c r="A21" s="4" t="s">
        <v>218</v>
      </c>
      <c r="B21" s="5">
        <v>20</v>
      </c>
      <c r="C21" s="4" t="s">
        <v>39</v>
      </c>
      <c r="D21" s="4" t="s">
        <v>219</v>
      </c>
      <c r="E21" s="4" t="s">
        <v>17</v>
      </c>
      <c r="F21" s="4" t="s">
        <v>220</v>
      </c>
      <c r="G21" s="4" t="s">
        <v>18</v>
      </c>
      <c r="H21" s="4" t="s">
        <v>92</v>
      </c>
      <c r="I21" s="4" t="s">
        <v>221</v>
      </c>
      <c r="J21" s="4" t="s">
        <v>222</v>
      </c>
      <c r="K21" s="4" t="s">
        <v>223</v>
      </c>
      <c r="L21" s="4" t="s">
        <v>224</v>
      </c>
      <c r="M21" s="4"/>
      <c r="N21" s="4" t="s">
        <v>87</v>
      </c>
      <c r="O21" s="4" t="s">
        <v>98</v>
      </c>
      <c r="P21" s="5">
        <f t="shared" si="0"/>
        <v>3</v>
      </c>
      <c r="Q21" s="5">
        <f t="shared" si="1"/>
        <v>0</v>
      </c>
      <c r="R21" s="5">
        <f t="shared" si="2"/>
        <v>1</v>
      </c>
      <c r="S21" s="5">
        <f t="shared" si="3"/>
        <v>0</v>
      </c>
      <c r="T21" s="5">
        <f t="shared" si="4"/>
        <v>0</v>
      </c>
      <c r="U21" s="5">
        <f t="shared" si="5"/>
        <v>0</v>
      </c>
      <c r="V21" s="5">
        <f t="shared" si="6"/>
        <v>1</v>
      </c>
      <c r="W21" s="5">
        <f t="shared" si="7"/>
        <v>1</v>
      </c>
      <c r="X21" s="5">
        <f t="shared" si="8"/>
        <v>0</v>
      </c>
      <c r="Y21" s="5">
        <f t="shared" si="9"/>
        <v>2</v>
      </c>
      <c r="Z21" s="5">
        <f t="shared" si="10"/>
        <v>0</v>
      </c>
      <c r="AA21" s="5">
        <f t="shared" si="11"/>
        <v>0</v>
      </c>
      <c r="AB21" s="5">
        <f t="shared" si="12"/>
        <v>0</v>
      </c>
      <c r="AC21" s="5">
        <f t="shared" si="13"/>
        <v>1</v>
      </c>
      <c r="AD21" s="5">
        <f t="shared" si="14"/>
        <v>0</v>
      </c>
      <c r="AE21" s="5">
        <f t="shared" si="15"/>
        <v>1</v>
      </c>
      <c r="AF21" s="5">
        <f t="shared" si="16"/>
        <v>0</v>
      </c>
    </row>
    <row r="22" spans="1:32" ht="75.95" customHeight="1" x14ac:dyDescent="0.2">
      <c r="A22" s="4" t="s">
        <v>225</v>
      </c>
      <c r="B22" s="5">
        <v>21</v>
      </c>
      <c r="C22" s="4" t="s">
        <v>40</v>
      </c>
      <c r="D22" s="4" t="s">
        <v>226</v>
      </c>
      <c r="E22" s="4" t="s">
        <v>23</v>
      </c>
      <c r="F22" s="4" t="s">
        <v>17</v>
      </c>
      <c r="G22" s="4" t="s">
        <v>24</v>
      </c>
      <c r="H22" s="4" t="s">
        <v>30</v>
      </c>
      <c r="I22" s="4" t="s">
        <v>227</v>
      </c>
      <c r="J22" s="4" t="s">
        <v>228</v>
      </c>
      <c r="K22" s="4" t="s">
        <v>229</v>
      </c>
      <c r="L22" s="4" t="s">
        <v>230</v>
      </c>
      <c r="M22" s="4"/>
      <c r="N22" s="4" t="s">
        <v>87</v>
      </c>
      <c r="O22" s="4" t="s">
        <v>98</v>
      </c>
      <c r="P22" s="5">
        <f t="shared" si="0"/>
        <v>2</v>
      </c>
      <c r="Q22" s="5">
        <f t="shared" si="1"/>
        <v>0</v>
      </c>
      <c r="R22" s="5">
        <f t="shared" si="2"/>
        <v>1</v>
      </c>
      <c r="S22" s="5">
        <f t="shared" si="3"/>
        <v>0</v>
      </c>
      <c r="T22" s="5">
        <f t="shared" si="4"/>
        <v>1</v>
      </c>
      <c r="U22" s="5">
        <f t="shared" si="5"/>
        <v>0</v>
      </c>
      <c r="V22" s="5">
        <f t="shared" si="6"/>
        <v>0</v>
      </c>
      <c r="W22" s="5">
        <f t="shared" si="7"/>
        <v>0</v>
      </c>
      <c r="X22" s="5">
        <f t="shared" si="8"/>
        <v>0</v>
      </c>
      <c r="Y22" s="5">
        <f t="shared" si="9"/>
        <v>1</v>
      </c>
      <c r="Z22" s="5">
        <f t="shared" si="10"/>
        <v>0</v>
      </c>
      <c r="AA22" s="5">
        <f t="shared" si="11"/>
        <v>0</v>
      </c>
      <c r="AB22" s="5">
        <f t="shared" si="12"/>
        <v>0</v>
      </c>
      <c r="AC22" s="5">
        <f t="shared" si="13"/>
        <v>0</v>
      </c>
      <c r="AD22" s="5">
        <f t="shared" si="14"/>
        <v>0</v>
      </c>
      <c r="AE22" s="5">
        <f t="shared" si="15"/>
        <v>1</v>
      </c>
      <c r="AF22" s="5">
        <f t="shared" si="16"/>
        <v>0</v>
      </c>
    </row>
    <row r="23" spans="1:32" ht="80.099999999999994" customHeight="1" x14ac:dyDescent="0.2">
      <c r="A23" s="4" t="s">
        <v>231</v>
      </c>
      <c r="B23" s="5">
        <v>22</v>
      </c>
      <c r="C23" s="4" t="s">
        <v>40</v>
      </c>
      <c r="D23" s="4" t="s">
        <v>232</v>
      </c>
      <c r="E23" s="4" t="s">
        <v>17</v>
      </c>
      <c r="F23" s="4" t="s">
        <v>29</v>
      </c>
      <c r="G23" s="4" t="s">
        <v>18</v>
      </c>
      <c r="H23" s="4" t="s">
        <v>30</v>
      </c>
      <c r="I23" s="4" t="s">
        <v>233</v>
      </c>
      <c r="J23" s="4" t="s">
        <v>234</v>
      </c>
      <c r="K23" s="4" t="s">
        <v>235</v>
      </c>
      <c r="L23" s="4" t="s">
        <v>236</v>
      </c>
      <c r="M23" s="4"/>
      <c r="N23" s="4" t="s">
        <v>87</v>
      </c>
      <c r="O23" s="4" t="s">
        <v>98</v>
      </c>
      <c r="P23" s="5">
        <f t="shared" si="0"/>
        <v>2</v>
      </c>
      <c r="Q23" s="5">
        <f t="shared" si="1"/>
        <v>0</v>
      </c>
      <c r="R23" s="5">
        <f t="shared" si="2"/>
        <v>1</v>
      </c>
      <c r="S23" s="5">
        <f t="shared" si="3"/>
        <v>0</v>
      </c>
      <c r="T23" s="5">
        <f t="shared" si="4"/>
        <v>0</v>
      </c>
      <c r="U23" s="5">
        <f t="shared" si="5"/>
        <v>0</v>
      </c>
      <c r="V23" s="5">
        <f t="shared" si="6"/>
        <v>1</v>
      </c>
      <c r="W23" s="5">
        <f t="shared" si="7"/>
        <v>0</v>
      </c>
      <c r="X23" s="5">
        <f t="shared" si="8"/>
        <v>0</v>
      </c>
      <c r="Y23" s="5">
        <f t="shared" si="9"/>
        <v>1</v>
      </c>
      <c r="Z23" s="5">
        <f t="shared" si="10"/>
        <v>0</v>
      </c>
      <c r="AA23" s="5">
        <f t="shared" si="11"/>
        <v>0</v>
      </c>
      <c r="AB23" s="5">
        <f t="shared" si="12"/>
        <v>0</v>
      </c>
      <c r="AC23" s="5">
        <f t="shared" si="13"/>
        <v>0</v>
      </c>
      <c r="AD23" s="5">
        <f t="shared" si="14"/>
        <v>0</v>
      </c>
      <c r="AE23" s="5">
        <f t="shared" si="15"/>
        <v>1</v>
      </c>
      <c r="AF23" s="5">
        <f t="shared" si="16"/>
        <v>0</v>
      </c>
    </row>
    <row r="24" spans="1:32" ht="93.95" customHeight="1" x14ac:dyDescent="0.2">
      <c r="A24" s="4" t="s">
        <v>237</v>
      </c>
      <c r="B24" s="5">
        <v>23</v>
      </c>
      <c r="C24" s="4" t="s">
        <v>40</v>
      </c>
      <c r="D24" s="4" t="s">
        <v>238</v>
      </c>
      <c r="E24" s="4" t="s">
        <v>17</v>
      </c>
      <c r="F24" s="4" t="s">
        <v>20</v>
      </c>
      <c r="G24" s="4" t="s">
        <v>18</v>
      </c>
      <c r="H24" s="4" t="s">
        <v>239</v>
      </c>
      <c r="I24" s="4" t="s">
        <v>240</v>
      </c>
      <c r="J24" s="4" t="s">
        <v>241</v>
      </c>
      <c r="K24" s="4" t="s">
        <v>242</v>
      </c>
      <c r="L24" s="4" t="s">
        <v>243</v>
      </c>
      <c r="M24" s="4"/>
      <c r="N24" s="4" t="s">
        <v>87</v>
      </c>
      <c r="O24" s="4" t="s">
        <v>98</v>
      </c>
      <c r="P24" s="5">
        <f t="shared" si="0"/>
        <v>2</v>
      </c>
      <c r="Q24" s="5">
        <f t="shared" si="1"/>
        <v>0</v>
      </c>
      <c r="R24" s="5">
        <f t="shared" si="2"/>
        <v>1</v>
      </c>
      <c r="S24" s="5">
        <f t="shared" si="3"/>
        <v>1</v>
      </c>
      <c r="T24" s="5">
        <f t="shared" si="4"/>
        <v>0</v>
      </c>
      <c r="U24" s="5">
        <f t="shared" si="5"/>
        <v>0</v>
      </c>
      <c r="V24" s="5">
        <f t="shared" si="6"/>
        <v>0</v>
      </c>
      <c r="W24" s="5">
        <f t="shared" si="7"/>
        <v>0</v>
      </c>
      <c r="X24" s="5">
        <f t="shared" si="8"/>
        <v>0</v>
      </c>
      <c r="Y24" s="5">
        <f t="shared" si="9"/>
        <v>2</v>
      </c>
      <c r="Z24" s="5">
        <f t="shared" si="10"/>
        <v>0</v>
      </c>
      <c r="AA24" s="5">
        <f t="shared" si="11"/>
        <v>0</v>
      </c>
      <c r="AB24" s="5">
        <f t="shared" si="12"/>
        <v>1</v>
      </c>
      <c r="AC24" s="5">
        <f t="shared" si="13"/>
        <v>0</v>
      </c>
      <c r="AD24" s="5">
        <f t="shared" si="14"/>
        <v>0</v>
      </c>
      <c r="AE24" s="5">
        <f t="shared" si="15"/>
        <v>1</v>
      </c>
      <c r="AF24" s="5">
        <f t="shared" si="16"/>
        <v>0</v>
      </c>
    </row>
    <row r="25" spans="1:32" ht="75.95" customHeight="1" x14ac:dyDescent="0.2">
      <c r="A25" s="4" t="s">
        <v>244</v>
      </c>
      <c r="B25" s="5">
        <v>24</v>
      </c>
      <c r="C25" s="4" t="s">
        <v>40</v>
      </c>
      <c r="D25" s="4" t="s">
        <v>245</v>
      </c>
      <c r="E25" s="4" t="s">
        <v>20</v>
      </c>
      <c r="F25" s="4" t="s">
        <v>246</v>
      </c>
      <c r="G25" s="4" t="s">
        <v>21</v>
      </c>
      <c r="H25" s="4" t="s">
        <v>25</v>
      </c>
      <c r="I25" s="4" t="s">
        <v>247</v>
      </c>
      <c r="J25" s="4" t="s">
        <v>248</v>
      </c>
      <c r="K25" s="4" t="s">
        <v>249</v>
      </c>
      <c r="L25" s="4" t="s">
        <v>250</v>
      </c>
      <c r="M25" s="4"/>
      <c r="N25" s="4" t="s">
        <v>87</v>
      </c>
      <c r="O25" s="4" t="s">
        <v>98</v>
      </c>
      <c r="P25" s="5">
        <f t="shared" si="0"/>
        <v>3</v>
      </c>
      <c r="Q25" s="5">
        <f t="shared" si="1"/>
        <v>0</v>
      </c>
      <c r="R25" s="5">
        <f t="shared" si="2"/>
        <v>0</v>
      </c>
      <c r="S25" s="5">
        <f t="shared" si="3"/>
        <v>1</v>
      </c>
      <c r="T25" s="5">
        <f t="shared" si="4"/>
        <v>0</v>
      </c>
      <c r="U25" s="5">
        <f t="shared" si="5"/>
        <v>0</v>
      </c>
      <c r="V25" s="5">
        <f t="shared" si="6"/>
        <v>1</v>
      </c>
      <c r="W25" s="5">
        <f t="shared" si="7"/>
        <v>0</v>
      </c>
      <c r="X25" s="5">
        <f t="shared" si="8"/>
        <v>1</v>
      </c>
      <c r="Y25" s="5">
        <f t="shared" si="9"/>
        <v>1</v>
      </c>
      <c r="Z25" s="5">
        <f t="shared" si="10"/>
        <v>0</v>
      </c>
      <c r="AA25" s="5">
        <f t="shared" si="11"/>
        <v>0</v>
      </c>
      <c r="AB25" s="5">
        <f t="shared" si="12"/>
        <v>0</v>
      </c>
      <c r="AC25" s="5">
        <f t="shared" si="13"/>
        <v>1</v>
      </c>
      <c r="AD25" s="5">
        <f t="shared" si="14"/>
        <v>0</v>
      </c>
      <c r="AE25" s="5">
        <f t="shared" si="15"/>
        <v>0</v>
      </c>
      <c r="AF25" s="5">
        <f t="shared" si="16"/>
        <v>0</v>
      </c>
    </row>
    <row r="26" spans="1:32" ht="93.95" customHeight="1" x14ac:dyDescent="0.2">
      <c r="A26" s="4" t="s">
        <v>251</v>
      </c>
      <c r="B26" s="5">
        <v>25</v>
      </c>
      <c r="C26" s="4" t="s">
        <v>40</v>
      </c>
      <c r="D26" s="4" t="s">
        <v>252</v>
      </c>
      <c r="E26" s="4" t="s">
        <v>34</v>
      </c>
      <c r="F26" s="4" t="s">
        <v>253</v>
      </c>
      <c r="G26" s="4" t="s">
        <v>27</v>
      </c>
      <c r="H26" s="4" t="s">
        <v>25</v>
      </c>
      <c r="I26" s="4" t="s">
        <v>254</v>
      </c>
      <c r="J26" s="4" t="s">
        <v>255</v>
      </c>
      <c r="K26" s="4" t="s">
        <v>256</v>
      </c>
      <c r="L26" s="4" t="s">
        <v>257</v>
      </c>
      <c r="M26" s="4"/>
      <c r="N26" s="4" t="s">
        <v>87</v>
      </c>
      <c r="O26" s="4" t="s">
        <v>98</v>
      </c>
      <c r="P26" s="5">
        <f t="shared" si="0"/>
        <v>3</v>
      </c>
      <c r="Q26" s="5">
        <f t="shared" si="1"/>
        <v>0</v>
      </c>
      <c r="R26" s="5">
        <f t="shared" si="2"/>
        <v>1</v>
      </c>
      <c r="S26" s="5">
        <f t="shared" si="3"/>
        <v>0</v>
      </c>
      <c r="T26" s="5">
        <f t="shared" si="4"/>
        <v>0</v>
      </c>
      <c r="U26" s="5">
        <f t="shared" si="5"/>
        <v>1</v>
      </c>
      <c r="V26" s="5">
        <f t="shared" si="6"/>
        <v>0</v>
      </c>
      <c r="W26" s="5">
        <f t="shared" si="7"/>
        <v>0</v>
      </c>
      <c r="X26" s="5">
        <f t="shared" si="8"/>
        <v>1</v>
      </c>
      <c r="Y26" s="5">
        <f t="shared" si="9"/>
        <v>1</v>
      </c>
      <c r="Z26" s="5">
        <f t="shared" si="10"/>
        <v>0</v>
      </c>
      <c r="AA26" s="5">
        <f t="shared" si="11"/>
        <v>0</v>
      </c>
      <c r="AB26" s="5">
        <f t="shared" si="12"/>
        <v>0</v>
      </c>
      <c r="AC26" s="5">
        <f t="shared" si="13"/>
        <v>1</v>
      </c>
      <c r="AD26" s="5">
        <f t="shared" si="14"/>
        <v>0</v>
      </c>
      <c r="AE26" s="5">
        <f t="shared" si="15"/>
        <v>0</v>
      </c>
      <c r="AF26" s="5">
        <f t="shared" si="16"/>
        <v>0</v>
      </c>
    </row>
    <row r="27" spans="1:32" ht="93.95" customHeight="1" x14ac:dyDescent="0.2">
      <c r="A27" s="4" t="s">
        <v>258</v>
      </c>
      <c r="B27" s="5">
        <v>26</v>
      </c>
      <c r="C27" s="4" t="s">
        <v>40</v>
      </c>
      <c r="D27" s="4" t="s">
        <v>259</v>
      </c>
      <c r="E27" s="4" t="s">
        <v>31</v>
      </c>
      <c r="F27" s="4" t="s">
        <v>260</v>
      </c>
      <c r="G27" s="4" t="s">
        <v>18</v>
      </c>
      <c r="H27" s="4" t="s">
        <v>25</v>
      </c>
      <c r="I27" s="4" t="s">
        <v>261</v>
      </c>
      <c r="J27" s="4" t="s">
        <v>262</v>
      </c>
      <c r="K27" s="4" t="s">
        <v>263</v>
      </c>
      <c r="L27" s="4" t="s">
        <v>264</v>
      </c>
      <c r="M27" s="4"/>
      <c r="N27" s="4" t="s">
        <v>87</v>
      </c>
      <c r="O27" s="4" t="s">
        <v>98</v>
      </c>
      <c r="P27" s="5">
        <f t="shared" si="0"/>
        <v>4</v>
      </c>
      <c r="Q27" s="5">
        <f t="shared" si="1"/>
        <v>0</v>
      </c>
      <c r="R27" s="5">
        <f t="shared" si="2"/>
        <v>1</v>
      </c>
      <c r="S27" s="5">
        <f t="shared" si="3"/>
        <v>0</v>
      </c>
      <c r="T27" s="5">
        <f t="shared" si="4"/>
        <v>0</v>
      </c>
      <c r="U27" s="5">
        <f t="shared" si="5"/>
        <v>1</v>
      </c>
      <c r="V27" s="5">
        <f t="shared" si="6"/>
        <v>1</v>
      </c>
      <c r="W27" s="5">
        <f t="shared" si="7"/>
        <v>1</v>
      </c>
      <c r="X27" s="5">
        <f t="shared" si="8"/>
        <v>0</v>
      </c>
      <c r="Y27" s="5">
        <f t="shared" si="9"/>
        <v>1</v>
      </c>
      <c r="Z27" s="5">
        <f t="shared" si="10"/>
        <v>0</v>
      </c>
      <c r="AA27" s="5">
        <f t="shared" si="11"/>
        <v>0</v>
      </c>
      <c r="AB27" s="5">
        <f t="shared" si="12"/>
        <v>0</v>
      </c>
      <c r="AC27" s="5">
        <f t="shared" si="13"/>
        <v>1</v>
      </c>
      <c r="AD27" s="5">
        <f t="shared" si="14"/>
        <v>0</v>
      </c>
      <c r="AE27" s="5">
        <f t="shared" si="15"/>
        <v>0</v>
      </c>
      <c r="AF27" s="5">
        <f t="shared" si="16"/>
        <v>0</v>
      </c>
    </row>
    <row r="28" spans="1:32" ht="75.95" customHeight="1" x14ac:dyDescent="0.2">
      <c r="A28" s="4" t="s">
        <v>265</v>
      </c>
      <c r="B28" s="5">
        <v>27</v>
      </c>
      <c r="C28" s="4" t="s">
        <v>40</v>
      </c>
      <c r="D28" s="4" t="s">
        <v>266</v>
      </c>
      <c r="E28" s="4" t="s">
        <v>17</v>
      </c>
      <c r="F28" s="4"/>
      <c r="G28" s="4" t="s">
        <v>18</v>
      </c>
      <c r="H28" s="4" t="s">
        <v>92</v>
      </c>
      <c r="I28" s="4" t="s">
        <v>267</v>
      </c>
      <c r="J28" s="4" t="s">
        <v>268</v>
      </c>
      <c r="K28" s="4" t="s">
        <v>269</v>
      </c>
      <c r="L28" s="4" t="s">
        <v>270</v>
      </c>
      <c r="M28" s="4"/>
      <c r="N28" s="4" t="s">
        <v>87</v>
      </c>
      <c r="O28" s="4" t="s">
        <v>98</v>
      </c>
      <c r="P28" s="5">
        <f t="shared" si="0"/>
        <v>1</v>
      </c>
      <c r="Q28" s="5">
        <f t="shared" si="1"/>
        <v>0</v>
      </c>
      <c r="R28" s="5">
        <f t="shared" si="2"/>
        <v>1</v>
      </c>
      <c r="S28" s="5">
        <f t="shared" si="3"/>
        <v>0</v>
      </c>
      <c r="T28" s="5">
        <f t="shared" si="4"/>
        <v>0</v>
      </c>
      <c r="U28" s="5">
        <f t="shared" si="5"/>
        <v>0</v>
      </c>
      <c r="V28" s="5">
        <f t="shared" si="6"/>
        <v>0</v>
      </c>
      <c r="W28" s="5">
        <f t="shared" si="7"/>
        <v>0</v>
      </c>
      <c r="X28" s="5">
        <f t="shared" si="8"/>
        <v>0</v>
      </c>
      <c r="Y28" s="5">
        <f t="shared" si="9"/>
        <v>2</v>
      </c>
      <c r="Z28" s="5">
        <f t="shared" si="10"/>
        <v>0</v>
      </c>
      <c r="AA28" s="5">
        <f t="shared" si="11"/>
        <v>0</v>
      </c>
      <c r="AB28" s="5">
        <f t="shared" si="12"/>
        <v>0</v>
      </c>
      <c r="AC28" s="5">
        <f t="shared" si="13"/>
        <v>1</v>
      </c>
      <c r="AD28" s="5">
        <f t="shared" si="14"/>
        <v>0</v>
      </c>
      <c r="AE28" s="5">
        <f t="shared" si="15"/>
        <v>1</v>
      </c>
      <c r="AF28" s="5">
        <f t="shared" si="16"/>
        <v>0</v>
      </c>
    </row>
    <row r="29" spans="1:32" ht="122.1" customHeight="1" x14ac:dyDescent="0.2">
      <c r="A29" s="4" t="s">
        <v>271</v>
      </c>
      <c r="B29" s="5">
        <v>28</v>
      </c>
      <c r="C29" s="4" t="s">
        <v>40</v>
      </c>
      <c r="D29" s="4" t="s">
        <v>272</v>
      </c>
      <c r="E29" s="4" t="s">
        <v>17</v>
      </c>
      <c r="F29" s="4" t="s">
        <v>29</v>
      </c>
      <c r="G29" s="4" t="s">
        <v>18</v>
      </c>
      <c r="H29" s="4" t="s">
        <v>28</v>
      </c>
      <c r="I29" s="4" t="s">
        <v>273</v>
      </c>
      <c r="J29" s="4" t="s">
        <v>274</v>
      </c>
      <c r="K29" s="4" t="s">
        <v>275</v>
      </c>
      <c r="L29" s="4" t="s">
        <v>276</v>
      </c>
      <c r="M29" s="4"/>
      <c r="N29" s="4" t="s">
        <v>87</v>
      </c>
      <c r="O29" s="4" t="s">
        <v>98</v>
      </c>
      <c r="P29" s="5">
        <f t="shared" si="0"/>
        <v>2</v>
      </c>
      <c r="Q29" s="5">
        <f t="shared" si="1"/>
        <v>0</v>
      </c>
      <c r="R29" s="5">
        <f t="shared" si="2"/>
        <v>1</v>
      </c>
      <c r="S29" s="5">
        <f t="shared" si="3"/>
        <v>0</v>
      </c>
      <c r="T29" s="5">
        <f t="shared" si="4"/>
        <v>0</v>
      </c>
      <c r="U29" s="5">
        <f t="shared" si="5"/>
        <v>0</v>
      </c>
      <c r="V29" s="5">
        <f t="shared" si="6"/>
        <v>1</v>
      </c>
      <c r="W29" s="5">
        <f t="shared" si="7"/>
        <v>0</v>
      </c>
      <c r="X29" s="5">
        <f t="shared" si="8"/>
        <v>0</v>
      </c>
      <c r="Y29" s="5">
        <f t="shared" si="9"/>
        <v>1</v>
      </c>
      <c r="Z29" s="5">
        <f t="shared" si="10"/>
        <v>0</v>
      </c>
      <c r="AA29" s="5">
        <f t="shared" si="11"/>
        <v>0</v>
      </c>
      <c r="AB29" s="5">
        <f t="shared" si="12"/>
        <v>0</v>
      </c>
      <c r="AC29" s="5">
        <f t="shared" si="13"/>
        <v>0</v>
      </c>
      <c r="AD29" s="5">
        <f t="shared" si="14"/>
        <v>1</v>
      </c>
      <c r="AE29" s="5">
        <f t="shared" si="15"/>
        <v>0</v>
      </c>
      <c r="AF29" s="5">
        <f t="shared" si="16"/>
        <v>0</v>
      </c>
    </row>
    <row r="30" spans="1:32" ht="75.95" customHeight="1" x14ac:dyDescent="0.2">
      <c r="A30" s="4" t="s">
        <v>277</v>
      </c>
      <c r="B30" s="5">
        <v>29</v>
      </c>
      <c r="C30" s="4" t="s">
        <v>40</v>
      </c>
      <c r="D30" s="4" t="s">
        <v>278</v>
      </c>
      <c r="E30" s="4" t="s">
        <v>17</v>
      </c>
      <c r="F30" s="4" t="s">
        <v>279</v>
      </c>
      <c r="G30" s="4" t="s">
        <v>18</v>
      </c>
      <c r="H30" s="4" t="s">
        <v>280</v>
      </c>
      <c r="I30" s="4" t="s">
        <v>281</v>
      </c>
      <c r="J30" s="4" t="s">
        <v>282</v>
      </c>
      <c r="K30" s="4" t="s">
        <v>283</v>
      </c>
      <c r="L30" s="4" t="s">
        <v>284</v>
      </c>
      <c r="M30" s="4"/>
      <c r="N30" s="4" t="s">
        <v>87</v>
      </c>
      <c r="O30" s="4" t="s">
        <v>88</v>
      </c>
      <c r="P30" s="5">
        <f t="shared" si="0"/>
        <v>3</v>
      </c>
      <c r="Q30" s="5">
        <f t="shared" si="1"/>
        <v>0</v>
      </c>
      <c r="R30" s="5">
        <f t="shared" si="2"/>
        <v>1</v>
      </c>
      <c r="S30" s="5">
        <f t="shared" si="3"/>
        <v>1</v>
      </c>
      <c r="T30" s="5">
        <f t="shared" si="4"/>
        <v>0</v>
      </c>
      <c r="U30" s="5">
        <f t="shared" si="5"/>
        <v>0</v>
      </c>
      <c r="V30" s="5">
        <f t="shared" si="6"/>
        <v>1</v>
      </c>
      <c r="W30" s="5">
        <f t="shared" si="7"/>
        <v>0</v>
      </c>
      <c r="X30" s="5">
        <f t="shared" si="8"/>
        <v>0</v>
      </c>
      <c r="Y30" s="5">
        <f t="shared" si="9"/>
        <v>2</v>
      </c>
      <c r="Z30" s="5">
        <f t="shared" si="10"/>
        <v>0</v>
      </c>
      <c r="AA30" s="5">
        <f t="shared" si="11"/>
        <v>0</v>
      </c>
      <c r="AB30" s="5">
        <f t="shared" si="12"/>
        <v>1</v>
      </c>
      <c r="AC30" s="5">
        <f t="shared" si="13"/>
        <v>1</v>
      </c>
      <c r="AD30" s="5">
        <f t="shared" si="14"/>
        <v>0</v>
      </c>
      <c r="AE30" s="5">
        <f t="shared" si="15"/>
        <v>0</v>
      </c>
      <c r="AF30" s="5">
        <f t="shared" si="16"/>
        <v>0</v>
      </c>
    </row>
    <row r="31" spans="1:32" ht="122.1" customHeight="1" x14ac:dyDescent="0.2">
      <c r="A31" s="4" t="s">
        <v>285</v>
      </c>
      <c r="B31" s="5">
        <v>30</v>
      </c>
      <c r="C31" s="4" t="s">
        <v>40</v>
      </c>
      <c r="D31" s="4" t="s">
        <v>286</v>
      </c>
      <c r="E31" s="4" t="s">
        <v>23</v>
      </c>
      <c r="F31" s="4" t="s">
        <v>287</v>
      </c>
      <c r="G31" s="4" t="s">
        <v>24</v>
      </c>
      <c r="H31" s="4" t="s">
        <v>288</v>
      </c>
      <c r="I31" s="4" t="s">
        <v>289</v>
      </c>
      <c r="J31" s="4" t="s">
        <v>290</v>
      </c>
      <c r="K31" s="4" t="s">
        <v>291</v>
      </c>
      <c r="L31" s="4" t="s">
        <v>292</v>
      </c>
      <c r="M31" s="4"/>
      <c r="N31" s="4" t="s">
        <v>87</v>
      </c>
      <c r="O31" s="4" t="s">
        <v>98</v>
      </c>
      <c r="P31" s="5">
        <f t="shared" si="0"/>
        <v>3</v>
      </c>
      <c r="Q31" s="5">
        <f t="shared" si="1"/>
        <v>0</v>
      </c>
      <c r="R31" s="5">
        <f t="shared" si="2"/>
        <v>1</v>
      </c>
      <c r="S31" s="5">
        <f t="shared" si="3"/>
        <v>0</v>
      </c>
      <c r="T31" s="5">
        <f t="shared" si="4"/>
        <v>1</v>
      </c>
      <c r="U31" s="5">
        <f t="shared" si="5"/>
        <v>1</v>
      </c>
      <c r="V31" s="5">
        <f t="shared" si="6"/>
        <v>0</v>
      </c>
      <c r="W31" s="5">
        <f t="shared" si="7"/>
        <v>0</v>
      </c>
      <c r="X31" s="5">
        <f t="shared" si="8"/>
        <v>0</v>
      </c>
      <c r="Y31" s="5">
        <f t="shared" si="9"/>
        <v>3</v>
      </c>
      <c r="Z31" s="5">
        <f t="shared" si="10"/>
        <v>0</v>
      </c>
      <c r="AA31" s="5">
        <f t="shared" si="11"/>
        <v>0</v>
      </c>
      <c r="AB31" s="5">
        <f t="shared" si="12"/>
        <v>1</v>
      </c>
      <c r="AC31" s="5">
        <f t="shared" si="13"/>
        <v>0</v>
      </c>
      <c r="AD31" s="5">
        <f t="shared" si="14"/>
        <v>1</v>
      </c>
      <c r="AE31" s="5">
        <f t="shared" si="15"/>
        <v>1</v>
      </c>
      <c r="AF31" s="5">
        <f t="shared" si="16"/>
        <v>0</v>
      </c>
    </row>
    <row r="32" spans="1:32" ht="75.95" customHeight="1" x14ac:dyDescent="0.2">
      <c r="A32" s="4" t="s">
        <v>293</v>
      </c>
      <c r="B32" s="5">
        <v>31</v>
      </c>
      <c r="C32" s="4" t="s">
        <v>40</v>
      </c>
      <c r="D32" s="4" t="s">
        <v>294</v>
      </c>
      <c r="E32" s="4" t="s">
        <v>17</v>
      </c>
      <c r="F32" s="4"/>
      <c r="G32" s="4" t="s">
        <v>18</v>
      </c>
      <c r="H32" s="4" t="s">
        <v>33</v>
      </c>
      <c r="I32" s="4" t="s">
        <v>295</v>
      </c>
      <c r="J32" s="4" t="s">
        <v>296</v>
      </c>
      <c r="K32" s="4" t="s">
        <v>297</v>
      </c>
      <c r="L32" s="4" t="s">
        <v>298</v>
      </c>
      <c r="M32" s="4"/>
      <c r="N32" s="4" t="s">
        <v>87</v>
      </c>
      <c r="O32" s="4" t="s">
        <v>98</v>
      </c>
      <c r="P32" s="5">
        <f t="shared" si="0"/>
        <v>1</v>
      </c>
      <c r="Q32" s="5">
        <f t="shared" si="1"/>
        <v>0</v>
      </c>
      <c r="R32" s="5">
        <f t="shared" si="2"/>
        <v>1</v>
      </c>
      <c r="S32" s="5">
        <f t="shared" si="3"/>
        <v>0</v>
      </c>
      <c r="T32" s="5">
        <f t="shared" si="4"/>
        <v>0</v>
      </c>
      <c r="U32" s="5">
        <f t="shared" si="5"/>
        <v>0</v>
      </c>
      <c r="V32" s="5">
        <f t="shared" si="6"/>
        <v>0</v>
      </c>
      <c r="W32" s="5">
        <f t="shared" si="7"/>
        <v>0</v>
      </c>
      <c r="X32" s="5">
        <f t="shared" si="8"/>
        <v>0</v>
      </c>
      <c r="Y32" s="5">
        <f t="shared" si="9"/>
        <v>0</v>
      </c>
      <c r="Z32" s="5">
        <f t="shared" si="10"/>
        <v>0</v>
      </c>
      <c r="AA32" s="5">
        <f t="shared" si="11"/>
        <v>0</v>
      </c>
      <c r="AB32" s="5">
        <f t="shared" si="12"/>
        <v>0</v>
      </c>
      <c r="AC32" s="5">
        <f t="shared" si="13"/>
        <v>0</v>
      </c>
      <c r="AD32" s="5">
        <f t="shared" si="14"/>
        <v>0</v>
      </c>
      <c r="AE32" s="5">
        <f t="shared" si="15"/>
        <v>0</v>
      </c>
      <c r="AF32" s="5">
        <f t="shared" si="16"/>
        <v>1</v>
      </c>
    </row>
    <row r="33" spans="1:32" ht="75.95" customHeight="1" x14ac:dyDescent="0.2">
      <c r="A33" s="4" t="s">
        <v>299</v>
      </c>
      <c r="B33" s="5">
        <v>32</v>
      </c>
      <c r="C33" s="4" t="s">
        <v>40</v>
      </c>
      <c r="D33" s="4" t="s">
        <v>300</v>
      </c>
      <c r="E33" s="4" t="s">
        <v>20</v>
      </c>
      <c r="F33" s="4"/>
      <c r="G33" s="4" t="s">
        <v>21</v>
      </c>
      <c r="H33" s="4" t="s">
        <v>33</v>
      </c>
      <c r="I33" s="4" t="s">
        <v>301</v>
      </c>
      <c r="J33" s="4" t="s">
        <v>302</v>
      </c>
      <c r="K33" s="4" t="s">
        <v>303</v>
      </c>
      <c r="L33" s="4" t="s">
        <v>304</v>
      </c>
      <c r="M33" s="4"/>
      <c r="N33" s="4" t="s">
        <v>87</v>
      </c>
      <c r="O33" s="4" t="s">
        <v>98</v>
      </c>
      <c r="P33" s="5">
        <f t="shared" si="0"/>
        <v>1</v>
      </c>
      <c r="Q33" s="5">
        <f t="shared" si="1"/>
        <v>0</v>
      </c>
      <c r="R33" s="5">
        <f t="shared" si="2"/>
        <v>0</v>
      </c>
      <c r="S33" s="5">
        <f t="shared" si="3"/>
        <v>1</v>
      </c>
      <c r="T33" s="5">
        <f t="shared" si="4"/>
        <v>0</v>
      </c>
      <c r="U33" s="5">
        <f t="shared" si="5"/>
        <v>0</v>
      </c>
      <c r="V33" s="5">
        <f t="shared" si="6"/>
        <v>0</v>
      </c>
      <c r="W33" s="5">
        <f t="shared" si="7"/>
        <v>0</v>
      </c>
      <c r="X33" s="5">
        <f t="shared" si="8"/>
        <v>0</v>
      </c>
      <c r="Y33" s="5">
        <f t="shared" si="9"/>
        <v>0</v>
      </c>
      <c r="Z33" s="5">
        <f t="shared" si="10"/>
        <v>0</v>
      </c>
      <c r="AA33" s="5">
        <f t="shared" si="11"/>
        <v>0</v>
      </c>
      <c r="AB33" s="5">
        <f t="shared" si="12"/>
        <v>0</v>
      </c>
      <c r="AC33" s="5">
        <f t="shared" si="13"/>
        <v>0</v>
      </c>
      <c r="AD33" s="5">
        <f t="shared" si="14"/>
        <v>0</v>
      </c>
      <c r="AE33" s="5">
        <f t="shared" si="15"/>
        <v>0</v>
      </c>
      <c r="AF33" s="5">
        <f t="shared" si="16"/>
        <v>1</v>
      </c>
    </row>
    <row r="34" spans="1:32" ht="75.95" customHeight="1" x14ac:dyDescent="0.2">
      <c r="A34" s="4" t="s">
        <v>305</v>
      </c>
      <c r="B34" s="5">
        <v>33</v>
      </c>
      <c r="C34" s="4" t="s">
        <v>40</v>
      </c>
      <c r="D34" s="4" t="s">
        <v>306</v>
      </c>
      <c r="E34" s="4" t="s">
        <v>23</v>
      </c>
      <c r="F34" s="4" t="s">
        <v>307</v>
      </c>
      <c r="G34" s="4" t="s">
        <v>24</v>
      </c>
      <c r="H34" s="4" t="s">
        <v>308</v>
      </c>
      <c r="I34" s="4" t="s">
        <v>309</v>
      </c>
      <c r="J34" s="4" t="s">
        <v>310</v>
      </c>
      <c r="K34" s="4" t="s">
        <v>311</v>
      </c>
      <c r="L34" s="4" t="s">
        <v>312</v>
      </c>
      <c r="M34" s="4"/>
      <c r="N34" s="4" t="s">
        <v>87</v>
      </c>
      <c r="O34" s="4" t="s">
        <v>98</v>
      </c>
      <c r="P34" s="5">
        <f t="shared" ref="P34:P65" si="17">SUM(Q34:X34)</f>
        <v>3</v>
      </c>
      <c r="Q34" s="5">
        <f t="shared" ref="Q34:Q65" si="18">IF(OR(E34="Delegation",ISNUMBER(SEARCH("; Delegation; ","; "&amp;F34&amp;"; "))),1,0)</f>
        <v>0</v>
      </c>
      <c r="R34" s="5">
        <f t="shared" ref="R34:R65" si="19">IF(OR(E34="Directed delegation",ISNUMBER(SEARCH("; Directed delegation; ","; "&amp;F34&amp;"; "))),1,0)</f>
        <v>0</v>
      </c>
      <c r="S34" s="5">
        <f t="shared" ref="S34:S65" si="20">IF(OR(E34="Evaluation",ISNUMBER(SEARCH("; Evaluation; ","; "&amp;F34&amp;"; "))),1,0)</f>
        <v>0</v>
      </c>
      <c r="T34" s="5">
        <f t="shared" ref="T34:T65" si="21">IF(OR(E34="Correction/Challenge",ISNUMBER(SEARCH("; Correction/Challenge; ","; "&amp;F34&amp;"; "))),1,0)</f>
        <v>1</v>
      </c>
      <c r="U34" s="5">
        <f t="shared" ref="U34:U65" si="22">IF(OR(E34="Redirection",ISNUMBER(SEARCH("; Redirection; ","; "&amp;F34&amp;"; "))),1,0)</f>
        <v>1</v>
      </c>
      <c r="V34" s="5">
        <f t="shared" ref="V34:V65" si="23">IF(OR(E34="Knowledge injection",ISNUMBER(SEARCH("; Knowledge injection; ","; "&amp;F34&amp;"; "))),1,0)</f>
        <v>0</v>
      </c>
      <c r="W34" s="5">
        <f t="shared" ref="W34:W65" si="24">IF(OR(E34="Selection/Rejection",ISNUMBER(SEARCH("; Selection/Rejection; ","; "&amp;F34&amp;"; "))),1,0)</f>
        <v>0</v>
      </c>
      <c r="X34" s="5">
        <f t="shared" ref="X34:X65" si="25">IF(OR(E34="Deliberation",ISNUMBER(SEARCH("; Deliberation; ","; "&amp;F34&amp;"; "))),1,0)</f>
        <v>1</v>
      </c>
      <c r="Y34" s="5">
        <f t="shared" ref="Y34:Y65" si="26">SUM(Z34:AE34)</f>
        <v>2</v>
      </c>
      <c r="Z34" s="5">
        <f t="shared" ref="Z34:Z65" si="27">IF(ISNUMBER(SEARCH("; domain correction; ","; "&amp;H34&amp;"; ")),1,0)</f>
        <v>0</v>
      </c>
      <c r="AA34" s="5">
        <f t="shared" ref="AA34:AA65" si="28">IF(ISNUMBER(SEARCH("; conceptual discrimination; ","; "&amp;H34&amp;"; ")),1,0)</f>
        <v>1</v>
      </c>
      <c r="AB34" s="5">
        <f t="shared" ref="AB34:AB65" si="29">IF(ISNUMBER(SEARCH("; evidence judgment; ","; "&amp;H34&amp;"; ")),1,0)</f>
        <v>0</v>
      </c>
      <c r="AC34" s="5">
        <f t="shared" ref="AC34:AC65" si="30">IF(ISNUMBER(SEARCH("; methodological judgment; ","; "&amp;H34&amp;"; ")),1,0)</f>
        <v>0</v>
      </c>
      <c r="AD34" s="5">
        <f t="shared" ref="AD34:AD65" si="31">IF(ISNUMBER(SEARCH("; argumentative judgment; ","; "&amp;H34&amp;"; ")),1,0)</f>
        <v>0</v>
      </c>
      <c r="AE34" s="5">
        <f t="shared" ref="AE34:AE65" si="32">IF(ISNUMBER(SEARCH("; genre/writing expertise; ","; "&amp;H34&amp;"; ")),1,0)</f>
        <v>1</v>
      </c>
      <c r="AF34" s="5">
        <f t="shared" ref="AF34:AF65" si="33">IF(ISNUMBER(SEARCH("; none; ","; "&amp;H34&amp;"; ")),1,0)</f>
        <v>0</v>
      </c>
    </row>
    <row r="35" spans="1:32" ht="75.95" customHeight="1" x14ac:dyDescent="0.2">
      <c r="A35" s="4" t="s">
        <v>313</v>
      </c>
      <c r="B35" s="5">
        <v>34</v>
      </c>
      <c r="C35" s="4" t="s">
        <v>40</v>
      </c>
      <c r="D35" s="4" t="s">
        <v>314</v>
      </c>
      <c r="E35" s="4" t="s">
        <v>17</v>
      </c>
      <c r="F35" s="4" t="s">
        <v>315</v>
      </c>
      <c r="G35" s="4" t="s">
        <v>18</v>
      </c>
      <c r="H35" s="4" t="s">
        <v>30</v>
      </c>
      <c r="I35" s="4" t="s">
        <v>316</v>
      </c>
      <c r="J35" s="4" t="s">
        <v>317</v>
      </c>
      <c r="K35" s="4" t="s">
        <v>318</v>
      </c>
      <c r="L35" s="4" t="s">
        <v>319</v>
      </c>
      <c r="M35" s="4"/>
      <c r="N35" s="4" t="s">
        <v>87</v>
      </c>
      <c r="O35" s="4" t="s">
        <v>98</v>
      </c>
      <c r="P35" s="5">
        <f t="shared" si="17"/>
        <v>3</v>
      </c>
      <c r="Q35" s="5">
        <f t="shared" si="18"/>
        <v>0</v>
      </c>
      <c r="R35" s="5">
        <f t="shared" si="19"/>
        <v>1</v>
      </c>
      <c r="S35" s="5">
        <f t="shared" si="20"/>
        <v>0</v>
      </c>
      <c r="T35" s="5">
        <f t="shared" si="21"/>
        <v>0</v>
      </c>
      <c r="U35" s="5">
        <f t="shared" si="22"/>
        <v>1</v>
      </c>
      <c r="V35" s="5">
        <f t="shared" si="23"/>
        <v>0</v>
      </c>
      <c r="W35" s="5">
        <f t="shared" si="24"/>
        <v>1</v>
      </c>
      <c r="X35" s="5">
        <f t="shared" si="25"/>
        <v>0</v>
      </c>
      <c r="Y35" s="5">
        <f t="shared" si="26"/>
        <v>1</v>
      </c>
      <c r="Z35" s="5">
        <f t="shared" si="27"/>
        <v>0</v>
      </c>
      <c r="AA35" s="5">
        <f t="shared" si="28"/>
        <v>0</v>
      </c>
      <c r="AB35" s="5">
        <f t="shared" si="29"/>
        <v>0</v>
      </c>
      <c r="AC35" s="5">
        <f t="shared" si="30"/>
        <v>0</v>
      </c>
      <c r="AD35" s="5">
        <f t="shared" si="31"/>
        <v>0</v>
      </c>
      <c r="AE35" s="5">
        <f t="shared" si="32"/>
        <v>1</v>
      </c>
      <c r="AF35" s="5">
        <f t="shared" si="33"/>
        <v>0</v>
      </c>
    </row>
    <row r="36" spans="1:32" ht="80.099999999999994" customHeight="1" x14ac:dyDescent="0.2">
      <c r="A36" s="4" t="s">
        <v>320</v>
      </c>
      <c r="B36" s="5">
        <v>35</v>
      </c>
      <c r="C36" s="4" t="s">
        <v>40</v>
      </c>
      <c r="D36" s="4" t="s">
        <v>321</v>
      </c>
      <c r="E36" s="4" t="s">
        <v>17</v>
      </c>
      <c r="F36" s="4" t="s">
        <v>29</v>
      </c>
      <c r="G36" s="4" t="s">
        <v>18</v>
      </c>
      <c r="H36" s="4" t="s">
        <v>30</v>
      </c>
      <c r="I36" s="4" t="s">
        <v>322</v>
      </c>
      <c r="J36" s="4" t="s">
        <v>323</v>
      </c>
      <c r="K36" s="4" t="s">
        <v>324</v>
      </c>
      <c r="L36" s="4" t="s">
        <v>325</v>
      </c>
      <c r="M36" s="4"/>
      <c r="N36" s="4" t="s">
        <v>87</v>
      </c>
      <c r="O36" s="4" t="s">
        <v>98</v>
      </c>
      <c r="P36" s="5">
        <f t="shared" si="17"/>
        <v>2</v>
      </c>
      <c r="Q36" s="5">
        <f t="shared" si="18"/>
        <v>0</v>
      </c>
      <c r="R36" s="5">
        <f t="shared" si="19"/>
        <v>1</v>
      </c>
      <c r="S36" s="5">
        <f t="shared" si="20"/>
        <v>0</v>
      </c>
      <c r="T36" s="5">
        <f t="shared" si="21"/>
        <v>0</v>
      </c>
      <c r="U36" s="5">
        <f t="shared" si="22"/>
        <v>0</v>
      </c>
      <c r="V36" s="5">
        <f t="shared" si="23"/>
        <v>1</v>
      </c>
      <c r="W36" s="5">
        <f t="shared" si="24"/>
        <v>0</v>
      </c>
      <c r="X36" s="5">
        <f t="shared" si="25"/>
        <v>0</v>
      </c>
      <c r="Y36" s="5">
        <f t="shared" si="26"/>
        <v>1</v>
      </c>
      <c r="Z36" s="5">
        <f t="shared" si="27"/>
        <v>0</v>
      </c>
      <c r="AA36" s="5">
        <f t="shared" si="28"/>
        <v>0</v>
      </c>
      <c r="AB36" s="5">
        <f t="shared" si="29"/>
        <v>0</v>
      </c>
      <c r="AC36" s="5">
        <f t="shared" si="30"/>
        <v>0</v>
      </c>
      <c r="AD36" s="5">
        <f t="shared" si="31"/>
        <v>0</v>
      </c>
      <c r="AE36" s="5">
        <f t="shared" si="32"/>
        <v>1</v>
      </c>
      <c r="AF36" s="5">
        <f t="shared" si="33"/>
        <v>0</v>
      </c>
    </row>
    <row r="37" spans="1:32" ht="75.95" customHeight="1" x14ac:dyDescent="0.2">
      <c r="A37" s="4" t="s">
        <v>326</v>
      </c>
      <c r="B37" s="5">
        <v>36</v>
      </c>
      <c r="C37" s="4" t="s">
        <v>40</v>
      </c>
      <c r="D37" s="4" t="s">
        <v>327</v>
      </c>
      <c r="E37" s="4" t="s">
        <v>17</v>
      </c>
      <c r="F37" s="4"/>
      <c r="G37" s="4" t="s">
        <v>18</v>
      </c>
      <c r="H37" s="4" t="s">
        <v>30</v>
      </c>
      <c r="I37" s="4" t="s">
        <v>328</v>
      </c>
      <c r="J37" s="4" t="s">
        <v>329</v>
      </c>
      <c r="K37" s="4" t="s">
        <v>330</v>
      </c>
      <c r="L37" s="4" t="s">
        <v>331</v>
      </c>
      <c r="M37" s="4"/>
      <c r="N37" s="4" t="s">
        <v>87</v>
      </c>
      <c r="O37" s="4" t="s">
        <v>98</v>
      </c>
      <c r="P37" s="5">
        <f t="shared" si="17"/>
        <v>1</v>
      </c>
      <c r="Q37" s="5">
        <f t="shared" si="18"/>
        <v>0</v>
      </c>
      <c r="R37" s="5">
        <f t="shared" si="19"/>
        <v>1</v>
      </c>
      <c r="S37" s="5">
        <f t="shared" si="20"/>
        <v>0</v>
      </c>
      <c r="T37" s="5">
        <f t="shared" si="21"/>
        <v>0</v>
      </c>
      <c r="U37" s="5">
        <f t="shared" si="22"/>
        <v>0</v>
      </c>
      <c r="V37" s="5">
        <f t="shared" si="23"/>
        <v>0</v>
      </c>
      <c r="W37" s="5">
        <f t="shared" si="24"/>
        <v>0</v>
      </c>
      <c r="X37" s="5">
        <f t="shared" si="25"/>
        <v>0</v>
      </c>
      <c r="Y37" s="5">
        <f t="shared" si="26"/>
        <v>1</v>
      </c>
      <c r="Z37" s="5">
        <f t="shared" si="27"/>
        <v>0</v>
      </c>
      <c r="AA37" s="5">
        <f t="shared" si="28"/>
        <v>0</v>
      </c>
      <c r="AB37" s="5">
        <f t="shared" si="29"/>
        <v>0</v>
      </c>
      <c r="AC37" s="5">
        <f t="shared" si="30"/>
        <v>0</v>
      </c>
      <c r="AD37" s="5">
        <f t="shared" si="31"/>
        <v>0</v>
      </c>
      <c r="AE37" s="5">
        <f t="shared" si="32"/>
        <v>1</v>
      </c>
      <c r="AF37" s="5">
        <f t="shared" si="33"/>
        <v>0</v>
      </c>
    </row>
    <row r="38" spans="1:32" ht="75.95" customHeight="1" x14ac:dyDescent="0.2">
      <c r="A38" s="4" t="s">
        <v>332</v>
      </c>
      <c r="B38" s="5">
        <v>37</v>
      </c>
      <c r="C38" s="4" t="s">
        <v>40</v>
      </c>
      <c r="D38" s="4" t="s">
        <v>333</v>
      </c>
      <c r="E38" s="4" t="s">
        <v>17</v>
      </c>
      <c r="F38" s="4" t="s">
        <v>315</v>
      </c>
      <c r="G38" s="4" t="s">
        <v>18</v>
      </c>
      <c r="H38" s="4" t="s">
        <v>308</v>
      </c>
      <c r="I38" s="4" t="s">
        <v>334</v>
      </c>
      <c r="J38" s="4" t="s">
        <v>335</v>
      </c>
      <c r="K38" s="4" t="s">
        <v>336</v>
      </c>
      <c r="L38" s="4" t="s">
        <v>337</v>
      </c>
      <c r="M38" s="4"/>
      <c r="N38" s="4" t="s">
        <v>87</v>
      </c>
      <c r="O38" s="4" t="s">
        <v>98</v>
      </c>
      <c r="P38" s="5">
        <f t="shared" si="17"/>
        <v>3</v>
      </c>
      <c r="Q38" s="5">
        <f t="shared" si="18"/>
        <v>0</v>
      </c>
      <c r="R38" s="5">
        <f t="shared" si="19"/>
        <v>1</v>
      </c>
      <c r="S38" s="5">
        <f t="shared" si="20"/>
        <v>0</v>
      </c>
      <c r="T38" s="5">
        <f t="shared" si="21"/>
        <v>0</v>
      </c>
      <c r="U38" s="5">
        <f t="shared" si="22"/>
        <v>1</v>
      </c>
      <c r="V38" s="5">
        <f t="shared" si="23"/>
        <v>0</v>
      </c>
      <c r="W38" s="5">
        <f t="shared" si="24"/>
        <v>1</v>
      </c>
      <c r="X38" s="5">
        <f t="shared" si="25"/>
        <v>0</v>
      </c>
      <c r="Y38" s="5">
        <f t="shared" si="26"/>
        <v>2</v>
      </c>
      <c r="Z38" s="5">
        <f t="shared" si="27"/>
        <v>0</v>
      </c>
      <c r="AA38" s="5">
        <f t="shared" si="28"/>
        <v>1</v>
      </c>
      <c r="AB38" s="5">
        <f t="shared" si="29"/>
        <v>0</v>
      </c>
      <c r="AC38" s="5">
        <f t="shared" si="30"/>
        <v>0</v>
      </c>
      <c r="AD38" s="5">
        <f t="shared" si="31"/>
        <v>0</v>
      </c>
      <c r="AE38" s="5">
        <f t="shared" si="32"/>
        <v>1</v>
      </c>
      <c r="AF38" s="5">
        <f t="shared" si="33"/>
        <v>0</v>
      </c>
    </row>
    <row r="39" spans="1:32" ht="80.099999999999994" customHeight="1" x14ac:dyDescent="0.2">
      <c r="A39" s="4" t="s">
        <v>338</v>
      </c>
      <c r="B39" s="5">
        <v>38</v>
      </c>
      <c r="C39" s="4" t="s">
        <v>40</v>
      </c>
      <c r="D39" s="4" t="s">
        <v>339</v>
      </c>
      <c r="E39" s="4" t="s">
        <v>23</v>
      </c>
      <c r="F39" s="4" t="s">
        <v>17</v>
      </c>
      <c r="G39" s="4" t="s">
        <v>24</v>
      </c>
      <c r="H39" s="4" t="s">
        <v>176</v>
      </c>
      <c r="I39" s="4" t="s">
        <v>340</v>
      </c>
      <c r="J39" s="4" t="s">
        <v>341</v>
      </c>
      <c r="K39" s="4" t="s">
        <v>342</v>
      </c>
      <c r="L39" s="4" t="s">
        <v>343</v>
      </c>
      <c r="M39" s="4"/>
      <c r="N39" s="4" t="s">
        <v>87</v>
      </c>
      <c r="O39" s="4" t="s">
        <v>98</v>
      </c>
      <c r="P39" s="5">
        <f t="shared" si="17"/>
        <v>2</v>
      </c>
      <c r="Q39" s="5">
        <f t="shared" si="18"/>
        <v>0</v>
      </c>
      <c r="R39" s="5">
        <f t="shared" si="19"/>
        <v>1</v>
      </c>
      <c r="S39" s="5">
        <f t="shared" si="20"/>
        <v>0</v>
      </c>
      <c r="T39" s="5">
        <f t="shared" si="21"/>
        <v>1</v>
      </c>
      <c r="U39" s="5">
        <f t="shared" si="22"/>
        <v>0</v>
      </c>
      <c r="V39" s="5">
        <f t="shared" si="23"/>
        <v>0</v>
      </c>
      <c r="W39" s="5">
        <f t="shared" si="24"/>
        <v>0</v>
      </c>
      <c r="X39" s="5">
        <f t="shared" si="25"/>
        <v>0</v>
      </c>
      <c r="Y39" s="5">
        <f t="shared" si="26"/>
        <v>2</v>
      </c>
      <c r="Z39" s="5">
        <f t="shared" si="27"/>
        <v>0</v>
      </c>
      <c r="AA39" s="5">
        <f t="shared" si="28"/>
        <v>0</v>
      </c>
      <c r="AB39" s="5">
        <f t="shared" si="29"/>
        <v>0</v>
      </c>
      <c r="AC39" s="5">
        <f t="shared" si="30"/>
        <v>0</v>
      </c>
      <c r="AD39" s="5">
        <f t="shared" si="31"/>
        <v>1</v>
      </c>
      <c r="AE39" s="5">
        <f t="shared" si="32"/>
        <v>1</v>
      </c>
      <c r="AF39" s="5">
        <f t="shared" si="33"/>
        <v>0</v>
      </c>
    </row>
    <row r="40" spans="1:32" ht="75.95" customHeight="1" x14ac:dyDescent="0.2">
      <c r="A40" s="4" t="s">
        <v>344</v>
      </c>
      <c r="B40" s="5">
        <v>39</v>
      </c>
      <c r="C40" s="4" t="s">
        <v>40</v>
      </c>
      <c r="D40" s="4" t="s">
        <v>345</v>
      </c>
      <c r="E40" s="4" t="s">
        <v>17</v>
      </c>
      <c r="F40" s="4"/>
      <c r="G40" s="4" t="s">
        <v>18</v>
      </c>
      <c r="H40" s="4" t="s">
        <v>33</v>
      </c>
      <c r="I40" s="4" t="s">
        <v>346</v>
      </c>
      <c r="J40" s="4" t="s">
        <v>347</v>
      </c>
      <c r="K40" s="4" t="s">
        <v>348</v>
      </c>
      <c r="L40" s="4" t="s">
        <v>349</v>
      </c>
      <c r="M40" s="4"/>
      <c r="N40" s="4" t="s">
        <v>87</v>
      </c>
      <c r="O40" s="4" t="s">
        <v>98</v>
      </c>
      <c r="P40" s="5">
        <f t="shared" si="17"/>
        <v>1</v>
      </c>
      <c r="Q40" s="5">
        <f t="shared" si="18"/>
        <v>0</v>
      </c>
      <c r="R40" s="5">
        <f t="shared" si="19"/>
        <v>1</v>
      </c>
      <c r="S40" s="5">
        <f t="shared" si="20"/>
        <v>0</v>
      </c>
      <c r="T40" s="5">
        <f t="shared" si="21"/>
        <v>0</v>
      </c>
      <c r="U40" s="5">
        <f t="shared" si="22"/>
        <v>0</v>
      </c>
      <c r="V40" s="5">
        <f t="shared" si="23"/>
        <v>0</v>
      </c>
      <c r="W40" s="5">
        <f t="shared" si="24"/>
        <v>0</v>
      </c>
      <c r="X40" s="5">
        <f t="shared" si="25"/>
        <v>0</v>
      </c>
      <c r="Y40" s="5">
        <f t="shared" si="26"/>
        <v>0</v>
      </c>
      <c r="Z40" s="5">
        <f t="shared" si="27"/>
        <v>0</v>
      </c>
      <c r="AA40" s="5">
        <f t="shared" si="28"/>
        <v>0</v>
      </c>
      <c r="AB40" s="5">
        <f t="shared" si="29"/>
        <v>0</v>
      </c>
      <c r="AC40" s="5">
        <f t="shared" si="30"/>
        <v>0</v>
      </c>
      <c r="AD40" s="5">
        <f t="shared" si="31"/>
        <v>0</v>
      </c>
      <c r="AE40" s="5">
        <f t="shared" si="32"/>
        <v>0</v>
      </c>
      <c r="AF40" s="5">
        <f t="shared" si="33"/>
        <v>1</v>
      </c>
    </row>
    <row r="41" spans="1:32" ht="75.95" customHeight="1" x14ac:dyDescent="0.2">
      <c r="A41" s="4" t="s">
        <v>350</v>
      </c>
      <c r="B41" s="5">
        <v>40</v>
      </c>
      <c r="C41" s="4" t="s">
        <v>40</v>
      </c>
      <c r="D41" s="4" t="s">
        <v>351</v>
      </c>
      <c r="E41" s="4" t="s">
        <v>31</v>
      </c>
      <c r="F41" s="4" t="s">
        <v>17</v>
      </c>
      <c r="G41" s="4" t="s">
        <v>18</v>
      </c>
      <c r="H41" s="4" t="s">
        <v>28</v>
      </c>
      <c r="I41" s="4" t="s">
        <v>352</v>
      </c>
      <c r="J41" s="4" t="s">
        <v>353</v>
      </c>
      <c r="K41" s="4" t="s">
        <v>354</v>
      </c>
      <c r="L41" s="4" t="s">
        <v>355</v>
      </c>
      <c r="M41" s="4"/>
      <c r="N41" s="4" t="s">
        <v>87</v>
      </c>
      <c r="O41" s="4" t="s">
        <v>98</v>
      </c>
      <c r="P41" s="5">
        <f t="shared" si="17"/>
        <v>2</v>
      </c>
      <c r="Q41" s="5">
        <f t="shared" si="18"/>
        <v>0</v>
      </c>
      <c r="R41" s="5">
        <f t="shared" si="19"/>
        <v>1</v>
      </c>
      <c r="S41" s="5">
        <f t="shared" si="20"/>
        <v>0</v>
      </c>
      <c r="T41" s="5">
        <f t="shared" si="21"/>
        <v>0</v>
      </c>
      <c r="U41" s="5">
        <f t="shared" si="22"/>
        <v>0</v>
      </c>
      <c r="V41" s="5">
        <f t="shared" si="23"/>
        <v>0</v>
      </c>
      <c r="W41" s="5">
        <f t="shared" si="24"/>
        <v>1</v>
      </c>
      <c r="X41" s="5">
        <f t="shared" si="25"/>
        <v>0</v>
      </c>
      <c r="Y41" s="5">
        <f t="shared" si="26"/>
        <v>1</v>
      </c>
      <c r="Z41" s="5">
        <f t="shared" si="27"/>
        <v>0</v>
      </c>
      <c r="AA41" s="5">
        <f t="shared" si="28"/>
        <v>0</v>
      </c>
      <c r="AB41" s="5">
        <f t="shared" si="29"/>
        <v>0</v>
      </c>
      <c r="AC41" s="5">
        <f t="shared" si="30"/>
        <v>0</v>
      </c>
      <c r="AD41" s="5">
        <f t="shared" si="31"/>
        <v>1</v>
      </c>
      <c r="AE41" s="5">
        <f t="shared" si="32"/>
        <v>0</v>
      </c>
      <c r="AF41" s="5">
        <f t="shared" si="33"/>
        <v>0</v>
      </c>
    </row>
    <row r="42" spans="1:32" ht="93.95" customHeight="1" x14ac:dyDescent="0.2">
      <c r="A42" s="4" t="s">
        <v>356</v>
      </c>
      <c r="B42" s="5">
        <v>41</v>
      </c>
      <c r="C42" s="4" t="s">
        <v>40</v>
      </c>
      <c r="D42" s="4" t="s">
        <v>357</v>
      </c>
      <c r="E42" s="4" t="s">
        <v>29</v>
      </c>
      <c r="F42" s="4" t="s">
        <v>26</v>
      </c>
      <c r="G42" s="4" t="s">
        <v>18</v>
      </c>
      <c r="H42" s="4" t="s">
        <v>102</v>
      </c>
      <c r="I42" s="4" t="s">
        <v>358</v>
      </c>
      <c r="J42" s="4" t="s">
        <v>359</v>
      </c>
      <c r="K42" s="4" t="s">
        <v>360</v>
      </c>
      <c r="L42" s="4" t="s">
        <v>361</v>
      </c>
      <c r="M42" s="4"/>
      <c r="N42" s="4" t="s">
        <v>87</v>
      </c>
      <c r="O42" s="4" t="s">
        <v>98</v>
      </c>
      <c r="P42" s="5">
        <f t="shared" si="17"/>
        <v>2</v>
      </c>
      <c r="Q42" s="5">
        <f t="shared" si="18"/>
        <v>0</v>
      </c>
      <c r="R42" s="5">
        <f t="shared" si="19"/>
        <v>0</v>
      </c>
      <c r="S42" s="5">
        <f t="shared" si="20"/>
        <v>0</v>
      </c>
      <c r="T42" s="5">
        <f t="shared" si="21"/>
        <v>0</v>
      </c>
      <c r="U42" s="5">
        <f t="shared" si="22"/>
        <v>1</v>
      </c>
      <c r="V42" s="5">
        <f t="shared" si="23"/>
        <v>1</v>
      </c>
      <c r="W42" s="5">
        <f t="shared" si="24"/>
        <v>0</v>
      </c>
      <c r="X42" s="5">
        <f t="shared" si="25"/>
        <v>0</v>
      </c>
      <c r="Y42" s="5">
        <f t="shared" si="26"/>
        <v>2</v>
      </c>
      <c r="Z42" s="5">
        <f t="shared" si="27"/>
        <v>0</v>
      </c>
      <c r="AA42" s="5">
        <f t="shared" si="28"/>
        <v>0</v>
      </c>
      <c r="AB42" s="5">
        <f t="shared" si="29"/>
        <v>0</v>
      </c>
      <c r="AC42" s="5">
        <f t="shared" si="30"/>
        <v>1</v>
      </c>
      <c r="AD42" s="5">
        <f t="shared" si="31"/>
        <v>1</v>
      </c>
      <c r="AE42" s="5">
        <f t="shared" si="32"/>
        <v>0</v>
      </c>
      <c r="AF42" s="5">
        <f t="shared" si="33"/>
        <v>0</v>
      </c>
    </row>
    <row r="43" spans="1:32" ht="93.95" customHeight="1" x14ac:dyDescent="0.2">
      <c r="A43" s="4" t="s">
        <v>362</v>
      </c>
      <c r="B43" s="5">
        <v>42</v>
      </c>
      <c r="C43" s="4" t="s">
        <v>40</v>
      </c>
      <c r="D43" s="4" t="s">
        <v>363</v>
      </c>
      <c r="E43" s="4" t="s">
        <v>29</v>
      </c>
      <c r="F43" s="4" t="s">
        <v>17</v>
      </c>
      <c r="G43" s="4" t="s">
        <v>18</v>
      </c>
      <c r="H43" s="4" t="s">
        <v>102</v>
      </c>
      <c r="I43" s="4" t="s">
        <v>364</v>
      </c>
      <c r="J43" s="4" t="s">
        <v>365</v>
      </c>
      <c r="K43" s="4" t="s">
        <v>366</v>
      </c>
      <c r="L43" s="4" t="s">
        <v>367</v>
      </c>
      <c r="M43" s="4"/>
      <c r="N43" s="4" t="s">
        <v>87</v>
      </c>
      <c r="O43" s="4" t="s">
        <v>98</v>
      </c>
      <c r="P43" s="5">
        <f t="shared" si="17"/>
        <v>2</v>
      </c>
      <c r="Q43" s="5">
        <f t="shared" si="18"/>
        <v>0</v>
      </c>
      <c r="R43" s="5">
        <f t="shared" si="19"/>
        <v>1</v>
      </c>
      <c r="S43" s="5">
        <f t="shared" si="20"/>
        <v>0</v>
      </c>
      <c r="T43" s="5">
        <f t="shared" si="21"/>
        <v>0</v>
      </c>
      <c r="U43" s="5">
        <f t="shared" si="22"/>
        <v>0</v>
      </c>
      <c r="V43" s="5">
        <f t="shared" si="23"/>
        <v>1</v>
      </c>
      <c r="W43" s="5">
        <f t="shared" si="24"/>
        <v>0</v>
      </c>
      <c r="X43" s="5">
        <f t="shared" si="25"/>
        <v>0</v>
      </c>
      <c r="Y43" s="5">
        <f t="shared" si="26"/>
        <v>2</v>
      </c>
      <c r="Z43" s="5">
        <f t="shared" si="27"/>
        <v>0</v>
      </c>
      <c r="AA43" s="5">
        <f t="shared" si="28"/>
        <v>0</v>
      </c>
      <c r="AB43" s="5">
        <f t="shared" si="29"/>
        <v>0</v>
      </c>
      <c r="AC43" s="5">
        <f t="shared" si="30"/>
        <v>1</v>
      </c>
      <c r="AD43" s="5">
        <f t="shared" si="31"/>
        <v>1</v>
      </c>
      <c r="AE43" s="5">
        <f t="shared" si="32"/>
        <v>0</v>
      </c>
      <c r="AF43" s="5">
        <f t="shared" si="33"/>
        <v>0</v>
      </c>
    </row>
    <row r="44" spans="1:32" ht="75.95" customHeight="1" x14ac:dyDescent="0.2">
      <c r="A44" s="4" t="s">
        <v>368</v>
      </c>
      <c r="B44" s="5">
        <v>43</v>
      </c>
      <c r="C44" s="4" t="s">
        <v>40</v>
      </c>
      <c r="D44" s="4" t="s">
        <v>369</v>
      </c>
      <c r="E44" s="4" t="s">
        <v>23</v>
      </c>
      <c r="F44" s="4"/>
      <c r="G44" s="4" t="s">
        <v>24</v>
      </c>
      <c r="H44" s="4" t="s">
        <v>30</v>
      </c>
      <c r="I44" s="4" t="s">
        <v>370</v>
      </c>
      <c r="J44" s="4" t="s">
        <v>371</v>
      </c>
      <c r="K44" s="4" t="s">
        <v>372</v>
      </c>
      <c r="L44" s="4" t="s">
        <v>373</v>
      </c>
      <c r="M44" s="4"/>
      <c r="N44" s="4" t="s">
        <v>87</v>
      </c>
      <c r="O44" s="4" t="s">
        <v>98</v>
      </c>
      <c r="P44" s="5">
        <f t="shared" si="17"/>
        <v>1</v>
      </c>
      <c r="Q44" s="5">
        <f t="shared" si="18"/>
        <v>0</v>
      </c>
      <c r="R44" s="5">
        <f t="shared" si="19"/>
        <v>0</v>
      </c>
      <c r="S44" s="5">
        <f t="shared" si="20"/>
        <v>0</v>
      </c>
      <c r="T44" s="5">
        <f t="shared" si="21"/>
        <v>1</v>
      </c>
      <c r="U44" s="5">
        <f t="shared" si="22"/>
        <v>0</v>
      </c>
      <c r="V44" s="5">
        <f t="shared" si="23"/>
        <v>0</v>
      </c>
      <c r="W44" s="5">
        <f t="shared" si="24"/>
        <v>0</v>
      </c>
      <c r="X44" s="5">
        <f t="shared" si="25"/>
        <v>0</v>
      </c>
      <c r="Y44" s="5">
        <f t="shared" si="26"/>
        <v>1</v>
      </c>
      <c r="Z44" s="5">
        <f t="shared" si="27"/>
        <v>0</v>
      </c>
      <c r="AA44" s="5">
        <f t="shared" si="28"/>
        <v>0</v>
      </c>
      <c r="AB44" s="5">
        <f t="shared" si="29"/>
        <v>0</v>
      </c>
      <c r="AC44" s="5">
        <f t="shared" si="30"/>
        <v>0</v>
      </c>
      <c r="AD44" s="5">
        <f t="shared" si="31"/>
        <v>0</v>
      </c>
      <c r="AE44" s="5">
        <f t="shared" si="32"/>
        <v>1</v>
      </c>
      <c r="AF44" s="5">
        <f t="shared" si="33"/>
        <v>0</v>
      </c>
    </row>
    <row r="45" spans="1:32" ht="75.95" customHeight="1" x14ac:dyDescent="0.2">
      <c r="A45" s="4" t="s">
        <v>374</v>
      </c>
      <c r="B45" s="5">
        <v>44</v>
      </c>
      <c r="C45" s="4" t="s">
        <v>40</v>
      </c>
      <c r="D45" s="4" t="s">
        <v>375</v>
      </c>
      <c r="E45" s="4" t="s">
        <v>34</v>
      </c>
      <c r="F45" s="4" t="s">
        <v>26</v>
      </c>
      <c r="G45" s="4" t="s">
        <v>27</v>
      </c>
      <c r="H45" s="4" t="s">
        <v>30</v>
      </c>
      <c r="I45" s="4" t="s">
        <v>376</v>
      </c>
      <c r="J45" s="4" t="s">
        <v>377</v>
      </c>
      <c r="K45" s="4" t="s">
        <v>378</v>
      </c>
      <c r="L45" s="4" t="s">
        <v>379</v>
      </c>
      <c r="M45" s="4"/>
      <c r="N45" s="4" t="s">
        <v>87</v>
      </c>
      <c r="O45" s="4" t="s">
        <v>98</v>
      </c>
      <c r="P45" s="5">
        <f t="shared" si="17"/>
        <v>2</v>
      </c>
      <c r="Q45" s="5">
        <f t="shared" si="18"/>
        <v>0</v>
      </c>
      <c r="R45" s="5">
        <f t="shared" si="19"/>
        <v>0</v>
      </c>
      <c r="S45" s="5">
        <f t="shared" si="20"/>
        <v>0</v>
      </c>
      <c r="T45" s="5">
        <f t="shared" si="21"/>
        <v>0</v>
      </c>
      <c r="U45" s="5">
        <f t="shared" si="22"/>
        <v>1</v>
      </c>
      <c r="V45" s="5">
        <f t="shared" si="23"/>
        <v>0</v>
      </c>
      <c r="W45" s="5">
        <f t="shared" si="24"/>
        <v>0</v>
      </c>
      <c r="X45" s="5">
        <f t="shared" si="25"/>
        <v>1</v>
      </c>
      <c r="Y45" s="5">
        <f t="shared" si="26"/>
        <v>1</v>
      </c>
      <c r="Z45" s="5">
        <f t="shared" si="27"/>
        <v>0</v>
      </c>
      <c r="AA45" s="5">
        <f t="shared" si="28"/>
        <v>0</v>
      </c>
      <c r="AB45" s="5">
        <f t="shared" si="29"/>
        <v>0</v>
      </c>
      <c r="AC45" s="5">
        <f t="shared" si="30"/>
        <v>0</v>
      </c>
      <c r="AD45" s="5">
        <f t="shared" si="31"/>
        <v>0</v>
      </c>
      <c r="AE45" s="5">
        <f t="shared" si="32"/>
        <v>1</v>
      </c>
      <c r="AF45" s="5">
        <f t="shared" si="33"/>
        <v>0</v>
      </c>
    </row>
    <row r="46" spans="1:32" ht="75.95" customHeight="1" x14ac:dyDescent="0.2">
      <c r="A46" s="4" t="s">
        <v>380</v>
      </c>
      <c r="B46" s="5">
        <v>45</v>
      </c>
      <c r="C46" s="4" t="s">
        <v>40</v>
      </c>
      <c r="D46" s="4" t="s">
        <v>381</v>
      </c>
      <c r="E46" s="4" t="s">
        <v>17</v>
      </c>
      <c r="F46" s="4"/>
      <c r="G46" s="4" t="s">
        <v>18</v>
      </c>
      <c r="H46" s="4" t="s">
        <v>33</v>
      </c>
      <c r="I46" s="4" t="s">
        <v>382</v>
      </c>
      <c r="J46" s="4" t="s">
        <v>383</v>
      </c>
      <c r="K46" s="4" t="s">
        <v>384</v>
      </c>
      <c r="L46" s="4" t="s">
        <v>385</v>
      </c>
      <c r="M46" s="4"/>
      <c r="N46" s="4" t="s">
        <v>87</v>
      </c>
      <c r="O46" s="4" t="s">
        <v>98</v>
      </c>
      <c r="P46" s="5">
        <f t="shared" si="17"/>
        <v>1</v>
      </c>
      <c r="Q46" s="5">
        <f t="shared" si="18"/>
        <v>0</v>
      </c>
      <c r="R46" s="5">
        <f t="shared" si="19"/>
        <v>1</v>
      </c>
      <c r="S46" s="5">
        <f t="shared" si="20"/>
        <v>0</v>
      </c>
      <c r="T46" s="5">
        <f t="shared" si="21"/>
        <v>0</v>
      </c>
      <c r="U46" s="5">
        <f t="shared" si="22"/>
        <v>0</v>
      </c>
      <c r="V46" s="5">
        <f t="shared" si="23"/>
        <v>0</v>
      </c>
      <c r="W46" s="5">
        <f t="shared" si="24"/>
        <v>0</v>
      </c>
      <c r="X46" s="5">
        <f t="shared" si="25"/>
        <v>0</v>
      </c>
      <c r="Y46" s="5">
        <f t="shared" si="26"/>
        <v>0</v>
      </c>
      <c r="Z46" s="5">
        <f t="shared" si="27"/>
        <v>0</v>
      </c>
      <c r="AA46" s="5">
        <f t="shared" si="28"/>
        <v>0</v>
      </c>
      <c r="AB46" s="5">
        <f t="shared" si="29"/>
        <v>0</v>
      </c>
      <c r="AC46" s="5">
        <f t="shared" si="30"/>
        <v>0</v>
      </c>
      <c r="AD46" s="5">
        <f t="shared" si="31"/>
        <v>0</v>
      </c>
      <c r="AE46" s="5">
        <f t="shared" si="32"/>
        <v>0</v>
      </c>
      <c r="AF46" s="5">
        <f t="shared" si="33"/>
        <v>1</v>
      </c>
    </row>
    <row r="47" spans="1:32" ht="75.95" customHeight="1" x14ac:dyDescent="0.2">
      <c r="A47" s="4" t="s">
        <v>386</v>
      </c>
      <c r="B47" s="5">
        <v>46</v>
      </c>
      <c r="C47" s="4" t="s">
        <v>40</v>
      </c>
      <c r="D47" s="4" t="s">
        <v>387</v>
      </c>
      <c r="E47" s="4" t="s">
        <v>23</v>
      </c>
      <c r="F47" s="4" t="s">
        <v>17</v>
      </c>
      <c r="G47" s="4" t="s">
        <v>24</v>
      </c>
      <c r="H47" s="4" t="s">
        <v>30</v>
      </c>
      <c r="I47" s="4" t="s">
        <v>388</v>
      </c>
      <c r="J47" s="4" t="s">
        <v>389</v>
      </c>
      <c r="K47" s="4" t="s">
        <v>390</v>
      </c>
      <c r="L47" s="4" t="s">
        <v>391</v>
      </c>
      <c r="M47" s="4"/>
      <c r="N47" s="4" t="s">
        <v>87</v>
      </c>
      <c r="O47" s="4" t="s">
        <v>98</v>
      </c>
      <c r="P47" s="5">
        <f t="shared" si="17"/>
        <v>2</v>
      </c>
      <c r="Q47" s="5">
        <f t="shared" si="18"/>
        <v>0</v>
      </c>
      <c r="R47" s="5">
        <f t="shared" si="19"/>
        <v>1</v>
      </c>
      <c r="S47" s="5">
        <f t="shared" si="20"/>
        <v>0</v>
      </c>
      <c r="T47" s="5">
        <f t="shared" si="21"/>
        <v>1</v>
      </c>
      <c r="U47" s="5">
        <f t="shared" si="22"/>
        <v>0</v>
      </c>
      <c r="V47" s="5">
        <f t="shared" si="23"/>
        <v>0</v>
      </c>
      <c r="W47" s="5">
        <f t="shared" si="24"/>
        <v>0</v>
      </c>
      <c r="X47" s="5">
        <f t="shared" si="25"/>
        <v>0</v>
      </c>
      <c r="Y47" s="5">
        <f t="shared" si="26"/>
        <v>1</v>
      </c>
      <c r="Z47" s="5">
        <f t="shared" si="27"/>
        <v>0</v>
      </c>
      <c r="AA47" s="5">
        <f t="shared" si="28"/>
        <v>0</v>
      </c>
      <c r="AB47" s="5">
        <f t="shared" si="29"/>
        <v>0</v>
      </c>
      <c r="AC47" s="5">
        <f t="shared" si="30"/>
        <v>0</v>
      </c>
      <c r="AD47" s="5">
        <f t="shared" si="31"/>
        <v>0</v>
      </c>
      <c r="AE47" s="5">
        <f t="shared" si="32"/>
        <v>1</v>
      </c>
      <c r="AF47" s="5">
        <f t="shared" si="33"/>
        <v>0</v>
      </c>
    </row>
    <row r="48" spans="1:32" ht="75.95" customHeight="1" x14ac:dyDescent="0.2">
      <c r="A48" s="4" t="s">
        <v>392</v>
      </c>
      <c r="B48" s="5">
        <v>47</v>
      </c>
      <c r="C48" s="4" t="s">
        <v>40</v>
      </c>
      <c r="D48" s="4" t="s">
        <v>393</v>
      </c>
      <c r="E48" s="4" t="s">
        <v>23</v>
      </c>
      <c r="F48" s="4" t="s">
        <v>17</v>
      </c>
      <c r="G48" s="4" t="s">
        <v>24</v>
      </c>
      <c r="H48" s="4" t="s">
        <v>30</v>
      </c>
      <c r="I48" s="4" t="s">
        <v>394</v>
      </c>
      <c r="J48" s="4" t="s">
        <v>395</v>
      </c>
      <c r="K48" s="4" t="s">
        <v>396</v>
      </c>
      <c r="L48" s="4" t="s">
        <v>397</v>
      </c>
      <c r="M48" s="4"/>
      <c r="N48" s="4" t="s">
        <v>87</v>
      </c>
      <c r="O48" s="4" t="s">
        <v>98</v>
      </c>
      <c r="P48" s="5">
        <f t="shared" si="17"/>
        <v>2</v>
      </c>
      <c r="Q48" s="5">
        <f t="shared" si="18"/>
        <v>0</v>
      </c>
      <c r="R48" s="5">
        <f t="shared" si="19"/>
        <v>1</v>
      </c>
      <c r="S48" s="5">
        <f t="shared" si="20"/>
        <v>0</v>
      </c>
      <c r="T48" s="5">
        <f t="shared" si="21"/>
        <v>1</v>
      </c>
      <c r="U48" s="5">
        <f t="shared" si="22"/>
        <v>0</v>
      </c>
      <c r="V48" s="5">
        <f t="shared" si="23"/>
        <v>0</v>
      </c>
      <c r="W48" s="5">
        <f t="shared" si="24"/>
        <v>0</v>
      </c>
      <c r="X48" s="5">
        <f t="shared" si="25"/>
        <v>0</v>
      </c>
      <c r="Y48" s="5">
        <f t="shared" si="26"/>
        <v>1</v>
      </c>
      <c r="Z48" s="5">
        <f t="shared" si="27"/>
        <v>0</v>
      </c>
      <c r="AA48" s="5">
        <f t="shared" si="28"/>
        <v>0</v>
      </c>
      <c r="AB48" s="5">
        <f t="shared" si="29"/>
        <v>0</v>
      </c>
      <c r="AC48" s="5">
        <f t="shared" si="30"/>
        <v>0</v>
      </c>
      <c r="AD48" s="5">
        <f t="shared" si="31"/>
        <v>0</v>
      </c>
      <c r="AE48" s="5">
        <f t="shared" si="32"/>
        <v>1</v>
      </c>
      <c r="AF48" s="5">
        <f t="shared" si="33"/>
        <v>0</v>
      </c>
    </row>
    <row r="49" spans="1:32" ht="75.95" customHeight="1" x14ac:dyDescent="0.2">
      <c r="A49" s="4" t="s">
        <v>398</v>
      </c>
      <c r="B49" s="5">
        <v>48</v>
      </c>
      <c r="C49" s="4" t="s">
        <v>40</v>
      </c>
      <c r="D49" s="4" t="s">
        <v>399</v>
      </c>
      <c r="E49" s="4" t="s">
        <v>17</v>
      </c>
      <c r="F49" s="4" t="s">
        <v>26</v>
      </c>
      <c r="G49" s="4" t="s">
        <v>18</v>
      </c>
      <c r="H49" s="4" t="s">
        <v>30</v>
      </c>
      <c r="I49" s="4" t="s">
        <v>400</v>
      </c>
      <c r="J49" s="4" t="s">
        <v>401</v>
      </c>
      <c r="K49" s="4" t="s">
        <v>402</v>
      </c>
      <c r="L49" s="4" t="s">
        <v>403</v>
      </c>
      <c r="M49" s="4"/>
      <c r="N49" s="4" t="s">
        <v>87</v>
      </c>
      <c r="O49" s="4" t="s">
        <v>98</v>
      </c>
      <c r="P49" s="5">
        <f t="shared" si="17"/>
        <v>2</v>
      </c>
      <c r="Q49" s="5">
        <f t="shared" si="18"/>
        <v>0</v>
      </c>
      <c r="R49" s="5">
        <f t="shared" si="19"/>
        <v>1</v>
      </c>
      <c r="S49" s="5">
        <f t="shared" si="20"/>
        <v>0</v>
      </c>
      <c r="T49" s="5">
        <f t="shared" si="21"/>
        <v>0</v>
      </c>
      <c r="U49" s="5">
        <f t="shared" si="22"/>
        <v>1</v>
      </c>
      <c r="V49" s="5">
        <f t="shared" si="23"/>
        <v>0</v>
      </c>
      <c r="W49" s="5">
        <f t="shared" si="24"/>
        <v>0</v>
      </c>
      <c r="X49" s="5">
        <f t="shared" si="25"/>
        <v>0</v>
      </c>
      <c r="Y49" s="5">
        <f t="shared" si="26"/>
        <v>1</v>
      </c>
      <c r="Z49" s="5">
        <f t="shared" si="27"/>
        <v>0</v>
      </c>
      <c r="AA49" s="5">
        <f t="shared" si="28"/>
        <v>0</v>
      </c>
      <c r="AB49" s="5">
        <f t="shared" si="29"/>
        <v>0</v>
      </c>
      <c r="AC49" s="5">
        <f t="shared" si="30"/>
        <v>0</v>
      </c>
      <c r="AD49" s="5">
        <f t="shared" si="31"/>
        <v>0</v>
      </c>
      <c r="AE49" s="5">
        <f t="shared" si="32"/>
        <v>1</v>
      </c>
      <c r="AF49" s="5">
        <f t="shared" si="33"/>
        <v>0</v>
      </c>
    </row>
    <row r="50" spans="1:32" ht="75.95" customHeight="1" x14ac:dyDescent="0.2">
      <c r="A50" s="4" t="s">
        <v>404</v>
      </c>
      <c r="B50" s="5">
        <v>49</v>
      </c>
      <c r="C50" s="4" t="s">
        <v>40</v>
      </c>
      <c r="D50" s="4" t="s">
        <v>405</v>
      </c>
      <c r="E50" s="4" t="s">
        <v>23</v>
      </c>
      <c r="F50" s="4" t="s">
        <v>34</v>
      </c>
      <c r="G50" s="4" t="s">
        <v>24</v>
      </c>
      <c r="H50" s="4" t="s">
        <v>308</v>
      </c>
      <c r="I50" s="4" t="s">
        <v>406</v>
      </c>
      <c r="J50" s="4" t="s">
        <v>407</v>
      </c>
      <c r="K50" s="4" t="s">
        <v>408</v>
      </c>
      <c r="L50" s="4" t="s">
        <v>409</v>
      </c>
      <c r="M50" s="4"/>
      <c r="N50" s="4" t="s">
        <v>87</v>
      </c>
      <c r="O50" s="4" t="s">
        <v>98</v>
      </c>
      <c r="P50" s="5">
        <f t="shared" si="17"/>
        <v>2</v>
      </c>
      <c r="Q50" s="5">
        <f t="shared" si="18"/>
        <v>0</v>
      </c>
      <c r="R50" s="5">
        <f t="shared" si="19"/>
        <v>0</v>
      </c>
      <c r="S50" s="5">
        <f t="shared" si="20"/>
        <v>0</v>
      </c>
      <c r="T50" s="5">
        <f t="shared" si="21"/>
        <v>1</v>
      </c>
      <c r="U50" s="5">
        <f t="shared" si="22"/>
        <v>0</v>
      </c>
      <c r="V50" s="5">
        <f t="shared" si="23"/>
        <v>0</v>
      </c>
      <c r="W50" s="5">
        <f t="shared" si="24"/>
        <v>0</v>
      </c>
      <c r="X50" s="5">
        <f t="shared" si="25"/>
        <v>1</v>
      </c>
      <c r="Y50" s="5">
        <f t="shared" si="26"/>
        <v>2</v>
      </c>
      <c r="Z50" s="5">
        <f t="shared" si="27"/>
        <v>0</v>
      </c>
      <c r="AA50" s="5">
        <f t="shared" si="28"/>
        <v>1</v>
      </c>
      <c r="AB50" s="5">
        <f t="shared" si="29"/>
        <v>0</v>
      </c>
      <c r="AC50" s="5">
        <f t="shared" si="30"/>
        <v>0</v>
      </c>
      <c r="AD50" s="5">
        <f t="shared" si="31"/>
        <v>0</v>
      </c>
      <c r="AE50" s="5">
        <f t="shared" si="32"/>
        <v>1</v>
      </c>
      <c r="AF50" s="5">
        <f t="shared" si="33"/>
        <v>0</v>
      </c>
    </row>
    <row r="51" spans="1:32" ht="75.95" customHeight="1" x14ac:dyDescent="0.2">
      <c r="A51" s="4" t="s">
        <v>410</v>
      </c>
      <c r="B51" s="5">
        <v>50</v>
      </c>
      <c r="C51" s="4" t="s">
        <v>40</v>
      </c>
      <c r="D51" s="4" t="s">
        <v>411</v>
      </c>
      <c r="E51" s="4" t="s">
        <v>20</v>
      </c>
      <c r="F51" s="4"/>
      <c r="G51" s="4" t="s">
        <v>21</v>
      </c>
      <c r="H51" s="4" t="s">
        <v>30</v>
      </c>
      <c r="I51" s="4" t="s">
        <v>412</v>
      </c>
      <c r="J51" s="4" t="s">
        <v>413</v>
      </c>
      <c r="K51" s="4" t="s">
        <v>414</v>
      </c>
      <c r="L51" s="4" t="s">
        <v>415</v>
      </c>
      <c r="M51" s="4"/>
      <c r="N51" s="4" t="s">
        <v>87</v>
      </c>
      <c r="O51" s="4" t="s">
        <v>98</v>
      </c>
      <c r="P51" s="5">
        <f t="shared" si="17"/>
        <v>1</v>
      </c>
      <c r="Q51" s="5">
        <f t="shared" si="18"/>
        <v>0</v>
      </c>
      <c r="R51" s="5">
        <f t="shared" si="19"/>
        <v>0</v>
      </c>
      <c r="S51" s="5">
        <f t="shared" si="20"/>
        <v>1</v>
      </c>
      <c r="T51" s="5">
        <f t="shared" si="21"/>
        <v>0</v>
      </c>
      <c r="U51" s="5">
        <f t="shared" si="22"/>
        <v>0</v>
      </c>
      <c r="V51" s="5">
        <f t="shared" si="23"/>
        <v>0</v>
      </c>
      <c r="W51" s="5">
        <f t="shared" si="24"/>
        <v>0</v>
      </c>
      <c r="X51" s="5">
        <f t="shared" si="25"/>
        <v>0</v>
      </c>
      <c r="Y51" s="5">
        <f t="shared" si="26"/>
        <v>1</v>
      </c>
      <c r="Z51" s="5">
        <f t="shared" si="27"/>
        <v>0</v>
      </c>
      <c r="AA51" s="5">
        <f t="shared" si="28"/>
        <v>0</v>
      </c>
      <c r="AB51" s="5">
        <f t="shared" si="29"/>
        <v>0</v>
      </c>
      <c r="AC51" s="5">
        <f t="shared" si="30"/>
        <v>0</v>
      </c>
      <c r="AD51" s="5">
        <f t="shared" si="31"/>
        <v>0</v>
      </c>
      <c r="AE51" s="5">
        <f t="shared" si="32"/>
        <v>1</v>
      </c>
      <c r="AF51" s="5">
        <f t="shared" si="33"/>
        <v>0</v>
      </c>
    </row>
    <row r="52" spans="1:32" ht="75.95" customHeight="1" x14ac:dyDescent="0.2">
      <c r="A52" s="4" t="s">
        <v>416</v>
      </c>
      <c r="B52" s="5">
        <v>51</v>
      </c>
      <c r="C52" s="4" t="s">
        <v>40</v>
      </c>
      <c r="D52" s="4" t="s">
        <v>417</v>
      </c>
      <c r="E52" s="4" t="s">
        <v>17</v>
      </c>
      <c r="F52" s="4"/>
      <c r="G52" s="4" t="s">
        <v>18</v>
      </c>
      <c r="H52" s="4" t="s">
        <v>33</v>
      </c>
      <c r="I52" s="4" t="s">
        <v>418</v>
      </c>
      <c r="J52" s="4" t="s">
        <v>419</v>
      </c>
      <c r="K52" s="4" t="s">
        <v>420</v>
      </c>
      <c r="L52" s="4" t="s">
        <v>421</v>
      </c>
      <c r="M52" s="4"/>
      <c r="N52" s="4" t="s">
        <v>87</v>
      </c>
      <c r="O52" s="4" t="s">
        <v>98</v>
      </c>
      <c r="P52" s="5">
        <f t="shared" si="17"/>
        <v>1</v>
      </c>
      <c r="Q52" s="5">
        <f t="shared" si="18"/>
        <v>0</v>
      </c>
      <c r="R52" s="5">
        <f t="shared" si="19"/>
        <v>1</v>
      </c>
      <c r="S52" s="5">
        <f t="shared" si="20"/>
        <v>0</v>
      </c>
      <c r="T52" s="5">
        <f t="shared" si="21"/>
        <v>0</v>
      </c>
      <c r="U52" s="5">
        <f t="shared" si="22"/>
        <v>0</v>
      </c>
      <c r="V52" s="5">
        <f t="shared" si="23"/>
        <v>0</v>
      </c>
      <c r="W52" s="5">
        <f t="shared" si="24"/>
        <v>0</v>
      </c>
      <c r="X52" s="5">
        <f t="shared" si="25"/>
        <v>0</v>
      </c>
      <c r="Y52" s="5">
        <f t="shared" si="26"/>
        <v>0</v>
      </c>
      <c r="Z52" s="5">
        <f t="shared" si="27"/>
        <v>0</v>
      </c>
      <c r="AA52" s="5">
        <f t="shared" si="28"/>
        <v>0</v>
      </c>
      <c r="AB52" s="5">
        <f t="shared" si="29"/>
        <v>0</v>
      </c>
      <c r="AC52" s="5">
        <f t="shared" si="30"/>
        <v>0</v>
      </c>
      <c r="AD52" s="5">
        <f t="shared" si="31"/>
        <v>0</v>
      </c>
      <c r="AE52" s="5">
        <f t="shared" si="32"/>
        <v>0</v>
      </c>
      <c r="AF52" s="5">
        <f t="shared" si="33"/>
        <v>1</v>
      </c>
    </row>
    <row r="53" spans="1:32" ht="75.95" customHeight="1" x14ac:dyDescent="0.2">
      <c r="A53" s="4" t="s">
        <v>422</v>
      </c>
      <c r="B53" s="5">
        <v>52</v>
      </c>
      <c r="C53" s="4" t="s">
        <v>40</v>
      </c>
      <c r="D53" s="4" t="s">
        <v>423</v>
      </c>
      <c r="E53" s="4" t="s">
        <v>17</v>
      </c>
      <c r="F53" s="4"/>
      <c r="G53" s="4" t="s">
        <v>18</v>
      </c>
      <c r="H53" s="4" t="s">
        <v>30</v>
      </c>
      <c r="I53" s="4" t="s">
        <v>424</v>
      </c>
      <c r="J53" s="4" t="s">
        <v>425</v>
      </c>
      <c r="K53" s="4" t="s">
        <v>426</v>
      </c>
      <c r="L53" s="4" t="s">
        <v>427</v>
      </c>
      <c r="M53" s="4"/>
      <c r="N53" s="4" t="s">
        <v>87</v>
      </c>
      <c r="O53" s="4" t="s">
        <v>98</v>
      </c>
      <c r="P53" s="5">
        <f t="shared" si="17"/>
        <v>1</v>
      </c>
      <c r="Q53" s="5">
        <f t="shared" si="18"/>
        <v>0</v>
      </c>
      <c r="R53" s="5">
        <f t="shared" si="19"/>
        <v>1</v>
      </c>
      <c r="S53" s="5">
        <f t="shared" si="20"/>
        <v>0</v>
      </c>
      <c r="T53" s="5">
        <f t="shared" si="21"/>
        <v>0</v>
      </c>
      <c r="U53" s="5">
        <f t="shared" si="22"/>
        <v>0</v>
      </c>
      <c r="V53" s="5">
        <f t="shared" si="23"/>
        <v>0</v>
      </c>
      <c r="W53" s="5">
        <f t="shared" si="24"/>
        <v>0</v>
      </c>
      <c r="X53" s="5">
        <f t="shared" si="25"/>
        <v>0</v>
      </c>
      <c r="Y53" s="5">
        <f t="shared" si="26"/>
        <v>1</v>
      </c>
      <c r="Z53" s="5">
        <f t="shared" si="27"/>
        <v>0</v>
      </c>
      <c r="AA53" s="5">
        <f t="shared" si="28"/>
        <v>0</v>
      </c>
      <c r="AB53" s="5">
        <f t="shared" si="29"/>
        <v>0</v>
      </c>
      <c r="AC53" s="5">
        <f t="shared" si="30"/>
        <v>0</v>
      </c>
      <c r="AD53" s="5">
        <f t="shared" si="31"/>
        <v>0</v>
      </c>
      <c r="AE53" s="5">
        <f t="shared" si="32"/>
        <v>1</v>
      </c>
      <c r="AF53" s="5">
        <f t="shared" si="33"/>
        <v>0</v>
      </c>
    </row>
    <row r="54" spans="1:32" ht="75.95" customHeight="1" x14ac:dyDescent="0.2">
      <c r="A54" s="4" t="s">
        <v>428</v>
      </c>
      <c r="B54" s="5">
        <v>53</v>
      </c>
      <c r="C54" s="4" t="s">
        <v>40</v>
      </c>
      <c r="D54" s="4" t="s">
        <v>429</v>
      </c>
      <c r="E54" s="4" t="s">
        <v>17</v>
      </c>
      <c r="F54" s="4"/>
      <c r="G54" s="4" t="s">
        <v>18</v>
      </c>
      <c r="H54" s="4" t="s">
        <v>30</v>
      </c>
      <c r="I54" s="4" t="s">
        <v>430</v>
      </c>
      <c r="J54" s="4" t="s">
        <v>431</v>
      </c>
      <c r="K54" s="4" t="s">
        <v>432</v>
      </c>
      <c r="L54" s="4" t="s">
        <v>433</v>
      </c>
      <c r="M54" s="4"/>
      <c r="N54" s="4" t="s">
        <v>87</v>
      </c>
      <c r="O54" s="4" t="s">
        <v>98</v>
      </c>
      <c r="P54" s="5">
        <f t="shared" si="17"/>
        <v>1</v>
      </c>
      <c r="Q54" s="5">
        <f t="shared" si="18"/>
        <v>0</v>
      </c>
      <c r="R54" s="5">
        <f t="shared" si="19"/>
        <v>1</v>
      </c>
      <c r="S54" s="5">
        <f t="shared" si="20"/>
        <v>0</v>
      </c>
      <c r="T54" s="5">
        <f t="shared" si="21"/>
        <v>0</v>
      </c>
      <c r="U54" s="5">
        <f t="shared" si="22"/>
        <v>0</v>
      </c>
      <c r="V54" s="5">
        <f t="shared" si="23"/>
        <v>0</v>
      </c>
      <c r="W54" s="5">
        <f t="shared" si="24"/>
        <v>0</v>
      </c>
      <c r="X54" s="5">
        <f t="shared" si="25"/>
        <v>0</v>
      </c>
      <c r="Y54" s="5">
        <f t="shared" si="26"/>
        <v>1</v>
      </c>
      <c r="Z54" s="5">
        <f t="shared" si="27"/>
        <v>0</v>
      </c>
      <c r="AA54" s="5">
        <f t="shared" si="28"/>
        <v>0</v>
      </c>
      <c r="AB54" s="5">
        <f t="shared" si="29"/>
        <v>0</v>
      </c>
      <c r="AC54" s="5">
        <f t="shared" si="30"/>
        <v>0</v>
      </c>
      <c r="AD54" s="5">
        <f t="shared" si="31"/>
        <v>0</v>
      </c>
      <c r="AE54" s="5">
        <f t="shared" si="32"/>
        <v>1</v>
      </c>
      <c r="AF54" s="5">
        <f t="shared" si="33"/>
        <v>0</v>
      </c>
    </row>
    <row r="55" spans="1:32" ht="93.95" customHeight="1" x14ac:dyDescent="0.2">
      <c r="A55" s="4" t="s">
        <v>434</v>
      </c>
      <c r="B55" s="5">
        <v>54</v>
      </c>
      <c r="C55" s="4" t="s">
        <v>40</v>
      </c>
      <c r="D55" s="4" t="s">
        <v>435</v>
      </c>
      <c r="E55" s="4" t="s">
        <v>17</v>
      </c>
      <c r="F55" s="4" t="s">
        <v>29</v>
      </c>
      <c r="G55" s="4" t="s">
        <v>18</v>
      </c>
      <c r="H55" s="4" t="s">
        <v>92</v>
      </c>
      <c r="I55" s="4" t="s">
        <v>436</v>
      </c>
      <c r="J55" s="4" t="s">
        <v>437</v>
      </c>
      <c r="K55" s="4" t="s">
        <v>438</v>
      </c>
      <c r="L55" s="4" t="s">
        <v>439</v>
      </c>
      <c r="M55" s="4"/>
      <c r="N55" s="4" t="s">
        <v>87</v>
      </c>
      <c r="O55" s="4" t="s">
        <v>98</v>
      </c>
      <c r="P55" s="5">
        <f t="shared" si="17"/>
        <v>2</v>
      </c>
      <c r="Q55" s="5">
        <f t="shared" si="18"/>
        <v>0</v>
      </c>
      <c r="R55" s="5">
        <f t="shared" si="19"/>
        <v>1</v>
      </c>
      <c r="S55" s="5">
        <f t="shared" si="20"/>
        <v>0</v>
      </c>
      <c r="T55" s="5">
        <f t="shared" si="21"/>
        <v>0</v>
      </c>
      <c r="U55" s="5">
        <f t="shared" si="22"/>
        <v>0</v>
      </c>
      <c r="V55" s="5">
        <f t="shared" si="23"/>
        <v>1</v>
      </c>
      <c r="W55" s="5">
        <f t="shared" si="24"/>
        <v>0</v>
      </c>
      <c r="X55" s="5">
        <f t="shared" si="25"/>
        <v>0</v>
      </c>
      <c r="Y55" s="5">
        <f t="shared" si="26"/>
        <v>2</v>
      </c>
      <c r="Z55" s="5">
        <f t="shared" si="27"/>
        <v>0</v>
      </c>
      <c r="AA55" s="5">
        <f t="shared" si="28"/>
        <v>0</v>
      </c>
      <c r="AB55" s="5">
        <f t="shared" si="29"/>
        <v>0</v>
      </c>
      <c r="AC55" s="5">
        <f t="shared" si="30"/>
        <v>1</v>
      </c>
      <c r="AD55" s="5">
        <f t="shared" si="31"/>
        <v>0</v>
      </c>
      <c r="AE55" s="5">
        <f t="shared" si="32"/>
        <v>1</v>
      </c>
      <c r="AF55" s="5">
        <f t="shared" si="33"/>
        <v>0</v>
      </c>
    </row>
    <row r="56" spans="1:32" ht="75.95" customHeight="1" x14ac:dyDescent="0.2">
      <c r="A56" s="4" t="s">
        <v>440</v>
      </c>
      <c r="B56" s="5">
        <v>55</v>
      </c>
      <c r="C56" s="4" t="s">
        <v>40</v>
      </c>
      <c r="D56" s="4" t="s">
        <v>441</v>
      </c>
      <c r="E56" s="4" t="s">
        <v>17</v>
      </c>
      <c r="F56" s="4" t="s">
        <v>29</v>
      </c>
      <c r="G56" s="4" t="s">
        <v>18</v>
      </c>
      <c r="H56" s="4" t="s">
        <v>30</v>
      </c>
      <c r="I56" s="4" t="s">
        <v>442</v>
      </c>
      <c r="J56" s="4" t="s">
        <v>443</v>
      </c>
      <c r="K56" s="4" t="s">
        <v>444</v>
      </c>
      <c r="L56" s="4" t="s">
        <v>445</v>
      </c>
      <c r="M56" s="4"/>
      <c r="N56" s="4" t="s">
        <v>87</v>
      </c>
      <c r="O56" s="4" t="s">
        <v>98</v>
      </c>
      <c r="P56" s="5">
        <f t="shared" si="17"/>
        <v>2</v>
      </c>
      <c r="Q56" s="5">
        <f t="shared" si="18"/>
        <v>0</v>
      </c>
      <c r="R56" s="5">
        <f t="shared" si="19"/>
        <v>1</v>
      </c>
      <c r="S56" s="5">
        <f t="shared" si="20"/>
        <v>0</v>
      </c>
      <c r="T56" s="5">
        <f t="shared" si="21"/>
        <v>0</v>
      </c>
      <c r="U56" s="5">
        <f t="shared" si="22"/>
        <v>0</v>
      </c>
      <c r="V56" s="5">
        <f t="shared" si="23"/>
        <v>1</v>
      </c>
      <c r="W56" s="5">
        <f t="shared" si="24"/>
        <v>0</v>
      </c>
      <c r="X56" s="5">
        <f t="shared" si="25"/>
        <v>0</v>
      </c>
      <c r="Y56" s="5">
        <f t="shared" si="26"/>
        <v>1</v>
      </c>
      <c r="Z56" s="5">
        <f t="shared" si="27"/>
        <v>0</v>
      </c>
      <c r="AA56" s="5">
        <f t="shared" si="28"/>
        <v>0</v>
      </c>
      <c r="AB56" s="5">
        <f t="shared" si="29"/>
        <v>0</v>
      </c>
      <c r="AC56" s="5">
        <f t="shared" si="30"/>
        <v>0</v>
      </c>
      <c r="AD56" s="5">
        <f t="shared" si="31"/>
        <v>0</v>
      </c>
      <c r="AE56" s="5">
        <f t="shared" si="32"/>
        <v>1</v>
      </c>
      <c r="AF56" s="5">
        <f t="shared" si="33"/>
        <v>0</v>
      </c>
    </row>
    <row r="57" spans="1:32" ht="75.95" customHeight="1" x14ac:dyDescent="0.2">
      <c r="A57" s="4" t="s">
        <v>446</v>
      </c>
      <c r="B57" s="5">
        <v>56</v>
      </c>
      <c r="C57" s="4" t="s">
        <v>40</v>
      </c>
      <c r="D57" s="4" t="s">
        <v>447</v>
      </c>
      <c r="E57" s="4" t="s">
        <v>17</v>
      </c>
      <c r="F57" s="4"/>
      <c r="G57" s="4" t="s">
        <v>18</v>
      </c>
      <c r="H57" s="4" t="s">
        <v>30</v>
      </c>
      <c r="I57" s="4" t="s">
        <v>448</v>
      </c>
      <c r="J57" s="4" t="s">
        <v>449</v>
      </c>
      <c r="K57" s="4" t="s">
        <v>450</v>
      </c>
      <c r="L57" s="4" t="s">
        <v>451</v>
      </c>
      <c r="M57" s="4"/>
      <c r="N57" s="4" t="s">
        <v>87</v>
      </c>
      <c r="O57" s="4" t="s">
        <v>98</v>
      </c>
      <c r="P57" s="5">
        <f t="shared" si="17"/>
        <v>1</v>
      </c>
      <c r="Q57" s="5">
        <f t="shared" si="18"/>
        <v>0</v>
      </c>
      <c r="R57" s="5">
        <f t="shared" si="19"/>
        <v>1</v>
      </c>
      <c r="S57" s="5">
        <f t="shared" si="20"/>
        <v>0</v>
      </c>
      <c r="T57" s="5">
        <f t="shared" si="21"/>
        <v>0</v>
      </c>
      <c r="U57" s="5">
        <f t="shared" si="22"/>
        <v>0</v>
      </c>
      <c r="V57" s="5">
        <f t="shared" si="23"/>
        <v>0</v>
      </c>
      <c r="W57" s="5">
        <f t="shared" si="24"/>
        <v>0</v>
      </c>
      <c r="X57" s="5">
        <f t="shared" si="25"/>
        <v>0</v>
      </c>
      <c r="Y57" s="5">
        <f t="shared" si="26"/>
        <v>1</v>
      </c>
      <c r="Z57" s="5">
        <f t="shared" si="27"/>
        <v>0</v>
      </c>
      <c r="AA57" s="5">
        <f t="shared" si="28"/>
        <v>0</v>
      </c>
      <c r="AB57" s="5">
        <f t="shared" si="29"/>
        <v>0</v>
      </c>
      <c r="AC57" s="5">
        <f t="shared" si="30"/>
        <v>0</v>
      </c>
      <c r="AD57" s="5">
        <f t="shared" si="31"/>
        <v>0</v>
      </c>
      <c r="AE57" s="5">
        <f t="shared" si="32"/>
        <v>1</v>
      </c>
      <c r="AF57" s="5">
        <f t="shared" si="33"/>
        <v>0</v>
      </c>
    </row>
    <row r="58" spans="1:32" ht="75.95" customHeight="1" x14ac:dyDescent="0.2">
      <c r="A58" s="4" t="s">
        <v>452</v>
      </c>
      <c r="B58" s="5">
        <v>57</v>
      </c>
      <c r="C58" s="4" t="s">
        <v>40</v>
      </c>
      <c r="D58" s="4" t="s">
        <v>453</v>
      </c>
      <c r="E58" s="4" t="s">
        <v>23</v>
      </c>
      <c r="F58" s="4" t="s">
        <v>26</v>
      </c>
      <c r="G58" s="4" t="s">
        <v>24</v>
      </c>
      <c r="H58" s="4" t="s">
        <v>30</v>
      </c>
      <c r="I58" s="4" t="s">
        <v>454</v>
      </c>
      <c r="J58" s="4" t="s">
        <v>455</v>
      </c>
      <c r="K58" s="4" t="s">
        <v>456</v>
      </c>
      <c r="L58" s="4" t="s">
        <v>457</v>
      </c>
      <c r="M58" s="4"/>
      <c r="N58" s="4" t="s">
        <v>87</v>
      </c>
      <c r="O58" s="4" t="s">
        <v>98</v>
      </c>
      <c r="P58" s="5">
        <f t="shared" si="17"/>
        <v>2</v>
      </c>
      <c r="Q58" s="5">
        <f t="shared" si="18"/>
        <v>0</v>
      </c>
      <c r="R58" s="5">
        <f t="shared" si="19"/>
        <v>0</v>
      </c>
      <c r="S58" s="5">
        <f t="shared" si="20"/>
        <v>0</v>
      </c>
      <c r="T58" s="5">
        <f t="shared" si="21"/>
        <v>1</v>
      </c>
      <c r="U58" s="5">
        <f t="shared" si="22"/>
        <v>1</v>
      </c>
      <c r="V58" s="5">
        <f t="shared" si="23"/>
        <v>0</v>
      </c>
      <c r="W58" s="5">
        <f t="shared" si="24"/>
        <v>0</v>
      </c>
      <c r="X58" s="5">
        <f t="shared" si="25"/>
        <v>0</v>
      </c>
      <c r="Y58" s="5">
        <f t="shared" si="26"/>
        <v>1</v>
      </c>
      <c r="Z58" s="5">
        <f t="shared" si="27"/>
        <v>0</v>
      </c>
      <c r="AA58" s="5">
        <f t="shared" si="28"/>
        <v>0</v>
      </c>
      <c r="AB58" s="5">
        <f t="shared" si="29"/>
        <v>0</v>
      </c>
      <c r="AC58" s="5">
        <f t="shared" si="30"/>
        <v>0</v>
      </c>
      <c r="AD58" s="5">
        <f t="shared" si="31"/>
        <v>0</v>
      </c>
      <c r="AE58" s="5">
        <f t="shared" si="32"/>
        <v>1</v>
      </c>
      <c r="AF58" s="5">
        <f t="shared" si="33"/>
        <v>0</v>
      </c>
    </row>
    <row r="59" spans="1:32" ht="75.95" customHeight="1" x14ac:dyDescent="0.2">
      <c r="A59" s="4" t="s">
        <v>458</v>
      </c>
      <c r="B59" s="5">
        <v>58</v>
      </c>
      <c r="C59" s="4" t="s">
        <v>40</v>
      </c>
      <c r="D59" s="4" t="s">
        <v>459</v>
      </c>
      <c r="E59" s="4" t="s">
        <v>20</v>
      </c>
      <c r="F59" s="4" t="s">
        <v>29</v>
      </c>
      <c r="G59" s="4" t="s">
        <v>21</v>
      </c>
      <c r="H59" s="4" t="s">
        <v>30</v>
      </c>
      <c r="I59" s="4" t="s">
        <v>460</v>
      </c>
      <c r="J59" s="4" t="s">
        <v>461</v>
      </c>
      <c r="K59" s="4" t="s">
        <v>462</v>
      </c>
      <c r="L59" s="4" t="s">
        <v>463</v>
      </c>
      <c r="M59" s="4"/>
      <c r="N59" s="4" t="s">
        <v>87</v>
      </c>
      <c r="O59" s="4" t="s">
        <v>98</v>
      </c>
      <c r="P59" s="5">
        <f t="shared" si="17"/>
        <v>2</v>
      </c>
      <c r="Q59" s="5">
        <f t="shared" si="18"/>
        <v>0</v>
      </c>
      <c r="R59" s="5">
        <f t="shared" si="19"/>
        <v>0</v>
      </c>
      <c r="S59" s="5">
        <f t="shared" si="20"/>
        <v>1</v>
      </c>
      <c r="T59" s="5">
        <f t="shared" si="21"/>
        <v>0</v>
      </c>
      <c r="U59" s="5">
        <f t="shared" si="22"/>
        <v>0</v>
      </c>
      <c r="V59" s="5">
        <f t="shared" si="23"/>
        <v>1</v>
      </c>
      <c r="W59" s="5">
        <f t="shared" si="24"/>
        <v>0</v>
      </c>
      <c r="X59" s="5">
        <f t="shared" si="25"/>
        <v>0</v>
      </c>
      <c r="Y59" s="5">
        <f t="shared" si="26"/>
        <v>1</v>
      </c>
      <c r="Z59" s="5">
        <f t="shared" si="27"/>
        <v>0</v>
      </c>
      <c r="AA59" s="5">
        <f t="shared" si="28"/>
        <v>0</v>
      </c>
      <c r="AB59" s="5">
        <f t="shared" si="29"/>
        <v>0</v>
      </c>
      <c r="AC59" s="5">
        <f t="shared" si="30"/>
        <v>0</v>
      </c>
      <c r="AD59" s="5">
        <f t="shared" si="31"/>
        <v>0</v>
      </c>
      <c r="AE59" s="5">
        <f t="shared" si="32"/>
        <v>1</v>
      </c>
      <c r="AF59" s="5">
        <f t="shared" si="33"/>
        <v>0</v>
      </c>
    </row>
    <row r="60" spans="1:32" ht="75.95" customHeight="1" x14ac:dyDescent="0.2">
      <c r="A60" s="4" t="s">
        <v>464</v>
      </c>
      <c r="B60" s="5">
        <v>59</v>
      </c>
      <c r="C60" s="4" t="s">
        <v>40</v>
      </c>
      <c r="D60" s="4" t="s">
        <v>465</v>
      </c>
      <c r="E60" s="4" t="s">
        <v>23</v>
      </c>
      <c r="F60" s="4"/>
      <c r="G60" s="4" t="s">
        <v>24</v>
      </c>
      <c r="H60" s="4" t="s">
        <v>30</v>
      </c>
      <c r="I60" s="4" t="s">
        <v>466</v>
      </c>
      <c r="J60" s="4" t="s">
        <v>467</v>
      </c>
      <c r="K60" s="4" t="s">
        <v>468</v>
      </c>
      <c r="L60" s="4" t="s">
        <v>469</v>
      </c>
      <c r="M60" s="4"/>
      <c r="N60" s="4" t="s">
        <v>87</v>
      </c>
      <c r="O60" s="4" t="s">
        <v>98</v>
      </c>
      <c r="P60" s="5">
        <f t="shared" si="17"/>
        <v>1</v>
      </c>
      <c r="Q60" s="5">
        <f t="shared" si="18"/>
        <v>0</v>
      </c>
      <c r="R60" s="5">
        <f t="shared" si="19"/>
        <v>0</v>
      </c>
      <c r="S60" s="5">
        <f t="shared" si="20"/>
        <v>0</v>
      </c>
      <c r="T60" s="5">
        <f t="shared" si="21"/>
        <v>1</v>
      </c>
      <c r="U60" s="5">
        <f t="shared" si="22"/>
        <v>0</v>
      </c>
      <c r="V60" s="5">
        <f t="shared" si="23"/>
        <v>0</v>
      </c>
      <c r="W60" s="5">
        <f t="shared" si="24"/>
        <v>0</v>
      </c>
      <c r="X60" s="5">
        <f t="shared" si="25"/>
        <v>0</v>
      </c>
      <c r="Y60" s="5">
        <f t="shared" si="26"/>
        <v>1</v>
      </c>
      <c r="Z60" s="5">
        <f t="shared" si="27"/>
        <v>0</v>
      </c>
      <c r="AA60" s="5">
        <f t="shared" si="28"/>
        <v>0</v>
      </c>
      <c r="AB60" s="5">
        <f t="shared" si="29"/>
        <v>0</v>
      </c>
      <c r="AC60" s="5">
        <f t="shared" si="30"/>
        <v>0</v>
      </c>
      <c r="AD60" s="5">
        <f t="shared" si="31"/>
        <v>0</v>
      </c>
      <c r="AE60" s="5">
        <f t="shared" si="32"/>
        <v>1</v>
      </c>
      <c r="AF60" s="5">
        <f t="shared" si="33"/>
        <v>0</v>
      </c>
    </row>
    <row r="61" spans="1:32" ht="75.95" customHeight="1" x14ac:dyDescent="0.2">
      <c r="A61" s="4" t="s">
        <v>470</v>
      </c>
      <c r="B61" s="5">
        <v>60</v>
      </c>
      <c r="C61" s="4" t="s">
        <v>41</v>
      </c>
      <c r="D61" s="4" t="s">
        <v>471</v>
      </c>
      <c r="E61" s="4" t="s">
        <v>20</v>
      </c>
      <c r="F61" s="4" t="s">
        <v>17</v>
      </c>
      <c r="G61" s="4" t="s">
        <v>21</v>
      </c>
      <c r="H61" s="4" t="s">
        <v>239</v>
      </c>
      <c r="I61" s="4" t="s">
        <v>472</v>
      </c>
      <c r="J61" s="4" t="s">
        <v>473</v>
      </c>
      <c r="K61" s="4" t="s">
        <v>474</v>
      </c>
      <c r="L61" s="4" t="s">
        <v>475</v>
      </c>
      <c r="M61" s="4"/>
      <c r="N61" s="4" t="s">
        <v>87</v>
      </c>
      <c r="O61" s="4" t="s">
        <v>98</v>
      </c>
      <c r="P61" s="5">
        <f t="shared" si="17"/>
        <v>2</v>
      </c>
      <c r="Q61" s="5">
        <f t="shared" si="18"/>
        <v>0</v>
      </c>
      <c r="R61" s="5">
        <f t="shared" si="19"/>
        <v>1</v>
      </c>
      <c r="S61" s="5">
        <f t="shared" si="20"/>
        <v>1</v>
      </c>
      <c r="T61" s="5">
        <f t="shared" si="21"/>
        <v>0</v>
      </c>
      <c r="U61" s="5">
        <f t="shared" si="22"/>
        <v>0</v>
      </c>
      <c r="V61" s="5">
        <f t="shared" si="23"/>
        <v>0</v>
      </c>
      <c r="W61" s="5">
        <f t="shared" si="24"/>
        <v>0</v>
      </c>
      <c r="X61" s="5">
        <f t="shared" si="25"/>
        <v>0</v>
      </c>
      <c r="Y61" s="5">
        <f t="shared" si="26"/>
        <v>2</v>
      </c>
      <c r="Z61" s="5">
        <f t="shared" si="27"/>
        <v>0</v>
      </c>
      <c r="AA61" s="5">
        <f t="shared" si="28"/>
        <v>0</v>
      </c>
      <c r="AB61" s="5">
        <f t="shared" si="29"/>
        <v>1</v>
      </c>
      <c r="AC61" s="5">
        <f t="shared" si="30"/>
        <v>0</v>
      </c>
      <c r="AD61" s="5">
        <f t="shared" si="31"/>
        <v>0</v>
      </c>
      <c r="AE61" s="5">
        <f t="shared" si="32"/>
        <v>1</v>
      </c>
      <c r="AF61" s="5">
        <f t="shared" si="33"/>
        <v>0</v>
      </c>
    </row>
    <row r="62" spans="1:32" ht="122.1" customHeight="1" x14ac:dyDescent="0.2">
      <c r="A62" s="4" t="s">
        <v>476</v>
      </c>
      <c r="B62" s="5">
        <v>61</v>
      </c>
      <c r="C62" s="4" t="s">
        <v>41</v>
      </c>
      <c r="D62" s="4" t="s">
        <v>477</v>
      </c>
      <c r="E62" s="4" t="s">
        <v>20</v>
      </c>
      <c r="F62" s="4" t="s">
        <v>29</v>
      </c>
      <c r="G62" s="4" t="s">
        <v>21</v>
      </c>
      <c r="H62" s="4" t="s">
        <v>22</v>
      </c>
      <c r="I62" s="4" t="s">
        <v>478</v>
      </c>
      <c r="J62" s="4" t="s">
        <v>479</v>
      </c>
      <c r="K62" s="4" t="s">
        <v>480</v>
      </c>
      <c r="L62" s="4" t="s">
        <v>481</v>
      </c>
      <c r="M62" s="4"/>
      <c r="N62" s="4" t="s">
        <v>87</v>
      </c>
      <c r="O62" s="4" t="s">
        <v>98</v>
      </c>
      <c r="P62" s="5">
        <f t="shared" si="17"/>
        <v>2</v>
      </c>
      <c r="Q62" s="5">
        <f t="shared" si="18"/>
        <v>0</v>
      </c>
      <c r="R62" s="5">
        <f t="shared" si="19"/>
        <v>0</v>
      </c>
      <c r="S62" s="5">
        <f t="shared" si="20"/>
        <v>1</v>
      </c>
      <c r="T62" s="5">
        <f t="shared" si="21"/>
        <v>0</v>
      </c>
      <c r="U62" s="5">
        <f t="shared" si="22"/>
        <v>0</v>
      </c>
      <c r="V62" s="5">
        <f t="shared" si="23"/>
        <v>1</v>
      </c>
      <c r="W62" s="5">
        <f t="shared" si="24"/>
        <v>0</v>
      </c>
      <c r="X62" s="5">
        <f t="shared" si="25"/>
        <v>0</v>
      </c>
      <c r="Y62" s="5">
        <f t="shared" si="26"/>
        <v>1</v>
      </c>
      <c r="Z62" s="5">
        <f t="shared" si="27"/>
        <v>0</v>
      </c>
      <c r="AA62" s="5">
        <f t="shared" si="28"/>
        <v>0</v>
      </c>
      <c r="AB62" s="5">
        <f t="shared" si="29"/>
        <v>1</v>
      </c>
      <c r="AC62" s="5">
        <f t="shared" si="30"/>
        <v>0</v>
      </c>
      <c r="AD62" s="5">
        <f t="shared" si="31"/>
        <v>0</v>
      </c>
      <c r="AE62" s="5">
        <f t="shared" si="32"/>
        <v>0</v>
      </c>
      <c r="AF62" s="5">
        <f t="shared" si="33"/>
        <v>0</v>
      </c>
    </row>
    <row r="63" spans="1:32" ht="122.1" customHeight="1" x14ac:dyDescent="0.2">
      <c r="A63" s="4" t="s">
        <v>482</v>
      </c>
      <c r="B63" s="5">
        <v>62</v>
      </c>
      <c r="C63" s="4" t="s">
        <v>41</v>
      </c>
      <c r="D63" s="4" t="s">
        <v>483</v>
      </c>
      <c r="E63" s="4" t="s">
        <v>20</v>
      </c>
      <c r="F63" s="4" t="s">
        <v>29</v>
      </c>
      <c r="G63" s="4" t="s">
        <v>21</v>
      </c>
      <c r="H63" s="4" t="s">
        <v>239</v>
      </c>
      <c r="I63" s="4" t="s">
        <v>484</v>
      </c>
      <c r="J63" s="4" t="s">
        <v>485</v>
      </c>
      <c r="K63" s="4" t="s">
        <v>486</v>
      </c>
      <c r="L63" s="4" t="s">
        <v>487</v>
      </c>
      <c r="M63" s="4"/>
      <c r="N63" s="4" t="s">
        <v>87</v>
      </c>
      <c r="O63" s="4" t="s">
        <v>88</v>
      </c>
      <c r="P63" s="5">
        <f t="shared" si="17"/>
        <v>2</v>
      </c>
      <c r="Q63" s="5">
        <f t="shared" si="18"/>
        <v>0</v>
      </c>
      <c r="R63" s="5">
        <f t="shared" si="19"/>
        <v>0</v>
      </c>
      <c r="S63" s="5">
        <f t="shared" si="20"/>
        <v>1</v>
      </c>
      <c r="T63" s="5">
        <f t="shared" si="21"/>
        <v>0</v>
      </c>
      <c r="U63" s="5">
        <f t="shared" si="22"/>
        <v>0</v>
      </c>
      <c r="V63" s="5">
        <f t="shared" si="23"/>
        <v>1</v>
      </c>
      <c r="W63" s="5">
        <f t="shared" si="24"/>
        <v>0</v>
      </c>
      <c r="X63" s="5">
        <f t="shared" si="25"/>
        <v>0</v>
      </c>
      <c r="Y63" s="5">
        <f t="shared" si="26"/>
        <v>2</v>
      </c>
      <c r="Z63" s="5">
        <f t="shared" si="27"/>
        <v>0</v>
      </c>
      <c r="AA63" s="5">
        <f t="shared" si="28"/>
        <v>0</v>
      </c>
      <c r="AB63" s="5">
        <f t="shared" si="29"/>
        <v>1</v>
      </c>
      <c r="AC63" s="5">
        <f t="shared" si="30"/>
        <v>0</v>
      </c>
      <c r="AD63" s="5">
        <f t="shared" si="31"/>
        <v>0</v>
      </c>
      <c r="AE63" s="5">
        <f t="shared" si="32"/>
        <v>1</v>
      </c>
      <c r="AF63" s="5">
        <f t="shared" si="33"/>
        <v>0</v>
      </c>
    </row>
    <row r="64" spans="1:32" ht="75.95" customHeight="1" x14ac:dyDescent="0.2">
      <c r="A64" s="4" t="s">
        <v>488</v>
      </c>
      <c r="B64" s="5">
        <v>63</v>
      </c>
      <c r="C64" s="4" t="s">
        <v>41</v>
      </c>
      <c r="D64" s="4" t="s">
        <v>489</v>
      </c>
      <c r="E64" s="4" t="s">
        <v>17</v>
      </c>
      <c r="F64" s="4"/>
      <c r="G64" s="4" t="s">
        <v>18</v>
      </c>
      <c r="H64" s="4" t="s">
        <v>30</v>
      </c>
      <c r="I64" s="4" t="s">
        <v>490</v>
      </c>
      <c r="J64" s="4" t="s">
        <v>491</v>
      </c>
      <c r="K64" s="4" t="s">
        <v>492</v>
      </c>
      <c r="L64" s="4" t="s">
        <v>493</v>
      </c>
      <c r="M64" s="4"/>
      <c r="N64" s="4" t="s">
        <v>87</v>
      </c>
      <c r="O64" s="4" t="s">
        <v>98</v>
      </c>
      <c r="P64" s="5">
        <f t="shared" si="17"/>
        <v>1</v>
      </c>
      <c r="Q64" s="5">
        <f t="shared" si="18"/>
        <v>0</v>
      </c>
      <c r="R64" s="5">
        <f t="shared" si="19"/>
        <v>1</v>
      </c>
      <c r="S64" s="5">
        <f t="shared" si="20"/>
        <v>0</v>
      </c>
      <c r="T64" s="5">
        <f t="shared" si="21"/>
        <v>0</v>
      </c>
      <c r="U64" s="5">
        <f t="shared" si="22"/>
        <v>0</v>
      </c>
      <c r="V64" s="5">
        <f t="shared" si="23"/>
        <v>0</v>
      </c>
      <c r="W64" s="5">
        <f t="shared" si="24"/>
        <v>0</v>
      </c>
      <c r="X64" s="5">
        <f t="shared" si="25"/>
        <v>0</v>
      </c>
      <c r="Y64" s="5">
        <f t="shared" si="26"/>
        <v>1</v>
      </c>
      <c r="Z64" s="5">
        <f t="shared" si="27"/>
        <v>0</v>
      </c>
      <c r="AA64" s="5">
        <f t="shared" si="28"/>
        <v>0</v>
      </c>
      <c r="AB64" s="5">
        <f t="shared" si="29"/>
        <v>0</v>
      </c>
      <c r="AC64" s="5">
        <f t="shared" si="30"/>
        <v>0</v>
      </c>
      <c r="AD64" s="5">
        <f t="shared" si="31"/>
        <v>0</v>
      </c>
      <c r="AE64" s="5">
        <f t="shared" si="32"/>
        <v>1</v>
      </c>
      <c r="AF64" s="5">
        <f t="shared" si="33"/>
        <v>0</v>
      </c>
    </row>
    <row r="65" spans="1:32" ht="122.1" customHeight="1" x14ac:dyDescent="0.2">
      <c r="A65" s="4" t="s">
        <v>494</v>
      </c>
      <c r="B65" s="5">
        <v>64</v>
      </c>
      <c r="C65" s="4" t="s">
        <v>41</v>
      </c>
      <c r="D65" s="4" t="s">
        <v>495</v>
      </c>
      <c r="E65" s="4" t="s">
        <v>23</v>
      </c>
      <c r="F65" s="4" t="s">
        <v>496</v>
      </c>
      <c r="G65" s="4" t="s">
        <v>24</v>
      </c>
      <c r="H65" s="4" t="s">
        <v>308</v>
      </c>
      <c r="I65" s="4" t="s">
        <v>497</v>
      </c>
      <c r="J65" s="4" t="s">
        <v>498</v>
      </c>
      <c r="K65" s="4" t="s">
        <v>499</v>
      </c>
      <c r="L65" s="4" t="s">
        <v>500</v>
      </c>
      <c r="M65" s="4"/>
      <c r="N65" s="4" t="s">
        <v>87</v>
      </c>
      <c r="O65" s="4" t="s">
        <v>98</v>
      </c>
      <c r="P65" s="5">
        <f t="shared" si="17"/>
        <v>3</v>
      </c>
      <c r="Q65" s="5">
        <f t="shared" si="18"/>
        <v>0</v>
      </c>
      <c r="R65" s="5">
        <f t="shared" si="19"/>
        <v>1</v>
      </c>
      <c r="S65" s="5">
        <f t="shared" si="20"/>
        <v>0</v>
      </c>
      <c r="T65" s="5">
        <f t="shared" si="21"/>
        <v>1</v>
      </c>
      <c r="U65" s="5">
        <f t="shared" si="22"/>
        <v>0</v>
      </c>
      <c r="V65" s="5">
        <f t="shared" si="23"/>
        <v>1</v>
      </c>
      <c r="W65" s="5">
        <f t="shared" si="24"/>
        <v>0</v>
      </c>
      <c r="X65" s="5">
        <f t="shared" si="25"/>
        <v>0</v>
      </c>
      <c r="Y65" s="5">
        <f t="shared" si="26"/>
        <v>2</v>
      </c>
      <c r="Z65" s="5">
        <f t="shared" si="27"/>
        <v>0</v>
      </c>
      <c r="AA65" s="5">
        <f t="shared" si="28"/>
        <v>1</v>
      </c>
      <c r="AB65" s="5">
        <f t="shared" si="29"/>
        <v>0</v>
      </c>
      <c r="AC65" s="5">
        <f t="shared" si="30"/>
        <v>0</v>
      </c>
      <c r="AD65" s="5">
        <f t="shared" si="31"/>
        <v>0</v>
      </c>
      <c r="AE65" s="5">
        <f t="shared" si="32"/>
        <v>1</v>
      </c>
      <c r="AF65" s="5">
        <f t="shared" si="33"/>
        <v>0</v>
      </c>
    </row>
    <row r="66" spans="1:32" ht="122.1" customHeight="1" x14ac:dyDescent="0.2">
      <c r="A66" s="4" t="s">
        <v>501</v>
      </c>
      <c r="B66" s="5">
        <v>65</v>
      </c>
      <c r="C66" s="4" t="s">
        <v>41</v>
      </c>
      <c r="D66" s="4" t="s">
        <v>502</v>
      </c>
      <c r="E66" s="4" t="s">
        <v>17</v>
      </c>
      <c r="F66" s="4" t="s">
        <v>220</v>
      </c>
      <c r="G66" s="4" t="s">
        <v>18</v>
      </c>
      <c r="H66" s="4" t="s">
        <v>239</v>
      </c>
      <c r="I66" s="4" t="s">
        <v>503</v>
      </c>
      <c r="J66" s="4" t="s">
        <v>504</v>
      </c>
      <c r="K66" s="4" t="s">
        <v>505</v>
      </c>
      <c r="L66" s="4" t="s">
        <v>506</v>
      </c>
      <c r="M66" s="4"/>
      <c r="N66" s="4" t="s">
        <v>87</v>
      </c>
      <c r="O66" s="4" t="s">
        <v>98</v>
      </c>
      <c r="P66" s="5">
        <f t="shared" ref="P66:P97" si="34">SUM(Q66:X66)</f>
        <v>3</v>
      </c>
      <c r="Q66" s="5">
        <f t="shared" ref="Q66:Q83" si="35">IF(OR(E66="Delegation",ISNUMBER(SEARCH("; Delegation; ","; "&amp;F66&amp;"; "))),1,0)</f>
        <v>0</v>
      </c>
      <c r="R66" s="5">
        <f t="shared" ref="R66:R83" si="36">IF(OR(E66="Directed delegation",ISNUMBER(SEARCH("; Directed delegation; ","; "&amp;F66&amp;"; "))),1,0)</f>
        <v>1</v>
      </c>
      <c r="S66" s="5">
        <f t="shared" ref="S66:S83" si="37">IF(OR(E66="Evaluation",ISNUMBER(SEARCH("; Evaluation; ","; "&amp;F66&amp;"; "))),1,0)</f>
        <v>0</v>
      </c>
      <c r="T66" s="5">
        <f t="shared" ref="T66:T83" si="38">IF(OR(E66="Correction/Challenge",ISNUMBER(SEARCH("; Correction/Challenge; ","; "&amp;F66&amp;"; "))),1,0)</f>
        <v>0</v>
      </c>
      <c r="U66" s="5">
        <f t="shared" ref="U66:U83" si="39">IF(OR(E66="Redirection",ISNUMBER(SEARCH("; Redirection; ","; "&amp;F66&amp;"; "))),1,0)</f>
        <v>0</v>
      </c>
      <c r="V66" s="5">
        <f t="shared" ref="V66:V83" si="40">IF(OR(E66="Knowledge injection",ISNUMBER(SEARCH("; Knowledge injection; ","; "&amp;F66&amp;"; "))),1,0)</f>
        <v>1</v>
      </c>
      <c r="W66" s="5">
        <f t="shared" ref="W66:W83" si="41">IF(OR(E66="Selection/Rejection",ISNUMBER(SEARCH("; Selection/Rejection; ","; "&amp;F66&amp;"; "))),1,0)</f>
        <v>1</v>
      </c>
      <c r="X66" s="5">
        <f t="shared" ref="X66:X83" si="42">IF(OR(E66="Deliberation",ISNUMBER(SEARCH("; Deliberation; ","; "&amp;F66&amp;"; "))),1,0)</f>
        <v>0</v>
      </c>
      <c r="Y66" s="5">
        <f t="shared" ref="Y66:Y97" si="43">SUM(Z66:AE66)</f>
        <v>2</v>
      </c>
      <c r="Z66" s="5">
        <f t="shared" ref="Z66:Z83" si="44">IF(ISNUMBER(SEARCH("; domain correction; ","; "&amp;H66&amp;"; ")),1,0)</f>
        <v>0</v>
      </c>
      <c r="AA66" s="5">
        <f t="shared" ref="AA66:AA83" si="45">IF(ISNUMBER(SEARCH("; conceptual discrimination; ","; "&amp;H66&amp;"; ")),1,0)</f>
        <v>0</v>
      </c>
      <c r="AB66" s="5">
        <f t="shared" ref="AB66:AB83" si="46">IF(ISNUMBER(SEARCH("; evidence judgment; ","; "&amp;H66&amp;"; ")),1,0)</f>
        <v>1</v>
      </c>
      <c r="AC66" s="5">
        <f t="shared" ref="AC66:AC83" si="47">IF(ISNUMBER(SEARCH("; methodological judgment; ","; "&amp;H66&amp;"; ")),1,0)</f>
        <v>0</v>
      </c>
      <c r="AD66" s="5">
        <f t="shared" ref="AD66:AD83" si="48">IF(ISNUMBER(SEARCH("; argumentative judgment; ","; "&amp;H66&amp;"; ")),1,0)</f>
        <v>0</v>
      </c>
      <c r="AE66" s="5">
        <f t="shared" ref="AE66:AE83" si="49">IF(ISNUMBER(SEARCH("; genre/writing expertise; ","; "&amp;H66&amp;"; ")),1,0)</f>
        <v>1</v>
      </c>
      <c r="AF66" s="5">
        <f t="shared" ref="AF66:AF83" si="50">IF(ISNUMBER(SEARCH("; none; ","; "&amp;H66&amp;"; ")),1,0)</f>
        <v>0</v>
      </c>
    </row>
    <row r="67" spans="1:32" ht="122.1" customHeight="1" x14ac:dyDescent="0.2">
      <c r="A67" s="4" t="s">
        <v>507</v>
      </c>
      <c r="B67" s="5">
        <v>66</v>
      </c>
      <c r="C67" s="4" t="s">
        <v>41</v>
      </c>
      <c r="D67" s="4" t="s">
        <v>508</v>
      </c>
      <c r="E67" s="4" t="s">
        <v>34</v>
      </c>
      <c r="F67" s="4" t="s">
        <v>29</v>
      </c>
      <c r="G67" s="4" t="s">
        <v>27</v>
      </c>
      <c r="H67" s="4" t="s">
        <v>30</v>
      </c>
      <c r="I67" s="4" t="s">
        <v>509</v>
      </c>
      <c r="J67" s="4" t="s">
        <v>510</v>
      </c>
      <c r="K67" s="4" t="s">
        <v>511</v>
      </c>
      <c r="L67" s="4" t="s">
        <v>512</v>
      </c>
      <c r="M67" s="4"/>
      <c r="N67" s="4" t="s">
        <v>87</v>
      </c>
      <c r="O67" s="4" t="s">
        <v>98</v>
      </c>
      <c r="P67" s="5">
        <f t="shared" si="34"/>
        <v>2</v>
      </c>
      <c r="Q67" s="5">
        <f t="shared" si="35"/>
        <v>0</v>
      </c>
      <c r="R67" s="5">
        <f t="shared" si="36"/>
        <v>0</v>
      </c>
      <c r="S67" s="5">
        <f t="shared" si="37"/>
        <v>0</v>
      </c>
      <c r="T67" s="5">
        <f t="shared" si="38"/>
        <v>0</v>
      </c>
      <c r="U67" s="5">
        <f t="shared" si="39"/>
        <v>0</v>
      </c>
      <c r="V67" s="5">
        <f t="shared" si="40"/>
        <v>1</v>
      </c>
      <c r="W67" s="5">
        <f t="shared" si="41"/>
        <v>0</v>
      </c>
      <c r="X67" s="5">
        <f t="shared" si="42"/>
        <v>1</v>
      </c>
      <c r="Y67" s="5">
        <f t="shared" si="43"/>
        <v>1</v>
      </c>
      <c r="Z67" s="5">
        <f t="shared" si="44"/>
        <v>0</v>
      </c>
      <c r="AA67" s="5">
        <f t="shared" si="45"/>
        <v>0</v>
      </c>
      <c r="AB67" s="5">
        <f t="shared" si="46"/>
        <v>0</v>
      </c>
      <c r="AC67" s="5">
        <f t="shared" si="47"/>
        <v>0</v>
      </c>
      <c r="AD67" s="5">
        <f t="shared" si="48"/>
        <v>0</v>
      </c>
      <c r="AE67" s="5">
        <f t="shared" si="49"/>
        <v>1</v>
      </c>
      <c r="AF67" s="5">
        <f t="shared" si="50"/>
        <v>0</v>
      </c>
    </row>
    <row r="68" spans="1:32" ht="122.1" customHeight="1" x14ac:dyDescent="0.2">
      <c r="A68" s="4" t="s">
        <v>513</v>
      </c>
      <c r="B68" s="5">
        <v>67</v>
      </c>
      <c r="C68" s="4" t="s">
        <v>41</v>
      </c>
      <c r="D68" s="4" t="s">
        <v>514</v>
      </c>
      <c r="E68" s="4" t="s">
        <v>34</v>
      </c>
      <c r="F68" s="4" t="s">
        <v>29</v>
      </c>
      <c r="G68" s="4" t="s">
        <v>27</v>
      </c>
      <c r="H68" s="4" t="s">
        <v>102</v>
      </c>
      <c r="I68" s="4" t="s">
        <v>515</v>
      </c>
      <c r="J68" s="4" t="s">
        <v>516</v>
      </c>
      <c r="K68" s="4" t="s">
        <v>517</v>
      </c>
      <c r="L68" s="4" t="s">
        <v>518</v>
      </c>
      <c r="M68" s="4"/>
      <c r="N68" s="4" t="s">
        <v>87</v>
      </c>
      <c r="O68" s="4" t="s">
        <v>98</v>
      </c>
      <c r="P68" s="5">
        <f t="shared" si="34"/>
        <v>2</v>
      </c>
      <c r="Q68" s="5">
        <f t="shared" si="35"/>
        <v>0</v>
      </c>
      <c r="R68" s="5">
        <f t="shared" si="36"/>
        <v>0</v>
      </c>
      <c r="S68" s="5">
        <f t="shared" si="37"/>
        <v>0</v>
      </c>
      <c r="T68" s="5">
        <f t="shared" si="38"/>
        <v>0</v>
      </c>
      <c r="U68" s="5">
        <f t="shared" si="39"/>
        <v>0</v>
      </c>
      <c r="V68" s="5">
        <f t="shared" si="40"/>
        <v>1</v>
      </c>
      <c r="W68" s="5">
        <f t="shared" si="41"/>
        <v>0</v>
      </c>
      <c r="X68" s="5">
        <f t="shared" si="42"/>
        <v>1</v>
      </c>
      <c r="Y68" s="5">
        <f t="shared" si="43"/>
        <v>2</v>
      </c>
      <c r="Z68" s="5">
        <f t="shared" si="44"/>
        <v>0</v>
      </c>
      <c r="AA68" s="5">
        <f t="shared" si="45"/>
        <v>0</v>
      </c>
      <c r="AB68" s="5">
        <f t="shared" si="46"/>
        <v>0</v>
      </c>
      <c r="AC68" s="5">
        <f t="shared" si="47"/>
        <v>1</v>
      </c>
      <c r="AD68" s="5">
        <f t="shared" si="48"/>
        <v>1</v>
      </c>
      <c r="AE68" s="5">
        <f t="shared" si="49"/>
        <v>0</v>
      </c>
      <c r="AF68" s="5">
        <f t="shared" si="50"/>
        <v>0</v>
      </c>
    </row>
    <row r="69" spans="1:32" ht="75.95" customHeight="1" x14ac:dyDescent="0.2">
      <c r="A69" s="4" t="s">
        <v>519</v>
      </c>
      <c r="B69" s="5">
        <v>68</v>
      </c>
      <c r="C69" s="4" t="s">
        <v>41</v>
      </c>
      <c r="D69" s="4" t="s">
        <v>520</v>
      </c>
      <c r="E69" s="4" t="s">
        <v>17</v>
      </c>
      <c r="F69" s="4" t="s">
        <v>31</v>
      </c>
      <c r="G69" s="4" t="s">
        <v>18</v>
      </c>
      <c r="H69" s="4" t="s">
        <v>280</v>
      </c>
      <c r="I69" s="4" t="s">
        <v>521</v>
      </c>
      <c r="J69" s="4" t="s">
        <v>522</v>
      </c>
      <c r="K69" s="4" t="s">
        <v>523</v>
      </c>
      <c r="L69" s="4" t="s">
        <v>524</v>
      </c>
      <c r="M69" s="4"/>
      <c r="N69" s="4" t="s">
        <v>87</v>
      </c>
      <c r="O69" s="4" t="s">
        <v>98</v>
      </c>
      <c r="P69" s="5">
        <f t="shared" si="34"/>
        <v>2</v>
      </c>
      <c r="Q69" s="5">
        <f t="shared" si="35"/>
        <v>0</v>
      </c>
      <c r="R69" s="5">
        <f t="shared" si="36"/>
        <v>1</v>
      </c>
      <c r="S69" s="5">
        <f t="shared" si="37"/>
        <v>0</v>
      </c>
      <c r="T69" s="5">
        <f t="shared" si="38"/>
        <v>0</v>
      </c>
      <c r="U69" s="5">
        <f t="shared" si="39"/>
        <v>0</v>
      </c>
      <c r="V69" s="5">
        <f t="shared" si="40"/>
        <v>0</v>
      </c>
      <c r="W69" s="5">
        <f t="shared" si="41"/>
        <v>1</v>
      </c>
      <c r="X69" s="5">
        <f t="shared" si="42"/>
        <v>0</v>
      </c>
      <c r="Y69" s="5">
        <f t="shared" si="43"/>
        <v>2</v>
      </c>
      <c r="Z69" s="5">
        <f t="shared" si="44"/>
        <v>0</v>
      </c>
      <c r="AA69" s="5">
        <f t="shared" si="45"/>
        <v>0</v>
      </c>
      <c r="AB69" s="5">
        <f t="shared" si="46"/>
        <v>1</v>
      </c>
      <c r="AC69" s="5">
        <f t="shared" si="47"/>
        <v>1</v>
      </c>
      <c r="AD69" s="5">
        <f t="shared" si="48"/>
        <v>0</v>
      </c>
      <c r="AE69" s="5">
        <f t="shared" si="49"/>
        <v>0</v>
      </c>
      <c r="AF69" s="5">
        <f t="shared" si="50"/>
        <v>0</v>
      </c>
    </row>
    <row r="70" spans="1:32" ht="75.95" customHeight="1" x14ac:dyDescent="0.2">
      <c r="A70" s="4" t="s">
        <v>525</v>
      </c>
      <c r="B70" s="5">
        <v>69</v>
      </c>
      <c r="C70" s="4" t="s">
        <v>41</v>
      </c>
      <c r="D70" s="4" t="s">
        <v>526</v>
      </c>
      <c r="E70" s="4" t="s">
        <v>23</v>
      </c>
      <c r="F70" s="4" t="s">
        <v>110</v>
      </c>
      <c r="G70" s="4" t="s">
        <v>24</v>
      </c>
      <c r="H70" s="4" t="s">
        <v>22</v>
      </c>
      <c r="I70" s="4" t="s">
        <v>527</v>
      </c>
      <c r="J70" s="4" t="s">
        <v>528</v>
      </c>
      <c r="K70" s="4" t="s">
        <v>529</v>
      </c>
      <c r="L70" s="4" t="s">
        <v>530</v>
      </c>
      <c r="M70" s="4"/>
      <c r="N70" s="4" t="s">
        <v>87</v>
      </c>
      <c r="O70" s="4" t="s">
        <v>98</v>
      </c>
      <c r="P70" s="5">
        <f t="shared" si="34"/>
        <v>3</v>
      </c>
      <c r="Q70" s="5">
        <f t="shared" si="35"/>
        <v>0</v>
      </c>
      <c r="R70" s="5">
        <f t="shared" si="36"/>
        <v>1</v>
      </c>
      <c r="S70" s="5">
        <f t="shared" si="37"/>
        <v>0</v>
      </c>
      <c r="T70" s="5">
        <f t="shared" si="38"/>
        <v>1</v>
      </c>
      <c r="U70" s="5">
        <f t="shared" si="39"/>
        <v>0</v>
      </c>
      <c r="V70" s="5">
        <f t="shared" si="40"/>
        <v>1</v>
      </c>
      <c r="W70" s="5">
        <f t="shared" si="41"/>
        <v>0</v>
      </c>
      <c r="X70" s="5">
        <f t="shared" si="42"/>
        <v>0</v>
      </c>
      <c r="Y70" s="5">
        <f t="shared" si="43"/>
        <v>1</v>
      </c>
      <c r="Z70" s="5">
        <f t="shared" si="44"/>
        <v>0</v>
      </c>
      <c r="AA70" s="5">
        <f t="shared" si="45"/>
        <v>0</v>
      </c>
      <c r="AB70" s="5">
        <f t="shared" si="46"/>
        <v>1</v>
      </c>
      <c r="AC70" s="5">
        <f t="shared" si="47"/>
        <v>0</v>
      </c>
      <c r="AD70" s="5">
        <f t="shared" si="48"/>
        <v>0</v>
      </c>
      <c r="AE70" s="5">
        <f t="shared" si="49"/>
        <v>0</v>
      </c>
      <c r="AF70" s="5">
        <f t="shared" si="50"/>
        <v>0</v>
      </c>
    </row>
    <row r="71" spans="1:32" ht="75.95" customHeight="1" x14ac:dyDescent="0.2">
      <c r="A71" s="4" t="s">
        <v>531</v>
      </c>
      <c r="B71" s="5">
        <v>70</v>
      </c>
      <c r="C71" s="4" t="s">
        <v>41</v>
      </c>
      <c r="D71" s="4" t="s">
        <v>532</v>
      </c>
      <c r="E71" s="4" t="s">
        <v>23</v>
      </c>
      <c r="F71" s="4" t="s">
        <v>17</v>
      </c>
      <c r="G71" s="4" t="s">
        <v>24</v>
      </c>
      <c r="H71" s="4" t="s">
        <v>30</v>
      </c>
      <c r="I71" s="4" t="s">
        <v>533</v>
      </c>
      <c r="J71" s="4" t="s">
        <v>534</v>
      </c>
      <c r="K71" s="4" t="s">
        <v>535</v>
      </c>
      <c r="L71" s="4" t="s">
        <v>536</v>
      </c>
      <c r="M71" s="4"/>
      <c r="N71" s="4" t="s">
        <v>87</v>
      </c>
      <c r="O71" s="4" t="s">
        <v>98</v>
      </c>
      <c r="P71" s="5">
        <f t="shared" si="34"/>
        <v>2</v>
      </c>
      <c r="Q71" s="5">
        <f t="shared" si="35"/>
        <v>0</v>
      </c>
      <c r="R71" s="5">
        <f t="shared" si="36"/>
        <v>1</v>
      </c>
      <c r="S71" s="5">
        <f t="shared" si="37"/>
        <v>0</v>
      </c>
      <c r="T71" s="5">
        <f t="shared" si="38"/>
        <v>1</v>
      </c>
      <c r="U71" s="5">
        <f t="shared" si="39"/>
        <v>0</v>
      </c>
      <c r="V71" s="5">
        <f t="shared" si="40"/>
        <v>0</v>
      </c>
      <c r="W71" s="5">
        <f t="shared" si="41"/>
        <v>0</v>
      </c>
      <c r="X71" s="5">
        <f t="shared" si="42"/>
        <v>0</v>
      </c>
      <c r="Y71" s="5">
        <f t="shared" si="43"/>
        <v>1</v>
      </c>
      <c r="Z71" s="5">
        <f t="shared" si="44"/>
        <v>0</v>
      </c>
      <c r="AA71" s="5">
        <f t="shared" si="45"/>
        <v>0</v>
      </c>
      <c r="AB71" s="5">
        <f t="shared" si="46"/>
        <v>0</v>
      </c>
      <c r="AC71" s="5">
        <f t="shared" si="47"/>
        <v>0</v>
      </c>
      <c r="AD71" s="5">
        <f t="shared" si="48"/>
        <v>0</v>
      </c>
      <c r="AE71" s="5">
        <f t="shared" si="49"/>
        <v>1</v>
      </c>
      <c r="AF71" s="5">
        <f t="shared" si="50"/>
        <v>0</v>
      </c>
    </row>
    <row r="72" spans="1:32" ht="75.95" customHeight="1" x14ac:dyDescent="0.2">
      <c r="A72" s="4" t="s">
        <v>537</v>
      </c>
      <c r="B72" s="5">
        <v>71</v>
      </c>
      <c r="C72" s="4" t="s">
        <v>41</v>
      </c>
      <c r="D72" s="4" t="s">
        <v>538</v>
      </c>
      <c r="E72" s="4" t="s">
        <v>17</v>
      </c>
      <c r="F72" s="4"/>
      <c r="G72" s="4" t="s">
        <v>18</v>
      </c>
      <c r="H72" s="4" t="s">
        <v>239</v>
      </c>
      <c r="I72" s="4" t="s">
        <v>539</v>
      </c>
      <c r="J72" s="4" t="s">
        <v>540</v>
      </c>
      <c r="K72" s="4" t="s">
        <v>541</v>
      </c>
      <c r="L72" s="4" t="s">
        <v>542</v>
      </c>
      <c r="M72" s="4"/>
      <c r="N72" s="4" t="s">
        <v>87</v>
      </c>
      <c r="O72" s="4" t="s">
        <v>98</v>
      </c>
      <c r="P72" s="5">
        <f t="shared" si="34"/>
        <v>1</v>
      </c>
      <c r="Q72" s="5">
        <f t="shared" si="35"/>
        <v>0</v>
      </c>
      <c r="R72" s="5">
        <f t="shared" si="36"/>
        <v>1</v>
      </c>
      <c r="S72" s="5">
        <f t="shared" si="37"/>
        <v>0</v>
      </c>
      <c r="T72" s="5">
        <f t="shared" si="38"/>
        <v>0</v>
      </c>
      <c r="U72" s="5">
        <f t="shared" si="39"/>
        <v>0</v>
      </c>
      <c r="V72" s="5">
        <f t="shared" si="40"/>
        <v>0</v>
      </c>
      <c r="W72" s="5">
        <f t="shared" si="41"/>
        <v>0</v>
      </c>
      <c r="X72" s="5">
        <f t="shared" si="42"/>
        <v>0</v>
      </c>
      <c r="Y72" s="5">
        <f t="shared" si="43"/>
        <v>2</v>
      </c>
      <c r="Z72" s="5">
        <f t="shared" si="44"/>
        <v>0</v>
      </c>
      <c r="AA72" s="5">
        <f t="shared" si="45"/>
        <v>0</v>
      </c>
      <c r="AB72" s="5">
        <f t="shared" si="46"/>
        <v>1</v>
      </c>
      <c r="AC72" s="5">
        <f t="shared" si="47"/>
        <v>0</v>
      </c>
      <c r="AD72" s="5">
        <f t="shared" si="48"/>
        <v>0</v>
      </c>
      <c r="AE72" s="5">
        <f t="shared" si="49"/>
        <v>1</v>
      </c>
      <c r="AF72" s="5">
        <f t="shared" si="50"/>
        <v>0</v>
      </c>
    </row>
    <row r="73" spans="1:32" ht="75.95" customHeight="1" x14ac:dyDescent="0.2">
      <c r="A73" s="4" t="s">
        <v>543</v>
      </c>
      <c r="B73" s="5">
        <v>72</v>
      </c>
      <c r="C73" s="4" t="s">
        <v>41</v>
      </c>
      <c r="D73" s="4" t="s">
        <v>544</v>
      </c>
      <c r="E73" s="4" t="s">
        <v>23</v>
      </c>
      <c r="F73" s="4" t="s">
        <v>110</v>
      </c>
      <c r="G73" s="4" t="s">
        <v>24</v>
      </c>
      <c r="H73" s="4" t="s">
        <v>30</v>
      </c>
      <c r="I73" s="4" t="s">
        <v>545</v>
      </c>
      <c r="J73" s="4" t="s">
        <v>546</v>
      </c>
      <c r="K73" s="4" t="s">
        <v>547</v>
      </c>
      <c r="L73" s="4" t="s">
        <v>548</v>
      </c>
      <c r="M73" s="4"/>
      <c r="N73" s="4" t="s">
        <v>87</v>
      </c>
      <c r="O73" s="4" t="s">
        <v>98</v>
      </c>
      <c r="P73" s="5">
        <f t="shared" si="34"/>
        <v>3</v>
      </c>
      <c r="Q73" s="5">
        <f t="shared" si="35"/>
        <v>0</v>
      </c>
      <c r="R73" s="5">
        <f t="shared" si="36"/>
        <v>1</v>
      </c>
      <c r="S73" s="5">
        <f t="shared" si="37"/>
        <v>0</v>
      </c>
      <c r="T73" s="5">
        <f t="shared" si="38"/>
        <v>1</v>
      </c>
      <c r="U73" s="5">
        <f t="shared" si="39"/>
        <v>0</v>
      </c>
      <c r="V73" s="5">
        <f t="shared" si="40"/>
        <v>1</v>
      </c>
      <c r="W73" s="5">
        <f t="shared" si="41"/>
        <v>0</v>
      </c>
      <c r="X73" s="5">
        <f t="shared" si="42"/>
        <v>0</v>
      </c>
      <c r="Y73" s="5">
        <f t="shared" si="43"/>
        <v>1</v>
      </c>
      <c r="Z73" s="5">
        <f t="shared" si="44"/>
        <v>0</v>
      </c>
      <c r="AA73" s="5">
        <f t="shared" si="45"/>
        <v>0</v>
      </c>
      <c r="AB73" s="5">
        <f t="shared" si="46"/>
        <v>0</v>
      </c>
      <c r="AC73" s="5">
        <f t="shared" si="47"/>
        <v>0</v>
      </c>
      <c r="AD73" s="5">
        <f t="shared" si="48"/>
        <v>0</v>
      </c>
      <c r="AE73" s="5">
        <f t="shared" si="49"/>
        <v>1</v>
      </c>
      <c r="AF73" s="5">
        <f t="shared" si="50"/>
        <v>0</v>
      </c>
    </row>
    <row r="74" spans="1:32" ht="122.1" customHeight="1" x14ac:dyDescent="0.2">
      <c r="A74" s="4" t="s">
        <v>549</v>
      </c>
      <c r="B74" s="5">
        <v>73</v>
      </c>
      <c r="C74" s="4" t="s">
        <v>41</v>
      </c>
      <c r="D74" s="4" t="s">
        <v>550</v>
      </c>
      <c r="E74" s="4" t="s">
        <v>17</v>
      </c>
      <c r="F74" s="4" t="s">
        <v>29</v>
      </c>
      <c r="G74" s="4" t="s">
        <v>18</v>
      </c>
      <c r="H74" s="4" t="s">
        <v>30</v>
      </c>
      <c r="I74" s="4" t="s">
        <v>551</v>
      </c>
      <c r="J74" s="4" t="s">
        <v>552</v>
      </c>
      <c r="K74" s="4" t="s">
        <v>553</v>
      </c>
      <c r="L74" s="4" t="s">
        <v>554</v>
      </c>
      <c r="M74" s="4"/>
      <c r="N74" s="4" t="s">
        <v>87</v>
      </c>
      <c r="O74" s="4" t="s">
        <v>98</v>
      </c>
      <c r="P74" s="5">
        <f t="shared" si="34"/>
        <v>2</v>
      </c>
      <c r="Q74" s="5">
        <f t="shared" si="35"/>
        <v>0</v>
      </c>
      <c r="R74" s="5">
        <f t="shared" si="36"/>
        <v>1</v>
      </c>
      <c r="S74" s="5">
        <f t="shared" si="37"/>
        <v>0</v>
      </c>
      <c r="T74" s="5">
        <f t="shared" si="38"/>
        <v>0</v>
      </c>
      <c r="U74" s="5">
        <f t="shared" si="39"/>
        <v>0</v>
      </c>
      <c r="V74" s="5">
        <f t="shared" si="40"/>
        <v>1</v>
      </c>
      <c r="W74" s="5">
        <f t="shared" si="41"/>
        <v>0</v>
      </c>
      <c r="X74" s="5">
        <f t="shared" si="42"/>
        <v>0</v>
      </c>
      <c r="Y74" s="5">
        <f t="shared" si="43"/>
        <v>1</v>
      </c>
      <c r="Z74" s="5">
        <f t="shared" si="44"/>
        <v>0</v>
      </c>
      <c r="AA74" s="5">
        <f t="shared" si="45"/>
        <v>0</v>
      </c>
      <c r="AB74" s="5">
        <f t="shared" si="46"/>
        <v>0</v>
      </c>
      <c r="AC74" s="5">
        <f t="shared" si="47"/>
        <v>0</v>
      </c>
      <c r="AD74" s="5">
        <f t="shared" si="48"/>
        <v>0</v>
      </c>
      <c r="AE74" s="5">
        <f t="shared" si="49"/>
        <v>1</v>
      </c>
      <c r="AF74" s="5">
        <f t="shared" si="50"/>
        <v>0</v>
      </c>
    </row>
    <row r="75" spans="1:32" ht="75.95" customHeight="1" x14ac:dyDescent="0.2">
      <c r="A75" s="4" t="s">
        <v>555</v>
      </c>
      <c r="B75" s="5">
        <v>74</v>
      </c>
      <c r="C75" s="4" t="s">
        <v>41</v>
      </c>
      <c r="D75" s="4" t="s">
        <v>556</v>
      </c>
      <c r="E75" s="4" t="s">
        <v>20</v>
      </c>
      <c r="F75" s="4" t="s">
        <v>17</v>
      </c>
      <c r="G75" s="4" t="s">
        <v>21</v>
      </c>
      <c r="H75" s="4" t="s">
        <v>239</v>
      </c>
      <c r="I75" s="4" t="s">
        <v>557</v>
      </c>
      <c r="J75" s="4" t="s">
        <v>558</v>
      </c>
      <c r="K75" s="4" t="s">
        <v>559</v>
      </c>
      <c r="L75" s="4" t="s">
        <v>560</v>
      </c>
      <c r="M75" s="4"/>
      <c r="N75" s="4" t="s">
        <v>87</v>
      </c>
      <c r="O75" s="4" t="s">
        <v>98</v>
      </c>
      <c r="P75" s="5">
        <f t="shared" si="34"/>
        <v>2</v>
      </c>
      <c r="Q75" s="5">
        <f t="shared" si="35"/>
        <v>0</v>
      </c>
      <c r="R75" s="5">
        <f t="shared" si="36"/>
        <v>1</v>
      </c>
      <c r="S75" s="5">
        <f t="shared" si="37"/>
        <v>1</v>
      </c>
      <c r="T75" s="5">
        <f t="shared" si="38"/>
        <v>0</v>
      </c>
      <c r="U75" s="5">
        <f t="shared" si="39"/>
        <v>0</v>
      </c>
      <c r="V75" s="5">
        <f t="shared" si="40"/>
        <v>0</v>
      </c>
      <c r="W75" s="5">
        <f t="shared" si="41"/>
        <v>0</v>
      </c>
      <c r="X75" s="5">
        <f t="shared" si="42"/>
        <v>0</v>
      </c>
      <c r="Y75" s="5">
        <f t="shared" si="43"/>
        <v>2</v>
      </c>
      <c r="Z75" s="5">
        <f t="shared" si="44"/>
        <v>0</v>
      </c>
      <c r="AA75" s="5">
        <f t="shared" si="45"/>
        <v>0</v>
      </c>
      <c r="AB75" s="5">
        <f t="shared" si="46"/>
        <v>1</v>
      </c>
      <c r="AC75" s="5">
        <f t="shared" si="47"/>
        <v>0</v>
      </c>
      <c r="AD75" s="5">
        <f t="shared" si="48"/>
        <v>0</v>
      </c>
      <c r="AE75" s="5">
        <f t="shared" si="49"/>
        <v>1</v>
      </c>
      <c r="AF75" s="5">
        <f t="shared" si="50"/>
        <v>0</v>
      </c>
    </row>
    <row r="76" spans="1:32" ht="75.95" customHeight="1" x14ac:dyDescent="0.2">
      <c r="A76" s="4" t="s">
        <v>561</v>
      </c>
      <c r="B76" s="5">
        <v>75</v>
      </c>
      <c r="C76" s="4" t="s">
        <v>41</v>
      </c>
      <c r="D76" s="4" t="s">
        <v>562</v>
      </c>
      <c r="E76" s="4" t="s">
        <v>34</v>
      </c>
      <c r="F76" s="4"/>
      <c r="G76" s="4" t="s">
        <v>27</v>
      </c>
      <c r="H76" s="4" t="s">
        <v>30</v>
      </c>
      <c r="I76" s="4" t="s">
        <v>563</v>
      </c>
      <c r="J76" s="4" t="s">
        <v>564</v>
      </c>
      <c r="K76" s="4" t="s">
        <v>565</v>
      </c>
      <c r="L76" s="4" t="s">
        <v>566</v>
      </c>
      <c r="M76" s="4"/>
      <c r="N76" s="4" t="s">
        <v>87</v>
      </c>
      <c r="O76" s="4" t="s">
        <v>98</v>
      </c>
      <c r="P76" s="5">
        <f t="shared" si="34"/>
        <v>1</v>
      </c>
      <c r="Q76" s="5">
        <f t="shared" si="35"/>
        <v>0</v>
      </c>
      <c r="R76" s="5">
        <f t="shared" si="36"/>
        <v>0</v>
      </c>
      <c r="S76" s="5">
        <f t="shared" si="37"/>
        <v>0</v>
      </c>
      <c r="T76" s="5">
        <f t="shared" si="38"/>
        <v>0</v>
      </c>
      <c r="U76" s="5">
        <f t="shared" si="39"/>
        <v>0</v>
      </c>
      <c r="V76" s="5">
        <f t="shared" si="40"/>
        <v>0</v>
      </c>
      <c r="W76" s="5">
        <f t="shared" si="41"/>
        <v>0</v>
      </c>
      <c r="X76" s="5">
        <f t="shared" si="42"/>
        <v>1</v>
      </c>
      <c r="Y76" s="5">
        <f t="shared" si="43"/>
        <v>1</v>
      </c>
      <c r="Z76" s="5">
        <f t="shared" si="44"/>
        <v>0</v>
      </c>
      <c r="AA76" s="5">
        <f t="shared" si="45"/>
        <v>0</v>
      </c>
      <c r="AB76" s="5">
        <f t="shared" si="46"/>
        <v>0</v>
      </c>
      <c r="AC76" s="5">
        <f t="shared" si="47"/>
        <v>0</v>
      </c>
      <c r="AD76" s="5">
        <f t="shared" si="48"/>
        <v>0</v>
      </c>
      <c r="AE76" s="5">
        <f t="shared" si="49"/>
        <v>1</v>
      </c>
      <c r="AF76" s="5">
        <f t="shared" si="50"/>
        <v>0</v>
      </c>
    </row>
    <row r="77" spans="1:32" ht="122.1" customHeight="1" x14ac:dyDescent="0.2">
      <c r="A77" s="4" t="s">
        <v>567</v>
      </c>
      <c r="B77" s="5">
        <v>76</v>
      </c>
      <c r="C77" s="4" t="s">
        <v>42</v>
      </c>
      <c r="D77" s="4" t="s">
        <v>568</v>
      </c>
      <c r="E77" s="4" t="s">
        <v>17</v>
      </c>
      <c r="F77" s="4" t="s">
        <v>29</v>
      </c>
      <c r="G77" s="4" t="s">
        <v>18</v>
      </c>
      <c r="H77" s="4" t="s">
        <v>30</v>
      </c>
      <c r="I77" s="4" t="s">
        <v>569</v>
      </c>
      <c r="J77" s="4" t="s">
        <v>570</v>
      </c>
      <c r="K77" s="4" t="s">
        <v>571</v>
      </c>
      <c r="L77" s="4" t="s">
        <v>572</v>
      </c>
      <c r="M77" s="4"/>
      <c r="N77" s="4" t="s">
        <v>87</v>
      </c>
      <c r="O77" s="4" t="s">
        <v>98</v>
      </c>
      <c r="P77" s="5">
        <f t="shared" si="34"/>
        <v>2</v>
      </c>
      <c r="Q77" s="5">
        <f t="shared" si="35"/>
        <v>0</v>
      </c>
      <c r="R77" s="5">
        <f t="shared" si="36"/>
        <v>1</v>
      </c>
      <c r="S77" s="5">
        <f t="shared" si="37"/>
        <v>0</v>
      </c>
      <c r="T77" s="5">
        <f t="shared" si="38"/>
        <v>0</v>
      </c>
      <c r="U77" s="5">
        <f t="shared" si="39"/>
        <v>0</v>
      </c>
      <c r="V77" s="5">
        <f t="shared" si="40"/>
        <v>1</v>
      </c>
      <c r="W77" s="5">
        <f t="shared" si="41"/>
        <v>0</v>
      </c>
      <c r="X77" s="5">
        <f t="shared" si="42"/>
        <v>0</v>
      </c>
      <c r="Y77" s="5">
        <f t="shared" si="43"/>
        <v>1</v>
      </c>
      <c r="Z77" s="5">
        <f t="shared" si="44"/>
        <v>0</v>
      </c>
      <c r="AA77" s="5">
        <f t="shared" si="45"/>
        <v>0</v>
      </c>
      <c r="AB77" s="5">
        <f t="shared" si="46"/>
        <v>0</v>
      </c>
      <c r="AC77" s="5">
        <f t="shared" si="47"/>
        <v>0</v>
      </c>
      <c r="AD77" s="5">
        <f t="shared" si="48"/>
        <v>0</v>
      </c>
      <c r="AE77" s="5">
        <f t="shared" si="49"/>
        <v>1</v>
      </c>
      <c r="AF77" s="5">
        <f t="shared" si="50"/>
        <v>0</v>
      </c>
    </row>
    <row r="78" spans="1:32" ht="122.1" customHeight="1" x14ac:dyDescent="0.2">
      <c r="A78" s="4" t="s">
        <v>573</v>
      </c>
      <c r="B78" s="5">
        <v>77</v>
      </c>
      <c r="C78" s="4" t="s">
        <v>42</v>
      </c>
      <c r="D78" s="4" t="s">
        <v>574</v>
      </c>
      <c r="E78" s="4" t="s">
        <v>17</v>
      </c>
      <c r="F78" s="4" t="s">
        <v>29</v>
      </c>
      <c r="G78" s="4" t="s">
        <v>18</v>
      </c>
      <c r="H78" s="4" t="s">
        <v>92</v>
      </c>
      <c r="I78" s="4" t="s">
        <v>575</v>
      </c>
      <c r="J78" s="4" t="s">
        <v>576</v>
      </c>
      <c r="K78" s="4" t="s">
        <v>577</v>
      </c>
      <c r="L78" s="4" t="s">
        <v>578</v>
      </c>
      <c r="M78" s="4" t="s">
        <v>579</v>
      </c>
      <c r="N78" s="4" t="s">
        <v>87</v>
      </c>
      <c r="O78" s="4" t="s">
        <v>98</v>
      </c>
      <c r="P78" s="5">
        <f t="shared" si="34"/>
        <v>2</v>
      </c>
      <c r="Q78" s="5">
        <f t="shared" si="35"/>
        <v>0</v>
      </c>
      <c r="R78" s="5">
        <f t="shared" si="36"/>
        <v>1</v>
      </c>
      <c r="S78" s="5">
        <f t="shared" si="37"/>
        <v>0</v>
      </c>
      <c r="T78" s="5">
        <f t="shared" si="38"/>
        <v>0</v>
      </c>
      <c r="U78" s="5">
        <f t="shared" si="39"/>
        <v>0</v>
      </c>
      <c r="V78" s="5">
        <f t="shared" si="40"/>
        <v>1</v>
      </c>
      <c r="W78" s="5">
        <f t="shared" si="41"/>
        <v>0</v>
      </c>
      <c r="X78" s="5">
        <f t="shared" si="42"/>
        <v>0</v>
      </c>
      <c r="Y78" s="5">
        <f t="shared" si="43"/>
        <v>2</v>
      </c>
      <c r="Z78" s="5">
        <f t="shared" si="44"/>
        <v>0</v>
      </c>
      <c r="AA78" s="5">
        <f t="shared" si="45"/>
        <v>0</v>
      </c>
      <c r="AB78" s="5">
        <f t="shared" si="46"/>
        <v>0</v>
      </c>
      <c r="AC78" s="5">
        <f t="shared" si="47"/>
        <v>1</v>
      </c>
      <c r="AD78" s="5">
        <f t="shared" si="48"/>
        <v>0</v>
      </c>
      <c r="AE78" s="5">
        <f t="shared" si="49"/>
        <v>1</v>
      </c>
      <c r="AF78" s="5">
        <f t="shared" si="50"/>
        <v>0</v>
      </c>
    </row>
    <row r="79" spans="1:32" ht="80.099999999999994" customHeight="1" x14ac:dyDescent="0.2">
      <c r="A79" s="4" t="s">
        <v>580</v>
      </c>
      <c r="B79" s="5">
        <v>78</v>
      </c>
      <c r="C79" s="4" t="s">
        <v>42</v>
      </c>
      <c r="D79" s="4" t="s">
        <v>581</v>
      </c>
      <c r="E79" s="4" t="s">
        <v>17</v>
      </c>
      <c r="F79" s="4" t="s">
        <v>29</v>
      </c>
      <c r="G79" s="4" t="s">
        <v>18</v>
      </c>
      <c r="H79" s="4" t="s">
        <v>30</v>
      </c>
      <c r="I79" s="4" t="s">
        <v>582</v>
      </c>
      <c r="J79" s="4" t="s">
        <v>583</v>
      </c>
      <c r="K79" s="4" t="s">
        <v>584</v>
      </c>
      <c r="L79" s="4" t="s">
        <v>585</v>
      </c>
      <c r="M79" s="4" t="s">
        <v>137</v>
      </c>
      <c r="N79" s="4" t="s">
        <v>87</v>
      </c>
      <c r="O79" s="4" t="s">
        <v>98</v>
      </c>
      <c r="P79" s="5">
        <f t="shared" si="34"/>
        <v>2</v>
      </c>
      <c r="Q79" s="5">
        <f t="shared" si="35"/>
        <v>0</v>
      </c>
      <c r="R79" s="5">
        <f t="shared" si="36"/>
        <v>1</v>
      </c>
      <c r="S79" s="5">
        <f t="shared" si="37"/>
        <v>0</v>
      </c>
      <c r="T79" s="5">
        <f t="shared" si="38"/>
        <v>0</v>
      </c>
      <c r="U79" s="5">
        <f t="shared" si="39"/>
        <v>0</v>
      </c>
      <c r="V79" s="5">
        <f t="shared" si="40"/>
        <v>1</v>
      </c>
      <c r="W79" s="5">
        <f t="shared" si="41"/>
        <v>0</v>
      </c>
      <c r="X79" s="5">
        <f t="shared" si="42"/>
        <v>0</v>
      </c>
      <c r="Y79" s="5">
        <f t="shared" si="43"/>
        <v>1</v>
      </c>
      <c r="Z79" s="5">
        <f t="shared" si="44"/>
        <v>0</v>
      </c>
      <c r="AA79" s="5">
        <f t="shared" si="45"/>
        <v>0</v>
      </c>
      <c r="AB79" s="5">
        <f t="shared" si="46"/>
        <v>0</v>
      </c>
      <c r="AC79" s="5">
        <f t="shared" si="47"/>
        <v>0</v>
      </c>
      <c r="AD79" s="5">
        <f t="shared" si="48"/>
        <v>0</v>
      </c>
      <c r="AE79" s="5">
        <f t="shared" si="49"/>
        <v>1</v>
      </c>
      <c r="AF79" s="5">
        <f t="shared" si="50"/>
        <v>0</v>
      </c>
    </row>
    <row r="80" spans="1:32" ht="75.95" customHeight="1" x14ac:dyDescent="0.2">
      <c r="A80" s="4" t="s">
        <v>586</v>
      </c>
      <c r="B80" s="5">
        <v>79</v>
      </c>
      <c r="C80" s="4" t="s">
        <v>42</v>
      </c>
      <c r="D80" s="4" t="s">
        <v>587</v>
      </c>
      <c r="E80" s="4" t="s">
        <v>23</v>
      </c>
      <c r="F80" s="4" t="s">
        <v>17</v>
      </c>
      <c r="G80" s="4" t="s">
        <v>24</v>
      </c>
      <c r="H80" s="4" t="s">
        <v>30</v>
      </c>
      <c r="I80" s="4" t="s">
        <v>588</v>
      </c>
      <c r="J80" s="4" t="s">
        <v>589</v>
      </c>
      <c r="K80" s="4" t="s">
        <v>590</v>
      </c>
      <c r="L80" s="4" t="s">
        <v>591</v>
      </c>
      <c r="M80" s="4"/>
      <c r="N80" s="4" t="s">
        <v>87</v>
      </c>
      <c r="O80" s="4" t="s">
        <v>98</v>
      </c>
      <c r="P80" s="5">
        <f t="shared" si="34"/>
        <v>2</v>
      </c>
      <c r="Q80" s="5">
        <f t="shared" si="35"/>
        <v>0</v>
      </c>
      <c r="R80" s="5">
        <f t="shared" si="36"/>
        <v>1</v>
      </c>
      <c r="S80" s="5">
        <f t="shared" si="37"/>
        <v>0</v>
      </c>
      <c r="T80" s="5">
        <f t="shared" si="38"/>
        <v>1</v>
      </c>
      <c r="U80" s="5">
        <f t="shared" si="39"/>
        <v>0</v>
      </c>
      <c r="V80" s="5">
        <f t="shared" si="40"/>
        <v>0</v>
      </c>
      <c r="W80" s="5">
        <f t="shared" si="41"/>
        <v>0</v>
      </c>
      <c r="X80" s="5">
        <f t="shared" si="42"/>
        <v>0</v>
      </c>
      <c r="Y80" s="5">
        <f t="shared" si="43"/>
        <v>1</v>
      </c>
      <c r="Z80" s="5">
        <f t="shared" si="44"/>
        <v>0</v>
      </c>
      <c r="AA80" s="5">
        <f t="shared" si="45"/>
        <v>0</v>
      </c>
      <c r="AB80" s="5">
        <f t="shared" si="46"/>
        <v>0</v>
      </c>
      <c r="AC80" s="5">
        <f t="shared" si="47"/>
        <v>0</v>
      </c>
      <c r="AD80" s="5">
        <f t="shared" si="48"/>
        <v>0</v>
      </c>
      <c r="AE80" s="5">
        <f t="shared" si="49"/>
        <v>1</v>
      </c>
      <c r="AF80" s="5">
        <f t="shared" si="50"/>
        <v>0</v>
      </c>
    </row>
    <row r="81" spans="1:32" ht="122.1" customHeight="1" x14ac:dyDescent="0.2">
      <c r="A81" s="4" t="s">
        <v>592</v>
      </c>
      <c r="B81" s="5">
        <v>80</v>
      </c>
      <c r="C81" s="4" t="s">
        <v>43</v>
      </c>
      <c r="D81" s="4" t="s">
        <v>593</v>
      </c>
      <c r="E81" s="4" t="s">
        <v>34</v>
      </c>
      <c r="F81" s="4" t="s">
        <v>29</v>
      </c>
      <c r="G81" s="4" t="s">
        <v>27</v>
      </c>
      <c r="H81" s="4" t="s">
        <v>169</v>
      </c>
      <c r="I81" s="4" t="s">
        <v>594</v>
      </c>
      <c r="J81" s="4" t="s">
        <v>595</v>
      </c>
      <c r="K81" s="4" t="s">
        <v>596</v>
      </c>
      <c r="L81" s="4" t="s">
        <v>597</v>
      </c>
      <c r="M81" s="4" t="s">
        <v>598</v>
      </c>
      <c r="N81" s="4" t="s">
        <v>87</v>
      </c>
      <c r="O81" s="4" t="s">
        <v>98</v>
      </c>
      <c r="P81" s="5">
        <f t="shared" si="34"/>
        <v>2</v>
      </c>
      <c r="Q81" s="5">
        <f t="shared" si="35"/>
        <v>0</v>
      </c>
      <c r="R81" s="5">
        <f t="shared" si="36"/>
        <v>0</v>
      </c>
      <c r="S81" s="5">
        <f t="shared" si="37"/>
        <v>0</v>
      </c>
      <c r="T81" s="5">
        <f t="shared" si="38"/>
        <v>0</v>
      </c>
      <c r="U81" s="5">
        <f t="shared" si="39"/>
        <v>0</v>
      </c>
      <c r="V81" s="5">
        <f t="shared" si="40"/>
        <v>1</v>
      </c>
      <c r="W81" s="5">
        <f t="shared" si="41"/>
        <v>0</v>
      </c>
      <c r="X81" s="5">
        <f t="shared" si="42"/>
        <v>1</v>
      </c>
      <c r="Y81" s="5">
        <f t="shared" si="43"/>
        <v>3</v>
      </c>
      <c r="Z81" s="5">
        <f t="shared" si="44"/>
        <v>0</v>
      </c>
      <c r="AA81" s="5">
        <f t="shared" si="45"/>
        <v>1</v>
      </c>
      <c r="AB81" s="5">
        <f t="shared" si="46"/>
        <v>0</v>
      </c>
      <c r="AC81" s="5">
        <f t="shared" si="47"/>
        <v>1</v>
      </c>
      <c r="AD81" s="5">
        <f t="shared" si="48"/>
        <v>1</v>
      </c>
      <c r="AE81" s="5">
        <f t="shared" si="49"/>
        <v>0</v>
      </c>
      <c r="AF81" s="5">
        <f t="shared" si="50"/>
        <v>0</v>
      </c>
    </row>
    <row r="82" spans="1:32" ht="75.95" customHeight="1" x14ac:dyDescent="0.2">
      <c r="A82" s="4" t="s">
        <v>599</v>
      </c>
      <c r="B82" s="5">
        <v>81</v>
      </c>
      <c r="C82" s="4" t="s">
        <v>43</v>
      </c>
      <c r="D82" s="4" t="s">
        <v>600</v>
      </c>
      <c r="E82" s="4" t="s">
        <v>17</v>
      </c>
      <c r="F82" s="4"/>
      <c r="G82" s="4" t="s">
        <v>18</v>
      </c>
      <c r="H82" s="4" t="s">
        <v>30</v>
      </c>
      <c r="I82" s="4" t="s">
        <v>601</v>
      </c>
      <c r="J82" s="4" t="s">
        <v>602</v>
      </c>
      <c r="K82" s="4" t="s">
        <v>603</v>
      </c>
      <c r="L82" s="4" t="s">
        <v>604</v>
      </c>
      <c r="M82" s="4"/>
      <c r="N82" s="4" t="s">
        <v>87</v>
      </c>
      <c r="O82" s="4" t="s">
        <v>98</v>
      </c>
      <c r="P82" s="5">
        <f t="shared" si="34"/>
        <v>1</v>
      </c>
      <c r="Q82" s="5">
        <f t="shared" si="35"/>
        <v>0</v>
      </c>
      <c r="R82" s="5">
        <f t="shared" si="36"/>
        <v>1</v>
      </c>
      <c r="S82" s="5">
        <f t="shared" si="37"/>
        <v>0</v>
      </c>
      <c r="T82" s="5">
        <f t="shared" si="38"/>
        <v>0</v>
      </c>
      <c r="U82" s="5">
        <f t="shared" si="39"/>
        <v>0</v>
      </c>
      <c r="V82" s="5">
        <f t="shared" si="40"/>
        <v>0</v>
      </c>
      <c r="W82" s="5">
        <f t="shared" si="41"/>
        <v>0</v>
      </c>
      <c r="X82" s="5">
        <f t="shared" si="42"/>
        <v>0</v>
      </c>
      <c r="Y82" s="5">
        <f t="shared" si="43"/>
        <v>1</v>
      </c>
      <c r="Z82" s="5">
        <f t="shared" si="44"/>
        <v>0</v>
      </c>
      <c r="AA82" s="5">
        <f t="shared" si="45"/>
        <v>0</v>
      </c>
      <c r="AB82" s="5">
        <f t="shared" si="46"/>
        <v>0</v>
      </c>
      <c r="AC82" s="5">
        <f t="shared" si="47"/>
        <v>0</v>
      </c>
      <c r="AD82" s="5">
        <f t="shared" si="48"/>
        <v>0</v>
      </c>
      <c r="AE82" s="5">
        <f t="shared" si="49"/>
        <v>1</v>
      </c>
      <c r="AF82" s="5">
        <f t="shared" si="50"/>
        <v>0</v>
      </c>
    </row>
    <row r="83" spans="1:32" ht="75.95" customHeight="1" x14ac:dyDescent="0.2">
      <c r="A83" s="4" t="s">
        <v>605</v>
      </c>
      <c r="B83" s="5">
        <v>82</v>
      </c>
      <c r="C83" s="4" t="s">
        <v>43</v>
      </c>
      <c r="D83" s="4" t="s">
        <v>606</v>
      </c>
      <c r="E83" s="4" t="s">
        <v>31</v>
      </c>
      <c r="F83" s="4" t="s">
        <v>17</v>
      </c>
      <c r="G83" s="4" t="s">
        <v>18</v>
      </c>
      <c r="H83" s="4" t="s">
        <v>176</v>
      </c>
      <c r="I83" s="4" t="s">
        <v>607</v>
      </c>
      <c r="J83" s="4" t="s">
        <v>608</v>
      </c>
      <c r="K83" s="4" t="s">
        <v>609</v>
      </c>
      <c r="L83" s="4" t="s">
        <v>610</v>
      </c>
      <c r="M83" s="4"/>
      <c r="N83" s="4" t="s">
        <v>87</v>
      </c>
      <c r="O83" s="4" t="s">
        <v>98</v>
      </c>
      <c r="P83" s="5">
        <f t="shared" si="34"/>
        <v>2</v>
      </c>
      <c r="Q83" s="5">
        <f t="shared" si="35"/>
        <v>0</v>
      </c>
      <c r="R83" s="5">
        <f t="shared" si="36"/>
        <v>1</v>
      </c>
      <c r="S83" s="5">
        <f t="shared" si="37"/>
        <v>0</v>
      </c>
      <c r="T83" s="5">
        <f t="shared" si="38"/>
        <v>0</v>
      </c>
      <c r="U83" s="5">
        <f t="shared" si="39"/>
        <v>0</v>
      </c>
      <c r="V83" s="5">
        <f t="shared" si="40"/>
        <v>0</v>
      </c>
      <c r="W83" s="5">
        <f t="shared" si="41"/>
        <v>1</v>
      </c>
      <c r="X83" s="5">
        <f t="shared" si="42"/>
        <v>0</v>
      </c>
      <c r="Y83" s="5">
        <f t="shared" si="43"/>
        <v>2</v>
      </c>
      <c r="Z83" s="5">
        <f t="shared" si="44"/>
        <v>0</v>
      </c>
      <c r="AA83" s="5">
        <f t="shared" si="45"/>
        <v>0</v>
      </c>
      <c r="AB83" s="5">
        <f t="shared" si="46"/>
        <v>0</v>
      </c>
      <c r="AC83" s="5">
        <f t="shared" si="47"/>
        <v>0</v>
      </c>
      <c r="AD83" s="5">
        <f t="shared" si="48"/>
        <v>1</v>
      </c>
      <c r="AE83" s="5">
        <f t="shared" si="49"/>
        <v>1</v>
      </c>
      <c r="AF83" s="5">
        <f t="shared" si="50"/>
        <v>0</v>
      </c>
    </row>
  </sheetData>
  <conditionalFormatting sqref="N2:N83">
    <cfRule type="containsText" dxfId="0" priority="1" operator="containsText" text="No intervening"/>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3"/>
  <sheetViews>
    <sheetView showGridLines="0" workbookViewId="0">
      <pane xSplit="2" ySplit="1" topLeftCell="C2" activePane="bottomRight" state="frozen"/>
      <selection pane="topRight"/>
      <selection pane="bottomLeft"/>
      <selection pane="bottomRight" activeCell="C2" sqref="C2"/>
    </sheetView>
  </sheetViews>
  <sheetFormatPr defaultRowHeight="14.25" x14ac:dyDescent="0.2"/>
  <cols>
    <col min="1" max="1" width="17" customWidth="1"/>
    <col min="2" max="2" width="9" customWidth="1"/>
    <col min="3" max="3" width="33" customWidth="1"/>
    <col min="4" max="4" width="50" customWidth="1"/>
    <col min="5" max="9" width="150" customWidth="1"/>
  </cols>
  <sheetData>
    <row r="1" spans="1:9" ht="45.95" customHeight="1" x14ac:dyDescent="0.2">
      <c r="A1" s="2" t="s">
        <v>52</v>
      </c>
      <c r="B1" s="2" t="s">
        <v>53</v>
      </c>
      <c r="C1" s="2" t="s">
        <v>59</v>
      </c>
      <c r="D1" s="2" t="s">
        <v>61</v>
      </c>
      <c r="E1" s="2" t="s">
        <v>611</v>
      </c>
      <c r="F1" s="2" t="s">
        <v>612</v>
      </c>
      <c r="G1" s="2" t="s">
        <v>613</v>
      </c>
      <c r="H1" s="2" t="s">
        <v>614</v>
      </c>
      <c r="I1" s="2" t="s">
        <v>615</v>
      </c>
    </row>
    <row r="2" spans="1:9" ht="60" customHeight="1" x14ac:dyDescent="0.2">
      <c r="A2" s="4" t="s">
        <v>81</v>
      </c>
      <c r="B2" s="5">
        <v>1</v>
      </c>
      <c r="C2" s="4" t="s">
        <v>85</v>
      </c>
      <c r="D2" s="4"/>
      <c r="E2" s="4" t="s">
        <v>82</v>
      </c>
      <c r="F2" s="4"/>
      <c r="G2" s="4"/>
      <c r="H2" s="4"/>
      <c r="I2" s="4"/>
    </row>
    <row r="3" spans="1:9" ht="126" customHeight="1" x14ac:dyDescent="0.2">
      <c r="A3" s="4" t="s">
        <v>89</v>
      </c>
      <c r="B3" s="5">
        <v>2</v>
      </c>
      <c r="C3" s="4" t="s">
        <v>95</v>
      </c>
      <c r="D3" s="4" t="s">
        <v>97</v>
      </c>
      <c r="E3" s="4" t="s">
        <v>616</v>
      </c>
      <c r="F3" s="4"/>
      <c r="G3" s="4"/>
      <c r="H3" s="4"/>
      <c r="I3" s="4"/>
    </row>
    <row r="4" spans="1:9" ht="408.95" customHeight="1" x14ac:dyDescent="0.2">
      <c r="A4" s="4" t="s">
        <v>99</v>
      </c>
      <c r="B4" s="5">
        <v>3</v>
      </c>
      <c r="C4" s="4" t="s">
        <v>105</v>
      </c>
      <c r="D4" s="4" t="s">
        <v>107</v>
      </c>
      <c r="E4" s="4" t="s">
        <v>617</v>
      </c>
      <c r="F4" s="4" t="s">
        <v>618</v>
      </c>
      <c r="G4" s="4" t="s">
        <v>619</v>
      </c>
      <c r="H4" s="4" t="s">
        <v>620</v>
      </c>
      <c r="I4" s="4"/>
    </row>
    <row r="5" spans="1:9" ht="347.1" customHeight="1" x14ac:dyDescent="0.2">
      <c r="A5" s="4" t="s">
        <v>108</v>
      </c>
      <c r="B5" s="5">
        <v>4</v>
      </c>
      <c r="C5" s="4" t="s">
        <v>114</v>
      </c>
      <c r="D5" s="4" t="s">
        <v>107</v>
      </c>
      <c r="E5" s="4" t="s">
        <v>621</v>
      </c>
      <c r="F5" s="4" t="s">
        <v>622</v>
      </c>
      <c r="G5" s="4"/>
      <c r="H5" s="4"/>
      <c r="I5" s="4"/>
    </row>
    <row r="6" spans="1:9" ht="60" customHeight="1" x14ac:dyDescent="0.2">
      <c r="A6" s="4" t="s">
        <v>116</v>
      </c>
      <c r="B6" s="5">
        <v>5</v>
      </c>
      <c r="C6" s="4" t="s">
        <v>121</v>
      </c>
      <c r="D6" s="4"/>
      <c r="E6" s="4" t="s">
        <v>623</v>
      </c>
      <c r="F6" s="4"/>
      <c r="G6" s="4"/>
      <c r="H6" s="4"/>
      <c r="I6" s="4"/>
    </row>
    <row r="7" spans="1:9" ht="60" customHeight="1" x14ac:dyDescent="0.2">
      <c r="A7" s="4" t="s">
        <v>123</v>
      </c>
      <c r="B7" s="5">
        <v>6</v>
      </c>
      <c r="C7" s="4" t="s">
        <v>127</v>
      </c>
      <c r="D7" s="4"/>
      <c r="E7" s="4" t="s">
        <v>124</v>
      </c>
      <c r="F7" s="4"/>
      <c r="G7" s="4"/>
      <c r="H7" s="4"/>
      <c r="I7" s="4"/>
    </row>
    <row r="8" spans="1:9" ht="60.95" customHeight="1" x14ac:dyDescent="0.2">
      <c r="A8" s="4" t="s">
        <v>129</v>
      </c>
      <c r="B8" s="5">
        <v>7</v>
      </c>
      <c r="C8" s="4" t="s">
        <v>135</v>
      </c>
      <c r="D8" s="4" t="s">
        <v>137</v>
      </c>
      <c r="E8" s="4" t="s">
        <v>624</v>
      </c>
      <c r="F8" s="4"/>
      <c r="G8" s="4"/>
      <c r="H8" s="4"/>
      <c r="I8" s="4"/>
    </row>
    <row r="9" spans="1:9" ht="60" customHeight="1" x14ac:dyDescent="0.2">
      <c r="A9" s="4" t="s">
        <v>138</v>
      </c>
      <c r="B9" s="5">
        <v>8</v>
      </c>
      <c r="C9" s="4" t="s">
        <v>142</v>
      </c>
      <c r="D9" s="4"/>
      <c r="E9" s="4" t="s">
        <v>139</v>
      </c>
      <c r="F9" s="4"/>
      <c r="G9" s="4"/>
      <c r="H9" s="4"/>
      <c r="I9" s="4"/>
    </row>
    <row r="10" spans="1:9" ht="99.95" customHeight="1" x14ac:dyDescent="0.2">
      <c r="A10" s="4" t="s">
        <v>144</v>
      </c>
      <c r="B10" s="5">
        <v>9</v>
      </c>
      <c r="C10" s="4" t="s">
        <v>150</v>
      </c>
      <c r="D10" s="4"/>
      <c r="E10" s="4" t="s">
        <v>625</v>
      </c>
      <c r="F10" s="4"/>
      <c r="G10" s="4"/>
      <c r="H10" s="4"/>
      <c r="I10" s="4"/>
    </row>
    <row r="11" spans="1:9" ht="87" customHeight="1" x14ac:dyDescent="0.2">
      <c r="A11" s="4" t="s">
        <v>152</v>
      </c>
      <c r="B11" s="5">
        <v>10</v>
      </c>
      <c r="C11" s="4" t="s">
        <v>156</v>
      </c>
      <c r="D11" s="4" t="s">
        <v>158</v>
      </c>
      <c r="E11" s="4" t="s">
        <v>626</v>
      </c>
      <c r="F11" s="4"/>
      <c r="G11" s="4"/>
      <c r="H11" s="4"/>
      <c r="I11" s="4"/>
    </row>
    <row r="12" spans="1:9" ht="60.95" customHeight="1" x14ac:dyDescent="0.2">
      <c r="A12" s="4" t="s">
        <v>159</v>
      </c>
      <c r="B12" s="5">
        <v>11</v>
      </c>
      <c r="C12" s="4" t="s">
        <v>165</v>
      </c>
      <c r="D12" s="4"/>
      <c r="E12" s="4" t="s">
        <v>627</v>
      </c>
      <c r="F12" s="4"/>
      <c r="G12" s="4"/>
      <c r="H12" s="4"/>
      <c r="I12" s="4"/>
    </row>
    <row r="13" spans="1:9" ht="113.1" customHeight="1" x14ac:dyDescent="0.2">
      <c r="A13" s="4" t="s">
        <v>167</v>
      </c>
      <c r="B13" s="5">
        <v>12</v>
      </c>
      <c r="C13" s="4" t="s">
        <v>172</v>
      </c>
      <c r="D13" s="4"/>
      <c r="E13" s="4" t="s">
        <v>628</v>
      </c>
      <c r="F13" s="4"/>
      <c r="G13" s="4"/>
      <c r="H13" s="4"/>
      <c r="I13" s="4"/>
    </row>
    <row r="14" spans="1:9" ht="60" customHeight="1" x14ac:dyDescent="0.2">
      <c r="A14" s="4" t="s">
        <v>174</v>
      </c>
      <c r="B14" s="5">
        <v>13</v>
      </c>
      <c r="C14" s="4" t="s">
        <v>179</v>
      </c>
      <c r="D14" s="4"/>
      <c r="E14" s="4" t="s">
        <v>175</v>
      </c>
      <c r="F14" s="4"/>
      <c r="G14" s="4"/>
      <c r="H14" s="4"/>
      <c r="I14" s="4"/>
    </row>
    <row r="15" spans="1:9" ht="74.099999999999994" customHeight="1" x14ac:dyDescent="0.2">
      <c r="A15" s="4" t="s">
        <v>181</v>
      </c>
      <c r="B15" s="5">
        <v>14</v>
      </c>
      <c r="C15" s="4" t="s">
        <v>185</v>
      </c>
      <c r="D15" s="4"/>
      <c r="E15" s="4" t="s">
        <v>629</v>
      </c>
      <c r="F15" s="4"/>
      <c r="G15" s="4"/>
      <c r="H15" s="4"/>
      <c r="I15" s="4"/>
    </row>
    <row r="16" spans="1:9" ht="87" customHeight="1" x14ac:dyDescent="0.2">
      <c r="A16" s="4" t="s">
        <v>187</v>
      </c>
      <c r="B16" s="5">
        <v>15</v>
      </c>
      <c r="C16" s="4" t="s">
        <v>191</v>
      </c>
      <c r="D16" s="4" t="s">
        <v>97</v>
      </c>
      <c r="E16" s="4" t="s">
        <v>630</v>
      </c>
      <c r="F16" s="4"/>
      <c r="G16" s="4"/>
      <c r="H16" s="4"/>
      <c r="I16" s="4"/>
    </row>
    <row r="17" spans="1:9" ht="60.95" customHeight="1" x14ac:dyDescent="0.2">
      <c r="A17" s="4" t="s">
        <v>193</v>
      </c>
      <c r="B17" s="5">
        <v>16</v>
      </c>
      <c r="C17" s="4" t="s">
        <v>197</v>
      </c>
      <c r="D17" s="4"/>
      <c r="E17" s="4" t="s">
        <v>631</v>
      </c>
      <c r="F17" s="4"/>
      <c r="G17" s="4"/>
      <c r="H17" s="4"/>
      <c r="I17" s="4"/>
    </row>
    <row r="18" spans="1:9" ht="74.099999999999994" customHeight="1" x14ac:dyDescent="0.2">
      <c r="A18" s="4" t="s">
        <v>199</v>
      </c>
      <c r="B18" s="5">
        <v>17</v>
      </c>
      <c r="C18" s="4" t="s">
        <v>203</v>
      </c>
      <c r="D18" s="4"/>
      <c r="E18" s="4" t="s">
        <v>632</v>
      </c>
      <c r="F18" s="4"/>
      <c r="G18" s="4"/>
      <c r="H18" s="4"/>
      <c r="I18" s="4"/>
    </row>
    <row r="19" spans="1:9" ht="60" customHeight="1" x14ac:dyDescent="0.2">
      <c r="A19" s="4" t="s">
        <v>205</v>
      </c>
      <c r="B19" s="5">
        <v>18</v>
      </c>
      <c r="C19" s="4" t="s">
        <v>210</v>
      </c>
      <c r="D19" s="4"/>
      <c r="E19" s="4" t="s">
        <v>633</v>
      </c>
      <c r="F19" s="4"/>
      <c r="G19" s="4"/>
      <c r="H19" s="4"/>
      <c r="I19" s="4"/>
    </row>
    <row r="20" spans="1:9" ht="60" customHeight="1" x14ac:dyDescent="0.2">
      <c r="A20" s="4" t="s">
        <v>212</v>
      </c>
      <c r="B20" s="5">
        <v>19</v>
      </c>
      <c r="C20" s="4" t="s">
        <v>216</v>
      </c>
      <c r="D20" s="4"/>
      <c r="E20" s="4" t="s">
        <v>634</v>
      </c>
      <c r="F20" s="4"/>
      <c r="G20" s="4"/>
      <c r="H20" s="4"/>
      <c r="I20" s="4"/>
    </row>
    <row r="21" spans="1:9" ht="60" customHeight="1" x14ac:dyDescent="0.2">
      <c r="A21" s="4" t="s">
        <v>218</v>
      </c>
      <c r="B21" s="5">
        <v>20</v>
      </c>
      <c r="C21" s="4" t="s">
        <v>223</v>
      </c>
      <c r="D21" s="4"/>
      <c r="E21" s="4" t="s">
        <v>635</v>
      </c>
      <c r="F21" s="4"/>
      <c r="G21" s="4"/>
      <c r="H21" s="4"/>
      <c r="I21" s="4"/>
    </row>
    <row r="22" spans="1:9" ht="60" customHeight="1" x14ac:dyDescent="0.2">
      <c r="A22" s="4" t="s">
        <v>225</v>
      </c>
      <c r="B22" s="5">
        <v>21</v>
      </c>
      <c r="C22" s="4" t="s">
        <v>229</v>
      </c>
      <c r="D22" s="4"/>
      <c r="E22" s="4" t="s">
        <v>226</v>
      </c>
      <c r="F22" s="4"/>
      <c r="G22" s="4"/>
      <c r="H22" s="4"/>
      <c r="I22" s="4"/>
    </row>
    <row r="23" spans="1:9" ht="60" customHeight="1" x14ac:dyDescent="0.2">
      <c r="A23" s="4" t="s">
        <v>231</v>
      </c>
      <c r="B23" s="5">
        <v>22</v>
      </c>
      <c r="C23" s="4" t="s">
        <v>235</v>
      </c>
      <c r="D23" s="4"/>
      <c r="E23" s="4" t="s">
        <v>636</v>
      </c>
      <c r="F23" s="4"/>
      <c r="G23" s="4"/>
      <c r="H23" s="4"/>
      <c r="I23" s="4"/>
    </row>
    <row r="24" spans="1:9" ht="60.95" customHeight="1" x14ac:dyDescent="0.2">
      <c r="A24" s="4" t="s">
        <v>237</v>
      </c>
      <c r="B24" s="5">
        <v>23</v>
      </c>
      <c r="C24" s="4" t="s">
        <v>242</v>
      </c>
      <c r="D24" s="4"/>
      <c r="E24" s="4" t="s">
        <v>637</v>
      </c>
      <c r="F24" s="4"/>
      <c r="G24" s="4"/>
      <c r="H24" s="4"/>
      <c r="I24" s="4"/>
    </row>
    <row r="25" spans="1:9" ht="60" customHeight="1" x14ac:dyDescent="0.2">
      <c r="A25" s="4" t="s">
        <v>244</v>
      </c>
      <c r="B25" s="5">
        <v>24</v>
      </c>
      <c r="C25" s="4" t="s">
        <v>249</v>
      </c>
      <c r="D25" s="4"/>
      <c r="E25" s="4" t="s">
        <v>638</v>
      </c>
      <c r="F25" s="4"/>
      <c r="G25" s="4"/>
      <c r="H25" s="4"/>
      <c r="I25" s="4"/>
    </row>
    <row r="26" spans="1:9" ht="60.95" customHeight="1" x14ac:dyDescent="0.2">
      <c r="A26" s="4" t="s">
        <v>251</v>
      </c>
      <c r="B26" s="5">
        <v>25</v>
      </c>
      <c r="C26" s="4" t="s">
        <v>256</v>
      </c>
      <c r="D26" s="4"/>
      <c r="E26" s="4" t="s">
        <v>639</v>
      </c>
      <c r="F26" s="4"/>
      <c r="G26" s="4"/>
      <c r="H26" s="4"/>
      <c r="I26" s="4"/>
    </row>
    <row r="27" spans="1:9" ht="60.95" customHeight="1" x14ac:dyDescent="0.2">
      <c r="A27" s="4" t="s">
        <v>258</v>
      </c>
      <c r="B27" s="5">
        <v>26</v>
      </c>
      <c r="C27" s="4" t="s">
        <v>263</v>
      </c>
      <c r="D27" s="4"/>
      <c r="E27" s="4" t="s">
        <v>640</v>
      </c>
      <c r="F27" s="4"/>
      <c r="G27" s="4"/>
      <c r="H27" s="4"/>
      <c r="I27" s="4"/>
    </row>
    <row r="28" spans="1:9" ht="60" customHeight="1" x14ac:dyDescent="0.2">
      <c r="A28" s="4" t="s">
        <v>265</v>
      </c>
      <c r="B28" s="5">
        <v>27</v>
      </c>
      <c r="C28" s="4" t="s">
        <v>269</v>
      </c>
      <c r="D28" s="4"/>
      <c r="E28" s="4" t="s">
        <v>641</v>
      </c>
      <c r="F28" s="4"/>
      <c r="G28" s="4"/>
      <c r="H28" s="4"/>
      <c r="I28" s="4"/>
    </row>
    <row r="29" spans="1:9" ht="87" customHeight="1" x14ac:dyDescent="0.2">
      <c r="A29" s="4" t="s">
        <v>271</v>
      </c>
      <c r="B29" s="5">
        <v>28</v>
      </c>
      <c r="C29" s="4" t="s">
        <v>275</v>
      </c>
      <c r="D29" s="4"/>
      <c r="E29" s="4" t="s">
        <v>642</v>
      </c>
      <c r="F29" s="4"/>
      <c r="G29" s="4"/>
      <c r="H29" s="4"/>
      <c r="I29" s="4"/>
    </row>
    <row r="30" spans="1:9" ht="60" customHeight="1" x14ac:dyDescent="0.2">
      <c r="A30" s="4" t="s">
        <v>277</v>
      </c>
      <c r="B30" s="5">
        <v>29</v>
      </c>
      <c r="C30" s="4" t="s">
        <v>283</v>
      </c>
      <c r="D30" s="4"/>
      <c r="E30" s="4" t="s">
        <v>643</v>
      </c>
      <c r="F30" s="4"/>
      <c r="G30" s="4"/>
      <c r="H30" s="4"/>
      <c r="I30" s="4"/>
    </row>
    <row r="31" spans="1:9" ht="87" customHeight="1" x14ac:dyDescent="0.2">
      <c r="A31" s="4" t="s">
        <v>285</v>
      </c>
      <c r="B31" s="5">
        <v>30</v>
      </c>
      <c r="C31" s="4" t="s">
        <v>291</v>
      </c>
      <c r="D31" s="4"/>
      <c r="E31" s="4" t="s">
        <v>644</v>
      </c>
      <c r="F31" s="4"/>
      <c r="G31" s="4"/>
      <c r="H31" s="4"/>
      <c r="I31" s="4"/>
    </row>
    <row r="32" spans="1:9" ht="60" customHeight="1" x14ac:dyDescent="0.2">
      <c r="A32" s="4" t="s">
        <v>293</v>
      </c>
      <c r="B32" s="5">
        <v>31</v>
      </c>
      <c r="C32" s="4" t="s">
        <v>297</v>
      </c>
      <c r="D32" s="4"/>
      <c r="E32" s="4" t="s">
        <v>645</v>
      </c>
      <c r="F32" s="4"/>
      <c r="G32" s="4"/>
      <c r="H32" s="4"/>
      <c r="I32" s="4"/>
    </row>
    <row r="33" spans="1:9" ht="60" customHeight="1" x14ac:dyDescent="0.2">
      <c r="A33" s="4" t="s">
        <v>299</v>
      </c>
      <c r="B33" s="5">
        <v>32</v>
      </c>
      <c r="C33" s="4" t="s">
        <v>303</v>
      </c>
      <c r="D33" s="4"/>
      <c r="E33" s="4" t="s">
        <v>300</v>
      </c>
      <c r="F33" s="4"/>
      <c r="G33" s="4"/>
      <c r="H33" s="4"/>
      <c r="I33" s="4"/>
    </row>
    <row r="34" spans="1:9" ht="60" customHeight="1" x14ac:dyDescent="0.2">
      <c r="A34" s="4" t="s">
        <v>305</v>
      </c>
      <c r="B34" s="5">
        <v>33</v>
      </c>
      <c r="C34" s="4" t="s">
        <v>311</v>
      </c>
      <c r="D34" s="4"/>
      <c r="E34" s="4" t="s">
        <v>306</v>
      </c>
      <c r="F34" s="4"/>
      <c r="G34" s="4"/>
      <c r="H34" s="4"/>
      <c r="I34" s="4"/>
    </row>
    <row r="35" spans="1:9" ht="60" customHeight="1" x14ac:dyDescent="0.2">
      <c r="A35" s="4" t="s">
        <v>313</v>
      </c>
      <c r="B35" s="5">
        <v>34</v>
      </c>
      <c r="C35" s="4" t="s">
        <v>318</v>
      </c>
      <c r="D35" s="4"/>
      <c r="E35" s="4" t="s">
        <v>646</v>
      </c>
      <c r="F35" s="4"/>
      <c r="G35" s="4"/>
      <c r="H35" s="4"/>
      <c r="I35" s="4"/>
    </row>
    <row r="36" spans="1:9" ht="60.95" customHeight="1" x14ac:dyDescent="0.2">
      <c r="A36" s="4" t="s">
        <v>320</v>
      </c>
      <c r="B36" s="5">
        <v>35</v>
      </c>
      <c r="C36" s="4" t="s">
        <v>324</v>
      </c>
      <c r="D36" s="4"/>
      <c r="E36" s="4" t="s">
        <v>647</v>
      </c>
      <c r="F36" s="4"/>
      <c r="G36" s="4"/>
      <c r="H36" s="4"/>
      <c r="I36" s="4"/>
    </row>
    <row r="37" spans="1:9" ht="60" customHeight="1" x14ac:dyDescent="0.2">
      <c r="A37" s="4" t="s">
        <v>326</v>
      </c>
      <c r="B37" s="5">
        <v>36</v>
      </c>
      <c r="C37" s="4" t="s">
        <v>330</v>
      </c>
      <c r="D37" s="4"/>
      <c r="E37" s="4" t="s">
        <v>327</v>
      </c>
      <c r="F37" s="4"/>
      <c r="G37" s="4"/>
      <c r="H37" s="4"/>
      <c r="I37" s="4"/>
    </row>
    <row r="38" spans="1:9" ht="60" customHeight="1" x14ac:dyDescent="0.2">
      <c r="A38" s="4" t="s">
        <v>332</v>
      </c>
      <c r="B38" s="5">
        <v>37</v>
      </c>
      <c r="C38" s="4" t="s">
        <v>336</v>
      </c>
      <c r="D38" s="4"/>
      <c r="E38" s="4" t="s">
        <v>333</v>
      </c>
      <c r="F38" s="4"/>
      <c r="G38" s="4"/>
      <c r="H38" s="4"/>
      <c r="I38" s="4"/>
    </row>
    <row r="39" spans="1:9" ht="60" customHeight="1" x14ac:dyDescent="0.2">
      <c r="A39" s="4" t="s">
        <v>338</v>
      </c>
      <c r="B39" s="5">
        <v>38</v>
      </c>
      <c r="C39" s="4" t="s">
        <v>342</v>
      </c>
      <c r="D39" s="4"/>
      <c r="E39" s="4" t="s">
        <v>648</v>
      </c>
      <c r="F39" s="4"/>
      <c r="G39" s="4"/>
      <c r="H39" s="4"/>
      <c r="I39" s="4"/>
    </row>
    <row r="40" spans="1:9" ht="60" customHeight="1" x14ac:dyDescent="0.2">
      <c r="A40" s="4" t="s">
        <v>344</v>
      </c>
      <c r="B40" s="5">
        <v>39</v>
      </c>
      <c r="C40" s="4" t="s">
        <v>348</v>
      </c>
      <c r="D40" s="4"/>
      <c r="E40" s="4" t="s">
        <v>345</v>
      </c>
      <c r="F40" s="4"/>
      <c r="G40" s="4"/>
      <c r="H40" s="4"/>
      <c r="I40" s="4"/>
    </row>
    <row r="41" spans="1:9" ht="60" customHeight="1" x14ac:dyDescent="0.2">
      <c r="A41" s="4" t="s">
        <v>350</v>
      </c>
      <c r="B41" s="5">
        <v>40</v>
      </c>
      <c r="C41" s="4" t="s">
        <v>354</v>
      </c>
      <c r="D41" s="4"/>
      <c r="E41" s="4" t="s">
        <v>351</v>
      </c>
      <c r="F41" s="4"/>
      <c r="G41" s="4"/>
      <c r="H41" s="4"/>
      <c r="I41" s="4"/>
    </row>
    <row r="42" spans="1:9" ht="60.95" customHeight="1" x14ac:dyDescent="0.2">
      <c r="A42" s="4" t="s">
        <v>356</v>
      </c>
      <c r="B42" s="5">
        <v>41</v>
      </c>
      <c r="C42" s="4" t="s">
        <v>360</v>
      </c>
      <c r="D42" s="4"/>
      <c r="E42" s="4" t="s">
        <v>649</v>
      </c>
      <c r="F42" s="4"/>
      <c r="G42" s="4"/>
      <c r="H42" s="4"/>
      <c r="I42" s="4"/>
    </row>
    <row r="43" spans="1:9" ht="60.95" customHeight="1" x14ac:dyDescent="0.2">
      <c r="A43" s="4" t="s">
        <v>362</v>
      </c>
      <c r="B43" s="5">
        <v>42</v>
      </c>
      <c r="C43" s="4" t="s">
        <v>366</v>
      </c>
      <c r="D43" s="4"/>
      <c r="E43" s="4" t="s">
        <v>650</v>
      </c>
      <c r="F43" s="4"/>
      <c r="G43" s="4"/>
      <c r="H43" s="4"/>
      <c r="I43" s="4"/>
    </row>
    <row r="44" spans="1:9" ht="60" customHeight="1" x14ac:dyDescent="0.2">
      <c r="A44" s="4" t="s">
        <v>368</v>
      </c>
      <c r="B44" s="5">
        <v>43</v>
      </c>
      <c r="C44" s="4" t="s">
        <v>372</v>
      </c>
      <c r="D44" s="4"/>
      <c r="E44" s="4" t="s">
        <v>369</v>
      </c>
      <c r="F44" s="4"/>
      <c r="G44" s="4"/>
      <c r="H44" s="4"/>
      <c r="I44" s="4"/>
    </row>
    <row r="45" spans="1:9" ht="60" customHeight="1" x14ac:dyDescent="0.2">
      <c r="A45" s="4" t="s">
        <v>374</v>
      </c>
      <c r="B45" s="5">
        <v>44</v>
      </c>
      <c r="C45" s="4" t="s">
        <v>378</v>
      </c>
      <c r="D45" s="4"/>
      <c r="E45" s="4" t="s">
        <v>651</v>
      </c>
      <c r="F45" s="4"/>
      <c r="G45" s="4"/>
      <c r="H45" s="4"/>
      <c r="I45" s="4"/>
    </row>
    <row r="46" spans="1:9" ht="60" customHeight="1" x14ac:dyDescent="0.2">
      <c r="A46" s="4" t="s">
        <v>380</v>
      </c>
      <c r="B46" s="5">
        <v>45</v>
      </c>
      <c r="C46" s="4" t="s">
        <v>384</v>
      </c>
      <c r="D46" s="4"/>
      <c r="E46" s="4" t="s">
        <v>381</v>
      </c>
      <c r="F46" s="4"/>
      <c r="G46" s="4"/>
      <c r="H46" s="4"/>
      <c r="I46" s="4"/>
    </row>
    <row r="47" spans="1:9" ht="60" customHeight="1" x14ac:dyDescent="0.2">
      <c r="A47" s="4" t="s">
        <v>386</v>
      </c>
      <c r="B47" s="5">
        <v>46</v>
      </c>
      <c r="C47" s="4" t="s">
        <v>390</v>
      </c>
      <c r="D47" s="4"/>
      <c r="E47" s="4" t="s">
        <v>652</v>
      </c>
      <c r="F47" s="4"/>
      <c r="G47" s="4"/>
      <c r="H47" s="4"/>
      <c r="I47" s="4"/>
    </row>
    <row r="48" spans="1:9" ht="60" customHeight="1" x14ac:dyDescent="0.2">
      <c r="A48" s="4" t="s">
        <v>392</v>
      </c>
      <c r="B48" s="5">
        <v>47</v>
      </c>
      <c r="C48" s="4" t="s">
        <v>396</v>
      </c>
      <c r="D48" s="4"/>
      <c r="E48" s="4" t="s">
        <v>393</v>
      </c>
      <c r="F48" s="4"/>
      <c r="G48" s="4"/>
      <c r="H48" s="4"/>
      <c r="I48" s="4"/>
    </row>
    <row r="49" spans="1:9" ht="60" customHeight="1" x14ac:dyDescent="0.2">
      <c r="A49" s="4" t="s">
        <v>398</v>
      </c>
      <c r="B49" s="5">
        <v>48</v>
      </c>
      <c r="C49" s="4" t="s">
        <v>402</v>
      </c>
      <c r="D49" s="4"/>
      <c r="E49" s="4" t="s">
        <v>653</v>
      </c>
      <c r="F49" s="4"/>
      <c r="G49" s="4"/>
      <c r="H49" s="4"/>
      <c r="I49" s="4"/>
    </row>
    <row r="50" spans="1:9" ht="60" customHeight="1" x14ac:dyDescent="0.2">
      <c r="A50" s="4" t="s">
        <v>404</v>
      </c>
      <c r="B50" s="5">
        <v>49</v>
      </c>
      <c r="C50" s="4" t="s">
        <v>408</v>
      </c>
      <c r="D50" s="4"/>
      <c r="E50" s="4" t="s">
        <v>654</v>
      </c>
      <c r="F50" s="4"/>
      <c r="G50" s="4"/>
      <c r="H50" s="4"/>
      <c r="I50" s="4"/>
    </row>
    <row r="51" spans="1:9" ht="60" customHeight="1" x14ac:dyDescent="0.2">
      <c r="A51" s="4" t="s">
        <v>410</v>
      </c>
      <c r="B51" s="5">
        <v>50</v>
      </c>
      <c r="C51" s="4" t="s">
        <v>414</v>
      </c>
      <c r="D51" s="4"/>
      <c r="E51" s="4" t="s">
        <v>411</v>
      </c>
      <c r="F51" s="4"/>
      <c r="G51" s="4"/>
      <c r="H51" s="4"/>
      <c r="I51" s="4"/>
    </row>
    <row r="52" spans="1:9" ht="60" customHeight="1" x14ac:dyDescent="0.2">
      <c r="A52" s="4" t="s">
        <v>416</v>
      </c>
      <c r="B52" s="5">
        <v>51</v>
      </c>
      <c r="C52" s="4" t="s">
        <v>420</v>
      </c>
      <c r="D52" s="4"/>
      <c r="E52" s="4" t="s">
        <v>417</v>
      </c>
      <c r="F52" s="4"/>
      <c r="G52" s="4"/>
      <c r="H52" s="4"/>
      <c r="I52" s="4"/>
    </row>
    <row r="53" spans="1:9" ht="60" customHeight="1" x14ac:dyDescent="0.2">
      <c r="A53" s="4" t="s">
        <v>422</v>
      </c>
      <c r="B53" s="5">
        <v>52</v>
      </c>
      <c r="C53" s="4" t="s">
        <v>426</v>
      </c>
      <c r="D53" s="4"/>
      <c r="E53" s="4" t="s">
        <v>423</v>
      </c>
      <c r="F53" s="4"/>
      <c r="G53" s="4"/>
      <c r="H53" s="4"/>
      <c r="I53" s="4"/>
    </row>
    <row r="54" spans="1:9" ht="60" customHeight="1" x14ac:dyDescent="0.2">
      <c r="A54" s="4" t="s">
        <v>428</v>
      </c>
      <c r="B54" s="5">
        <v>53</v>
      </c>
      <c r="C54" s="4" t="s">
        <v>432</v>
      </c>
      <c r="D54" s="4"/>
      <c r="E54" s="4" t="s">
        <v>429</v>
      </c>
      <c r="F54" s="4"/>
      <c r="G54" s="4"/>
      <c r="H54" s="4"/>
      <c r="I54" s="4"/>
    </row>
    <row r="55" spans="1:9" ht="60.95" customHeight="1" x14ac:dyDescent="0.2">
      <c r="A55" s="4" t="s">
        <v>434</v>
      </c>
      <c r="B55" s="5">
        <v>54</v>
      </c>
      <c r="C55" s="4" t="s">
        <v>438</v>
      </c>
      <c r="D55" s="4"/>
      <c r="E55" s="4" t="s">
        <v>655</v>
      </c>
      <c r="F55" s="4"/>
      <c r="G55" s="4"/>
      <c r="H55" s="4"/>
      <c r="I55" s="4"/>
    </row>
    <row r="56" spans="1:9" ht="60" customHeight="1" x14ac:dyDescent="0.2">
      <c r="A56" s="4" t="s">
        <v>440</v>
      </c>
      <c r="B56" s="5">
        <v>55</v>
      </c>
      <c r="C56" s="4" t="s">
        <v>444</v>
      </c>
      <c r="D56" s="4"/>
      <c r="E56" s="4" t="s">
        <v>656</v>
      </c>
      <c r="F56" s="4"/>
      <c r="G56" s="4"/>
      <c r="H56" s="4"/>
      <c r="I56" s="4"/>
    </row>
    <row r="57" spans="1:9" ht="60" customHeight="1" x14ac:dyDescent="0.2">
      <c r="A57" s="4" t="s">
        <v>446</v>
      </c>
      <c r="B57" s="5">
        <v>56</v>
      </c>
      <c r="C57" s="4" t="s">
        <v>450</v>
      </c>
      <c r="D57" s="4"/>
      <c r="E57" s="4" t="s">
        <v>447</v>
      </c>
      <c r="F57" s="4"/>
      <c r="G57" s="4"/>
      <c r="H57" s="4"/>
      <c r="I57" s="4"/>
    </row>
    <row r="58" spans="1:9" ht="60" customHeight="1" x14ac:dyDescent="0.2">
      <c r="A58" s="4" t="s">
        <v>452</v>
      </c>
      <c r="B58" s="5">
        <v>57</v>
      </c>
      <c r="C58" s="4" t="s">
        <v>456</v>
      </c>
      <c r="D58" s="4"/>
      <c r="E58" s="4" t="s">
        <v>453</v>
      </c>
      <c r="F58" s="4"/>
      <c r="G58" s="4"/>
      <c r="H58" s="4"/>
      <c r="I58" s="4"/>
    </row>
    <row r="59" spans="1:9" ht="60" customHeight="1" x14ac:dyDescent="0.2">
      <c r="A59" s="4" t="s">
        <v>458</v>
      </c>
      <c r="B59" s="5">
        <v>58</v>
      </c>
      <c r="C59" s="4" t="s">
        <v>462</v>
      </c>
      <c r="D59" s="4"/>
      <c r="E59" s="4" t="s">
        <v>657</v>
      </c>
      <c r="F59" s="4"/>
      <c r="G59" s="4"/>
      <c r="H59" s="4"/>
      <c r="I59" s="4"/>
    </row>
    <row r="60" spans="1:9" ht="60" customHeight="1" x14ac:dyDescent="0.2">
      <c r="A60" s="4" t="s">
        <v>464</v>
      </c>
      <c r="B60" s="5">
        <v>59</v>
      </c>
      <c r="C60" s="4" t="s">
        <v>468</v>
      </c>
      <c r="D60" s="4"/>
      <c r="E60" s="4" t="s">
        <v>465</v>
      </c>
      <c r="F60" s="4"/>
      <c r="G60" s="4"/>
      <c r="H60" s="4"/>
      <c r="I60" s="4"/>
    </row>
    <row r="61" spans="1:9" ht="60" customHeight="1" x14ac:dyDescent="0.2">
      <c r="A61" s="4" t="s">
        <v>470</v>
      </c>
      <c r="B61" s="5">
        <v>60</v>
      </c>
      <c r="C61" s="4" t="s">
        <v>474</v>
      </c>
      <c r="D61" s="4"/>
      <c r="E61" s="4" t="s">
        <v>471</v>
      </c>
      <c r="F61" s="4"/>
      <c r="G61" s="4"/>
      <c r="H61" s="4"/>
      <c r="I61" s="4"/>
    </row>
    <row r="62" spans="1:9" ht="99.95" customHeight="1" x14ac:dyDescent="0.2">
      <c r="A62" s="4" t="s">
        <v>476</v>
      </c>
      <c r="B62" s="5">
        <v>61</v>
      </c>
      <c r="C62" s="4" t="s">
        <v>480</v>
      </c>
      <c r="D62" s="4"/>
      <c r="E62" s="4" t="s">
        <v>658</v>
      </c>
      <c r="F62" s="4"/>
      <c r="G62" s="4"/>
      <c r="H62" s="4"/>
      <c r="I62" s="4"/>
    </row>
    <row r="63" spans="1:9" ht="138.94999999999999" customHeight="1" x14ac:dyDescent="0.2">
      <c r="A63" s="4" t="s">
        <v>482</v>
      </c>
      <c r="B63" s="5">
        <v>62</v>
      </c>
      <c r="C63" s="4" t="s">
        <v>486</v>
      </c>
      <c r="D63" s="4"/>
      <c r="E63" s="4" t="s">
        <v>659</v>
      </c>
      <c r="F63" s="4"/>
      <c r="G63" s="4"/>
      <c r="H63" s="4"/>
      <c r="I63" s="4"/>
    </row>
    <row r="64" spans="1:9" ht="60" customHeight="1" x14ac:dyDescent="0.2">
      <c r="A64" s="4" t="s">
        <v>488</v>
      </c>
      <c r="B64" s="5">
        <v>63</v>
      </c>
      <c r="C64" s="4" t="s">
        <v>492</v>
      </c>
      <c r="D64" s="4"/>
      <c r="E64" s="4" t="s">
        <v>489</v>
      </c>
      <c r="F64" s="4"/>
      <c r="G64" s="4"/>
      <c r="H64" s="4"/>
      <c r="I64" s="4"/>
    </row>
    <row r="65" spans="1:9" ht="113.1" customHeight="1" x14ac:dyDescent="0.2">
      <c r="A65" s="4" t="s">
        <v>494</v>
      </c>
      <c r="B65" s="5">
        <v>64</v>
      </c>
      <c r="C65" s="4" t="s">
        <v>499</v>
      </c>
      <c r="D65" s="4"/>
      <c r="E65" s="4" t="s">
        <v>660</v>
      </c>
      <c r="F65" s="4"/>
      <c r="G65" s="4"/>
      <c r="H65" s="4"/>
      <c r="I65" s="4"/>
    </row>
    <row r="66" spans="1:9" ht="230.1" customHeight="1" x14ac:dyDescent="0.2">
      <c r="A66" s="4" t="s">
        <v>501</v>
      </c>
      <c r="B66" s="5">
        <v>65</v>
      </c>
      <c r="C66" s="4" t="s">
        <v>505</v>
      </c>
      <c r="D66" s="4"/>
      <c r="E66" s="4" t="s">
        <v>661</v>
      </c>
      <c r="F66" s="4"/>
      <c r="G66" s="4"/>
      <c r="H66" s="4"/>
      <c r="I66" s="4"/>
    </row>
    <row r="67" spans="1:9" ht="216.95" customHeight="1" x14ac:dyDescent="0.2">
      <c r="A67" s="4" t="s">
        <v>507</v>
      </c>
      <c r="B67" s="5">
        <v>66</v>
      </c>
      <c r="C67" s="4" t="s">
        <v>511</v>
      </c>
      <c r="D67" s="4"/>
      <c r="E67" s="4" t="s">
        <v>662</v>
      </c>
      <c r="F67" s="4"/>
      <c r="G67" s="4"/>
      <c r="H67" s="4"/>
      <c r="I67" s="4"/>
    </row>
    <row r="68" spans="1:9" ht="269.10000000000002" customHeight="1" x14ac:dyDescent="0.2">
      <c r="A68" s="4" t="s">
        <v>513</v>
      </c>
      <c r="B68" s="5">
        <v>67</v>
      </c>
      <c r="C68" s="4" t="s">
        <v>517</v>
      </c>
      <c r="D68" s="4"/>
      <c r="E68" s="4" t="s">
        <v>663</v>
      </c>
      <c r="F68" s="4"/>
      <c r="G68" s="4"/>
      <c r="H68" s="4"/>
      <c r="I68" s="4"/>
    </row>
    <row r="69" spans="1:9" ht="60" customHeight="1" x14ac:dyDescent="0.2">
      <c r="A69" s="4" t="s">
        <v>519</v>
      </c>
      <c r="B69" s="5">
        <v>68</v>
      </c>
      <c r="C69" s="4" t="s">
        <v>523</v>
      </c>
      <c r="D69" s="4"/>
      <c r="E69" s="4" t="s">
        <v>664</v>
      </c>
      <c r="F69" s="4"/>
      <c r="G69" s="4"/>
      <c r="H69" s="4"/>
      <c r="I69" s="4"/>
    </row>
    <row r="70" spans="1:9" ht="60" customHeight="1" x14ac:dyDescent="0.2">
      <c r="A70" s="4" t="s">
        <v>525</v>
      </c>
      <c r="B70" s="5">
        <v>69</v>
      </c>
      <c r="C70" s="4" t="s">
        <v>529</v>
      </c>
      <c r="D70" s="4"/>
      <c r="E70" s="4" t="s">
        <v>665</v>
      </c>
      <c r="F70" s="4"/>
      <c r="G70" s="4"/>
      <c r="H70" s="4"/>
      <c r="I70" s="4"/>
    </row>
    <row r="71" spans="1:9" ht="60" customHeight="1" x14ac:dyDescent="0.2">
      <c r="A71" s="4" t="s">
        <v>531</v>
      </c>
      <c r="B71" s="5">
        <v>70</v>
      </c>
      <c r="C71" s="4" t="s">
        <v>535</v>
      </c>
      <c r="D71" s="4"/>
      <c r="E71" s="4" t="s">
        <v>532</v>
      </c>
      <c r="F71" s="4"/>
      <c r="G71" s="4"/>
      <c r="H71" s="4"/>
      <c r="I71" s="4"/>
    </row>
    <row r="72" spans="1:9" ht="60" customHeight="1" x14ac:dyDescent="0.2">
      <c r="A72" s="4" t="s">
        <v>537</v>
      </c>
      <c r="B72" s="5">
        <v>71</v>
      </c>
      <c r="C72" s="4" t="s">
        <v>541</v>
      </c>
      <c r="D72" s="4"/>
      <c r="E72" s="4" t="s">
        <v>666</v>
      </c>
      <c r="F72" s="4"/>
      <c r="G72" s="4"/>
      <c r="H72" s="4"/>
      <c r="I72" s="4"/>
    </row>
    <row r="73" spans="1:9" ht="60" customHeight="1" x14ac:dyDescent="0.2">
      <c r="A73" s="4" t="s">
        <v>543</v>
      </c>
      <c r="B73" s="5">
        <v>72</v>
      </c>
      <c r="C73" s="4" t="s">
        <v>547</v>
      </c>
      <c r="D73" s="4"/>
      <c r="E73" s="4" t="s">
        <v>667</v>
      </c>
      <c r="F73" s="4"/>
      <c r="G73" s="4"/>
      <c r="H73" s="4"/>
      <c r="I73" s="4"/>
    </row>
    <row r="74" spans="1:9" ht="230.1" customHeight="1" x14ac:dyDescent="0.2">
      <c r="A74" s="4" t="s">
        <v>549</v>
      </c>
      <c r="B74" s="5">
        <v>73</v>
      </c>
      <c r="C74" s="4" t="s">
        <v>553</v>
      </c>
      <c r="D74" s="4"/>
      <c r="E74" s="4" t="s">
        <v>668</v>
      </c>
      <c r="F74" s="4"/>
      <c r="G74" s="4"/>
      <c r="H74" s="4"/>
      <c r="I74" s="4"/>
    </row>
    <row r="75" spans="1:9" ht="60" customHeight="1" x14ac:dyDescent="0.2">
      <c r="A75" s="4" t="s">
        <v>555</v>
      </c>
      <c r="B75" s="5">
        <v>74</v>
      </c>
      <c r="C75" s="4" t="s">
        <v>559</v>
      </c>
      <c r="D75" s="4"/>
      <c r="E75" s="4" t="s">
        <v>556</v>
      </c>
      <c r="F75" s="4"/>
      <c r="G75" s="4"/>
      <c r="H75" s="4"/>
      <c r="I75" s="4"/>
    </row>
    <row r="76" spans="1:9" ht="60" customHeight="1" x14ac:dyDescent="0.2">
      <c r="A76" s="4" t="s">
        <v>561</v>
      </c>
      <c r="B76" s="5">
        <v>75</v>
      </c>
      <c r="C76" s="4" t="s">
        <v>565</v>
      </c>
      <c r="D76" s="4"/>
      <c r="E76" s="4" t="s">
        <v>562</v>
      </c>
      <c r="F76" s="4"/>
      <c r="G76" s="4"/>
      <c r="H76" s="4"/>
      <c r="I76" s="4"/>
    </row>
    <row r="77" spans="1:9" ht="191.1" customHeight="1" x14ac:dyDescent="0.2">
      <c r="A77" s="4" t="s">
        <v>567</v>
      </c>
      <c r="B77" s="5">
        <v>76</v>
      </c>
      <c r="C77" s="4" t="s">
        <v>571</v>
      </c>
      <c r="D77" s="4"/>
      <c r="E77" s="4" t="s">
        <v>669</v>
      </c>
      <c r="F77" s="4"/>
      <c r="G77" s="4"/>
      <c r="H77" s="4"/>
      <c r="I77" s="4"/>
    </row>
    <row r="78" spans="1:9" ht="282" customHeight="1" x14ac:dyDescent="0.2">
      <c r="A78" s="4" t="s">
        <v>573</v>
      </c>
      <c r="B78" s="5">
        <v>77</v>
      </c>
      <c r="C78" s="4" t="s">
        <v>577</v>
      </c>
      <c r="D78" s="4" t="s">
        <v>579</v>
      </c>
      <c r="E78" s="4" t="s">
        <v>670</v>
      </c>
      <c r="F78" s="4" t="s">
        <v>671</v>
      </c>
      <c r="G78" s="4"/>
      <c r="H78" s="4"/>
      <c r="I78" s="4"/>
    </row>
    <row r="79" spans="1:9" ht="60.95" customHeight="1" x14ac:dyDescent="0.2">
      <c r="A79" s="4" t="s">
        <v>580</v>
      </c>
      <c r="B79" s="5">
        <v>78</v>
      </c>
      <c r="C79" s="4" t="s">
        <v>584</v>
      </c>
      <c r="D79" s="4" t="s">
        <v>137</v>
      </c>
      <c r="E79" s="4" t="s">
        <v>672</v>
      </c>
      <c r="F79" s="4"/>
      <c r="G79" s="4"/>
      <c r="H79" s="4"/>
      <c r="I79" s="4"/>
    </row>
    <row r="80" spans="1:9" ht="60" customHeight="1" x14ac:dyDescent="0.2">
      <c r="A80" s="4" t="s">
        <v>586</v>
      </c>
      <c r="B80" s="5">
        <v>79</v>
      </c>
      <c r="C80" s="4" t="s">
        <v>590</v>
      </c>
      <c r="D80" s="4"/>
      <c r="E80" s="4" t="s">
        <v>587</v>
      </c>
      <c r="F80" s="4"/>
      <c r="G80" s="4"/>
      <c r="H80" s="4"/>
      <c r="I80" s="4"/>
    </row>
    <row r="81" spans="1:9" ht="408.95" customHeight="1" x14ac:dyDescent="0.2">
      <c r="A81" s="4" t="s">
        <v>592</v>
      </c>
      <c r="B81" s="5">
        <v>80</v>
      </c>
      <c r="C81" s="4" t="s">
        <v>596</v>
      </c>
      <c r="D81" s="4" t="s">
        <v>598</v>
      </c>
      <c r="E81" s="4" t="s">
        <v>673</v>
      </c>
      <c r="F81" s="4" t="s">
        <v>674</v>
      </c>
      <c r="G81" s="4" t="s">
        <v>675</v>
      </c>
      <c r="H81" s="4" t="s">
        <v>676</v>
      </c>
      <c r="I81" s="4" t="s">
        <v>677</v>
      </c>
    </row>
    <row r="82" spans="1:9" ht="60" customHeight="1" x14ac:dyDescent="0.2">
      <c r="A82" s="4" t="s">
        <v>599</v>
      </c>
      <c r="B82" s="5">
        <v>81</v>
      </c>
      <c r="C82" s="4" t="s">
        <v>603</v>
      </c>
      <c r="D82" s="4"/>
      <c r="E82" s="4" t="s">
        <v>600</v>
      </c>
      <c r="F82" s="4"/>
      <c r="G82" s="4"/>
      <c r="H82" s="4"/>
      <c r="I82" s="4"/>
    </row>
    <row r="83" spans="1:9" ht="60" customHeight="1" x14ac:dyDescent="0.2">
      <c r="A83" s="4" t="s">
        <v>605</v>
      </c>
      <c r="B83" s="5">
        <v>82</v>
      </c>
      <c r="C83" s="4" t="s">
        <v>609</v>
      </c>
      <c r="D83" s="4"/>
      <c r="E83" s="4" t="s">
        <v>606</v>
      </c>
      <c r="F83" s="4"/>
      <c r="G83" s="4"/>
      <c r="H83" s="4"/>
      <c r="I83"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8"/>
  <sheetViews>
    <sheetView showGridLines="0" workbookViewId="0">
      <pane ySplit="1" topLeftCell="A2" activePane="bottomLeft" state="frozen"/>
      <selection pane="bottomLeft"/>
    </sheetView>
  </sheetViews>
  <sheetFormatPr defaultRowHeight="14.25" x14ac:dyDescent="0.2"/>
  <cols>
    <col min="1" max="1" width="24" customWidth="1"/>
    <col min="2" max="2" width="31" customWidth="1"/>
    <col min="3" max="3" width="145" customWidth="1"/>
  </cols>
  <sheetData>
    <row r="1" spans="1:3" ht="45.95" customHeight="1" x14ac:dyDescent="0.2">
      <c r="A1" s="2" t="s">
        <v>678</v>
      </c>
      <c r="B1" s="2" t="s">
        <v>679</v>
      </c>
      <c r="C1" s="2" t="s">
        <v>680</v>
      </c>
    </row>
    <row r="2" spans="1:3" ht="48" customHeight="1" x14ac:dyDescent="0.2">
      <c r="A2" s="4" t="s">
        <v>681</v>
      </c>
      <c r="B2" s="4" t="s">
        <v>682</v>
      </c>
      <c r="C2" s="4" t="s">
        <v>683</v>
      </c>
    </row>
    <row r="3" spans="1:3" ht="48" customHeight="1" x14ac:dyDescent="0.2">
      <c r="A3" s="4" t="s">
        <v>681</v>
      </c>
      <c r="B3" s="4" t="s">
        <v>684</v>
      </c>
      <c r="C3" s="4" t="s">
        <v>685</v>
      </c>
    </row>
    <row r="4" spans="1:3" ht="48" customHeight="1" x14ac:dyDescent="0.2">
      <c r="A4" s="4" t="s">
        <v>681</v>
      </c>
      <c r="B4" s="4" t="s">
        <v>686</v>
      </c>
      <c r="C4" s="4" t="s">
        <v>687</v>
      </c>
    </row>
    <row r="5" spans="1:3" ht="62.1" customHeight="1" x14ac:dyDescent="0.2">
      <c r="A5" s="4" t="s">
        <v>681</v>
      </c>
      <c r="B5" s="4" t="s">
        <v>688</v>
      </c>
      <c r="C5" s="4" t="s">
        <v>689</v>
      </c>
    </row>
    <row r="6" spans="1:3" ht="62.1" customHeight="1" x14ac:dyDescent="0.2">
      <c r="A6" s="4" t="s">
        <v>681</v>
      </c>
      <c r="B6" s="4" t="s">
        <v>690</v>
      </c>
      <c r="C6" s="4" t="s">
        <v>691</v>
      </c>
    </row>
    <row r="7" spans="1:3" ht="48" customHeight="1" x14ac:dyDescent="0.2">
      <c r="A7" s="4" t="s">
        <v>681</v>
      </c>
      <c r="B7" s="4" t="s">
        <v>692</v>
      </c>
      <c r="C7" s="4" t="s">
        <v>693</v>
      </c>
    </row>
    <row r="8" spans="1:3" ht="48" customHeight="1" x14ac:dyDescent="0.2">
      <c r="A8" s="4" t="s">
        <v>681</v>
      </c>
      <c r="B8" s="4" t="s">
        <v>694</v>
      </c>
      <c r="C8" s="4" t="s">
        <v>695</v>
      </c>
    </row>
    <row r="9" spans="1:3" ht="48" customHeight="1" x14ac:dyDescent="0.2">
      <c r="A9" s="4" t="s">
        <v>681</v>
      </c>
      <c r="B9" s="4" t="s">
        <v>696</v>
      </c>
      <c r="C9" s="4" t="s">
        <v>697</v>
      </c>
    </row>
    <row r="10" spans="1:3" ht="62.1" customHeight="1" x14ac:dyDescent="0.2">
      <c r="A10" s="4" t="s">
        <v>681</v>
      </c>
      <c r="B10" s="4" t="s">
        <v>698</v>
      </c>
      <c r="C10" s="4" t="s">
        <v>699</v>
      </c>
    </row>
    <row r="11" spans="1:3" ht="62.1" customHeight="1" x14ac:dyDescent="0.2">
      <c r="A11" s="4" t="s">
        <v>681</v>
      </c>
      <c r="B11" s="4" t="s">
        <v>700</v>
      </c>
      <c r="C11" s="4" t="s">
        <v>701</v>
      </c>
    </row>
    <row r="12" spans="1:3" ht="62.1" customHeight="1" x14ac:dyDescent="0.2">
      <c r="A12" s="4" t="s">
        <v>681</v>
      </c>
      <c r="B12" s="4" t="s">
        <v>702</v>
      </c>
      <c r="C12" s="4" t="s">
        <v>703</v>
      </c>
    </row>
    <row r="13" spans="1:3" ht="48" customHeight="1" x14ac:dyDescent="0.2">
      <c r="A13" s="4" t="s">
        <v>681</v>
      </c>
      <c r="B13" s="4" t="s">
        <v>704</v>
      </c>
      <c r="C13" s="4" t="s">
        <v>705</v>
      </c>
    </row>
    <row r="14" spans="1:3" ht="48" customHeight="1" x14ac:dyDescent="0.2">
      <c r="A14" s="4" t="s">
        <v>681</v>
      </c>
      <c r="B14" s="4" t="s">
        <v>706</v>
      </c>
      <c r="C14" s="4" t="s">
        <v>707</v>
      </c>
    </row>
    <row r="15" spans="1:3" ht="48" customHeight="1" x14ac:dyDescent="0.2">
      <c r="A15" s="4" t="s">
        <v>681</v>
      </c>
      <c r="B15" s="4" t="s">
        <v>708</v>
      </c>
      <c r="C15" s="4" t="s">
        <v>709</v>
      </c>
    </row>
    <row r="16" spans="1:3" ht="42" customHeight="1" x14ac:dyDescent="0.2">
      <c r="A16" s="4" t="s">
        <v>6</v>
      </c>
      <c r="B16" s="4" t="s">
        <v>14</v>
      </c>
      <c r="C16" s="4" t="s">
        <v>710</v>
      </c>
    </row>
    <row r="17" spans="1:3" ht="48" customHeight="1" x14ac:dyDescent="0.2">
      <c r="A17" s="4" t="s">
        <v>6</v>
      </c>
      <c r="B17" s="4" t="s">
        <v>17</v>
      </c>
      <c r="C17" s="4" t="s">
        <v>711</v>
      </c>
    </row>
    <row r="18" spans="1:3" ht="42" customHeight="1" x14ac:dyDescent="0.2">
      <c r="A18" s="4" t="s">
        <v>6</v>
      </c>
      <c r="B18" s="4" t="s">
        <v>20</v>
      </c>
      <c r="C18" s="4" t="s">
        <v>712</v>
      </c>
    </row>
    <row r="19" spans="1:3" ht="42" customHeight="1" x14ac:dyDescent="0.2">
      <c r="A19" s="4" t="s">
        <v>6</v>
      </c>
      <c r="B19" s="4" t="s">
        <v>23</v>
      </c>
      <c r="C19" s="4" t="s">
        <v>713</v>
      </c>
    </row>
    <row r="20" spans="1:3" ht="42" customHeight="1" x14ac:dyDescent="0.2">
      <c r="A20" s="4" t="s">
        <v>6</v>
      </c>
      <c r="B20" s="4" t="s">
        <v>26</v>
      </c>
      <c r="C20" s="4" t="s">
        <v>714</v>
      </c>
    </row>
    <row r="21" spans="1:3" ht="48" customHeight="1" x14ac:dyDescent="0.2">
      <c r="A21" s="4" t="s">
        <v>6</v>
      </c>
      <c r="B21" s="4" t="s">
        <v>29</v>
      </c>
      <c r="C21" s="4" t="s">
        <v>715</v>
      </c>
    </row>
    <row r="22" spans="1:3" ht="42" customHeight="1" x14ac:dyDescent="0.2">
      <c r="A22" s="4" t="s">
        <v>6</v>
      </c>
      <c r="B22" s="4" t="s">
        <v>31</v>
      </c>
      <c r="C22" s="4" t="s">
        <v>716</v>
      </c>
    </row>
    <row r="23" spans="1:3" ht="48" customHeight="1" x14ac:dyDescent="0.2">
      <c r="A23" s="4" t="s">
        <v>6</v>
      </c>
      <c r="B23" s="4" t="s">
        <v>34</v>
      </c>
      <c r="C23" s="4" t="s">
        <v>717</v>
      </c>
    </row>
    <row r="24" spans="1:3" ht="42" customHeight="1" x14ac:dyDescent="0.2">
      <c r="A24" s="4" t="s">
        <v>10</v>
      </c>
      <c r="B24" s="4" t="s">
        <v>15</v>
      </c>
      <c r="C24" s="4" t="s">
        <v>718</v>
      </c>
    </row>
    <row r="25" spans="1:3" ht="42" customHeight="1" x14ac:dyDescent="0.2">
      <c r="A25" s="4" t="s">
        <v>10</v>
      </c>
      <c r="B25" s="4" t="s">
        <v>18</v>
      </c>
      <c r="C25" s="4" t="s">
        <v>719</v>
      </c>
    </row>
    <row r="26" spans="1:3" ht="42" customHeight="1" x14ac:dyDescent="0.2">
      <c r="A26" s="4" t="s">
        <v>10</v>
      </c>
      <c r="B26" s="4" t="s">
        <v>21</v>
      </c>
      <c r="C26" s="4" t="s">
        <v>720</v>
      </c>
    </row>
    <row r="27" spans="1:3" ht="42" customHeight="1" x14ac:dyDescent="0.2">
      <c r="A27" s="4" t="s">
        <v>10</v>
      </c>
      <c r="B27" s="4" t="s">
        <v>24</v>
      </c>
      <c r="C27" s="4" t="s">
        <v>721</v>
      </c>
    </row>
    <row r="28" spans="1:3" ht="42" customHeight="1" x14ac:dyDescent="0.2">
      <c r="A28" s="4" t="s">
        <v>10</v>
      </c>
      <c r="B28" s="4" t="s">
        <v>27</v>
      </c>
      <c r="C28" s="4" t="s">
        <v>722</v>
      </c>
    </row>
    <row r="29" spans="1:3" ht="42" customHeight="1" x14ac:dyDescent="0.2">
      <c r="A29" s="4" t="s">
        <v>13</v>
      </c>
      <c r="B29" s="4" t="s">
        <v>16</v>
      </c>
      <c r="C29" s="4" t="s">
        <v>723</v>
      </c>
    </row>
    <row r="30" spans="1:3" ht="42" customHeight="1" x14ac:dyDescent="0.2">
      <c r="A30" s="4" t="s">
        <v>13</v>
      </c>
      <c r="B30" s="4" t="s">
        <v>19</v>
      </c>
      <c r="C30" s="4" t="s">
        <v>724</v>
      </c>
    </row>
    <row r="31" spans="1:3" ht="42" customHeight="1" x14ac:dyDescent="0.2">
      <c r="A31" s="4" t="s">
        <v>13</v>
      </c>
      <c r="B31" s="4" t="s">
        <v>22</v>
      </c>
      <c r="C31" s="4" t="s">
        <v>725</v>
      </c>
    </row>
    <row r="32" spans="1:3" ht="42" customHeight="1" x14ac:dyDescent="0.2">
      <c r="A32" s="4" t="s">
        <v>13</v>
      </c>
      <c r="B32" s="4" t="s">
        <v>25</v>
      </c>
      <c r="C32" s="4" t="s">
        <v>726</v>
      </c>
    </row>
    <row r="33" spans="1:3" ht="42" customHeight="1" x14ac:dyDescent="0.2">
      <c r="A33" s="4" t="s">
        <v>13</v>
      </c>
      <c r="B33" s="4" t="s">
        <v>28</v>
      </c>
      <c r="C33" s="4" t="s">
        <v>727</v>
      </c>
    </row>
    <row r="34" spans="1:3" ht="42" customHeight="1" x14ac:dyDescent="0.2">
      <c r="A34" s="4" t="s">
        <v>13</v>
      </c>
      <c r="B34" s="4" t="s">
        <v>30</v>
      </c>
      <c r="C34" s="4" t="s">
        <v>728</v>
      </c>
    </row>
    <row r="35" spans="1:3" ht="48" customHeight="1" x14ac:dyDescent="0.2">
      <c r="A35" s="4" t="s">
        <v>13</v>
      </c>
      <c r="B35" s="4" t="s">
        <v>33</v>
      </c>
      <c r="C35" s="4" t="s">
        <v>729</v>
      </c>
    </row>
    <row r="36" spans="1:3" ht="48" customHeight="1" x14ac:dyDescent="0.2">
      <c r="A36" s="4" t="s">
        <v>730</v>
      </c>
      <c r="B36" s="4" t="s">
        <v>731</v>
      </c>
      <c r="C36" s="4" t="s">
        <v>732</v>
      </c>
    </row>
    <row r="37" spans="1:3" ht="48" customHeight="1" x14ac:dyDescent="0.2">
      <c r="A37" s="4" t="s">
        <v>730</v>
      </c>
      <c r="B37" s="4" t="s">
        <v>733</v>
      </c>
      <c r="C37" s="4" t="s">
        <v>734</v>
      </c>
    </row>
    <row r="38" spans="1:3" ht="48" customHeight="1" x14ac:dyDescent="0.2">
      <c r="A38" s="4" t="s">
        <v>735</v>
      </c>
      <c r="B38" s="4" t="s">
        <v>736</v>
      </c>
      <c r="C38" s="4" t="s">
        <v>737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Coding</vt:lpstr>
      <vt:lpstr>Human prompts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Vahid Garousi</cp:lastModifiedBy>
  <dcterms:modified xsi:type="dcterms:W3CDTF">2026-10-05T21:18:02Z</dcterms:modified>
</cp:coreProperties>
</file>