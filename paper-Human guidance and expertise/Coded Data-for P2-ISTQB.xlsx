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qubstudentcloud-my.sharepoint.com/personal/3054738_ads_qub_ac_uk/Documents/my_drafts/A-IN PREPARATION (WRITING)/just AI/AI research &amp; writing/3-Human Expertise/Analyzed XLSs/"/>
    </mc:Choice>
  </mc:AlternateContent>
  <xr:revisionPtr revIDLastSave="43" documentId="11_7083E4B3FD6C632201391F4FBDCF1E71B17B0451" xr6:coauthVersionLast="47" xr6:coauthVersionMax="47" xr10:uidLastSave="{0809D0CD-441D-4A20-9907-9F0E2CF11728}"/>
  <bookViews>
    <workbookView xWindow="-28920" yWindow="-120" windowWidth="29040" windowHeight="15720" xr2:uid="{00000000-000D-0000-FFFF-FFFF00000000}"/>
  </bookViews>
  <sheets>
    <sheet name="Summary" sheetId="1" r:id="rId1"/>
    <sheet name="Coding" sheetId="2" r:id="rId2"/>
    <sheet name="Human prompts" sheetId="3" r:id="rId3"/>
    <sheet name="Codebook"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2" l="1"/>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2" i="2"/>
  <c r="AE133" i="2"/>
  <c r="AD133" i="2"/>
  <c r="AC133" i="2"/>
  <c r="AB133" i="2"/>
  <c r="AA133" i="2"/>
  <c r="Z133" i="2"/>
  <c r="Y133" i="2"/>
  <c r="W133" i="2"/>
  <c r="V133" i="2"/>
  <c r="U133" i="2"/>
  <c r="T133" i="2"/>
  <c r="S133" i="2"/>
  <c r="R133" i="2"/>
  <c r="Q133" i="2"/>
  <c r="P133" i="2"/>
  <c r="AE132" i="2"/>
  <c r="AD132" i="2"/>
  <c r="AC132" i="2"/>
  <c r="AB132" i="2"/>
  <c r="AA132" i="2"/>
  <c r="Z132" i="2"/>
  <c r="Y132" i="2"/>
  <c r="W132" i="2"/>
  <c r="V132" i="2"/>
  <c r="U132" i="2"/>
  <c r="T132" i="2"/>
  <c r="S132" i="2"/>
  <c r="R132" i="2"/>
  <c r="Q132" i="2"/>
  <c r="P132" i="2"/>
  <c r="AE131" i="2"/>
  <c r="AD131" i="2"/>
  <c r="AC131" i="2"/>
  <c r="AB131" i="2"/>
  <c r="AA131" i="2"/>
  <c r="Z131" i="2"/>
  <c r="Y131" i="2"/>
  <c r="W131" i="2"/>
  <c r="V131" i="2"/>
  <c r="U131" i="2"/>
  <c r="T131" i="2"/>
  <c r="S131" i="2"/>
  <c r="R131" i="2"/>
  <c r="Q131" i="2"/>
  <c r="P131" i="2"/>
  <c r="AE130" i="2"/>
  <c r="AD130" i="2"/>
  <c r="AC130" i="2"/>
  <c r="AB130" i="2"/>
  <c r="AA130" i="2"/>
  <c r="Z130" i="2"/>
  <c r="Y130" i="2"/>
  <c r="W130" i="2"/>
  <c r="V130" i="2"/>
  <c r="U130" i="2"/>
  <c r="T130" i="2"/>
  <c r="S130" i="2"/>
  <c r="R130" i="2"/>
  <c r="Q130" i="2"/>
  <c r="P130" i="2"/>
  <c r="AE129" i="2"/>
  <c r="AD129" i="2"/>
  <c r="AC129" i="2"/>
  <c r="AB129" i="2"/>
  <c r="AA129" i="2"/>
  <c r="Z129" i="2"/>
  <c r="Y129" i="2"/>
  <c r="W129" i="2"/>
  <c r="V129" i="2"/>
  <c r="U129" i="2"/>
  <c r="T129" i="2"/>
  <c r="S129" i="2"/>
  <c r="R129" i="2"/>
  <c r="Q129" i="2"/>
  <c r="P129" i="2"/>
  <c r="AE128" i="2"/>
  <c r="AD128" i="2"/>
  <c r="AC128" i="2"/>
  <c r="AB128" i="2"/>
  <c r="AA128" i="2"/>
  <c r="Z128" i="2"/>
  <c r="Y128" i="2"/>
  <c r="W128" i="2"/>
  <c r="V128" i="2"/>
  <c r="U128" i="2"/>
  <c r="T128" i="2"/>
  <c r="S128" i="2"/>
  <c r="R128" i="2"/>
  <c r="Q128" i="2"/>
  <c r="P128" i="2"/>
  <c r="AE127" i="2"/>
  <c r="AD127" i="2"/>
  <c r="AC127" i="2"/>
  <c r="AB127" i="2"/>
  <c r="AA127" i="2"/>
  <c r="Z127" i="2"/>
  <c r="Y127" i="2"/>
  <c r="W127" i="2"/>
  <c r="V127" i="2"/>
  <c r="U127" i="2"/>
  <c r="T127" i="2"/>
  <c r="S127" i="2"/>
  <c r="R127" i="2"/>
  <c r="Q127" i="2"/>
  <c r="P127" i="2"/>
  <c r="AE126" i="2"/>
  <c r="AD126" i="2"/>
  <c r="AC126" i="2"/>
  <c r="AB126" i="2"/>
  <c r="AA126" i="2"/>
  <c r="Z126" i="2"/>
  <c r="Y126" i="2"/>
  <c r="W126" i="2"/>
  <c r="V126" i="2"/>
  <c r="U126" i="2"/>
  <c r="T126" i="2"/>
  <c r="S126" i="2"/>
  <c r="R126" i="2"/>
  <c r="Q126" i="2"/>
  <c r="P126" i="2"/>
  <c r="AE125" i="2"/>
  <c r="AD125" i="2"/>
  <c r="AC125" i="2"/>
  <c r="AB125" i="2"/>
  <c r="AA125" i="2"/>
  <c r="Z125" i="2"/>
  <c r="Y125" i="2"/>
  <c r="W125" i="2"/>
  <c r="V125" i="2"/>
  <c r="U125" i="2"/>
  <c r="T125" i="2"/>
  <c r="S125" i="2"/>
  <c r="R125" i="2"/>
  <c r="Q125" i="2"/>
  <c r="P125" i="2"/>
  <c r="AE124" i="2"/>
  <c r="AD124" i="2"/>
  <c r="AC124" i="2"/>
  <c r="AB124" i="2"/>
  <c r="AA124" i="2"/>
  <c r="Z124" i="2"/>
  <c r="Y124" i="2"/>
  <c r="W124" i="2"/>
  <c r="V124" i="2"/>
  <c r="U124" i="2"/>
  <c r="T124" i="2"/>
  <c r="S124" i="2"/>
  <c r="R124" i="2"/>
  <c r="Q124" i="2"/>
  <c r="P124" i="2"/>
  <c r="AE123" i="2"/>
  <c r="AD123" i="2"/>
  <c r="AC123" i="2"/>
  <c r="AB123" i="2"/>
  <c r="AA123" i="2"/>
  <c r="Z123" i="2"/>
  <c r="Y123" i="2"/>
  <c r="W123" i="2"/>
  <c r="V123" i="2"/>
  <c r="U123" i="2"/>
  <c r="T123" i="2"/>
  <c r="S123" i="2"/>
  <c r="R123" i="2"/>
  <c r="Q123" i="2"/>
  <c r="P123" i="2"/>
  <c r="AE122" i="2"/>
  <c r="AD122" i="2"/>
  <c r="AC122" i="2"/>
  <c r="AB122" i="2"/>
  <c r="AA122" i="2"/>
  <c r="Z122" i="2"/>
  <c r="Y122" i="2"/>
  <c r="W122" i="2"/>
  <c r="V122" i="2"/>
  <c r="U122" i="2"/>
  <c r="T122" i="2"/>
  <c r="S122" i="2"/>
  <c r="R122" i="2"/>
  <c r="Q122" i="2"/>
  <c r="P122" i="2"/>
  <c r="AE121" i="2"/>
  <c r="AD121" i="2"/>
  <c r="AC121" i="2"/>
  <c r="AB121" i="2"/>
  <c r="AA121" i="2"/>
  <c r="Z121" i="2"/>
  <c r="Y121" i="2"/>
  <c r="W121" i="2"/>
  <c r="V121" i="2"/>
  <c r="U121" i="2"/>
  <c r="T121" i="2"/>
  <c r="S121" i="2"/>
  <c r="R121" i="2"/>
  <c r="Q121" i="2"/>
  <c r="P121" i="2"/>
  <c r="AE120" i="2"/>
  <c r="AD120" i="2"/>
  <c r="AC120" i="2"/>
  <c r="AB120" i="2"/>
  <c r="AA120" i="2"/>
  <c r="Z120" i="2"/>
  <c r="Y120" i="2"/>
  <c r="W120" i="2"/>
  <c r="V120" i="2"/>
  <c r="U120" i="2"/>
  <c r="T120" i="2"/>
  <c r="S120" i="2"/>
  <c r="R120" i="2"/>
  <c r="Q120" i="2"/>
  <c r="P120" i="2"/>
  <c r="AE119" i="2"/>
  <c r="AD119" i="2"/>
  <c r="AC119" i="2"/>
  <c r="AB119" i="2"/>
  <c r="AA119" i="2"/>
  <c r="Z119" i="2"/>
  <c r="Y119" i="2"/>
  <c r="W119" i="2"/>
  <c r="V119" i="2"/>
  <c r="U119" i="2"/>
  <c r="T119" i="2"/>
  <c r="S119" i="2"/>
  <c r="R119" i="2"/>
  <c r="Q119" i="2"/>
  <c r="P119" i="2"/>
  <c r="AE118" i="2"/>
  <c r="AD118" i="2"/>
  <c r="AC118" i="2"/>
  <c r="AB118" i="2"/>
  <c r="AA118" i="2"/>
  <c r="Z118" i="2"/>
  <c r="Y118" i="2"/>
  <c r="W118" i="2"/>
  <c r="V118" i="2"/>
  <c r="U118" i="2"/>
  <c r="T118" i="2"/>
  <c r="S118" i="2"/>
  <c r="R118" i="2"/>
  <c r="Q118" i="2"/>
  <c r="P118" i="2"/>
  <c r="AE117" i="2"/>
  <c r="AD117" i="2"/>
  <c r="AC117" i="2"/>
  <c r="AB117" i="2"/>
  <c r="AA117" i="2"/>
  <c r="Z117" i="2"/>
  <c r="Y117" i="2"/>
  <c r="W117" i="2"/>
  <c r="V117" i="2"/>
  <c r="U117" i="2"/>
  <c r="T117" i="2"/>
  <c r="S117" i="2"/>
  <c r="R117" i="2"/>
  <c r="Q117" i="2"/>
  <c r="P117" i="2"/>
  <c r="AE116" i="2"/>
  <c r="AD116" i="2"/>
  <c r="AC116" i="2"/>
  <c r="AB116" i="2"/>
  <c r="AA116" i="2"/>
  <c r="Z116" i="2"/>
  <c r="Y116" i="2"/>
  <c r="W116" i="2"/>
  <c r="V116" i="2"/>
  <c r="U116" i="2"/>
  <c r="T116" i="2"/>
  <c r="S116" i="2"/>
  <c r="R116" i="2"/>
  <c r="Q116" i="2"/>
  <c r="P116" i="2"/>
  <c r="AE115" i="2"/>
  <c r="AD115" i="2"/>
  <c r="AC115" i="2"/>
  <c r="AB115" i="2"/>
  <c r="AA115" i="2"/>
  <c r="Z115" i="2"/>
  <c r="Y115" i="2"/>
  <c r="W115" i="2"/>
  <c r="V115" i="2"/>
  <c r="U115" i="2"/>
  <c r="T115" i="2"/>
  <c r="S115" i="2"/>
  <c r="R115" i="2"/>
  <c r="Q115" i="2"/>
  <c r="P115" i="2"/>
  <c r="AE114" i="2"/>
  <c r="AD114" i="2"/>
  <c r="AC114" i="2"/>
  <c r="AB114" i="2"/>
  <c r="AA114" i="2"/>
  <c r="Z114" i="2"/>
  <c r="Y114" i="2"/>
  <c r="W114" i="2"/>
  <c r="V114" i="2"/>
  <c r="U114" i="2"/>
  <c r="T114" i="2"/>
  <c r="S114" i="2"/>
  <c r="R114" i="2"/>
  <c r="Q114" i="2"/>
  <c r="P114" i="2"/>
  <c r="AE113" i="2"/>
  <c r="AD113" i="2"/>
  <c r="AC113" i="2"/>
  <c r="AB113" i="2"/>
  <c r="AA113" i="2"/>
  <c r="Z113" i="2"/>
  <c r="Y113" i="2"/>
  <c r="W113" i="2"/>
  <c r="V113" i="2"/>
  <c r="U113" i="2"/>
  <c r="T113" i="2"/>
  <c r="S113" i="2"/>
  <c r="R113" i="2"/>
  <c r="Q113" i="2"/>
  <c r="P113" i="2"/>
  <c r="AE112" i="2"/>
  <c r="AD112" i="2"/>
  <c r="AC112" i="2"/>
  <c r="AB112" i="2"/>
  <c r="AA112" i="2"/>
  <c r="Z112" i="2"/>
  <c r="Y112" i="2"/>
  <c r="W112" i="2"/>
  <c r="V112" i="2"/>
  <c r="U112" i="2"/>
  <c r="T112" i="2"/>
  <c r="S112" i="2"/>
  <c r="R112" i="2"/>
  <c r="Q112" i="2"/>
  <c r="P112" i="2"/>
  <c r="AE111" i="2"/>
  <c r="AD111" i="2"/>
  <c r="AC111" i="2"/>
  <c r="AB111" i="2"/>
  <c r="AA111" i="2"/>
  <c r="Z111" i="2"/>
  <c r="Y111" i="2"/>
  <c r="W111" i="2"/>
  <c r="V111" i="2"/>
  <c r="U111" i="2"/>
  <c r="T111" i="2"/>
  <c r="S111" i="2"/>
  <c r="R111" i="2"/>
  <c r="Q111" i="2"/>
  <c r="P111" i="2"/>
  <c r="AE110" i="2"/>
  <c r="AD110" i="2"/>
  <c r="AC110" i="2"/>
  <c r="AB110" i="2"/>
  <c r="AA110" i="2"/>
  <c r="Z110" i="2"/>
  <c r="Y110" i="2"/>
  <c r="W110" i="2"/>
  <c r="V110" i="2"/>
  <c r="U110" i="2"/>
  <c r="T110" i="2"/>
  <c r="S110" i="2"/>
  <c r="R110" i="2"/>
  <c r="Q110" i="2"/>
  <c r="P110" i="2"/>
  <c r="AE109" i="2"/>
  <c r="AD109" i="2"/>
  <c r="AC109" i="2"/>
  <c r="AB109" i="2"/>
  <c r="AA109" i="2"/>
  <c r="Z109" i="2"/>
  <c r="Y109" i="2"/>
  <c r="W109" i="2"/>
  <c r="V109" i="2"/>
  <c r="U109" i="2"/>
  <c r="T109" i="2"/>
  <c r="S109" i="2"/>
  <c r="R109" i="2"/>
  <c r="Q109" i="2"/>
  <c r="P109" i="2"/>
  <c r="AE108" i="2"/>
  <c r="AD108" i="2"/>
  <c r="AC108" i="2"/>
  <c r="AB108" i="2"/>
  <c r="AA108" i="2"/>
  <c r="Z108" i="2"/>
  <c r="Y108" i="2"/>
  <c r="W108" i="2"/>
  <c r="V108" i="2"/>
  <c r="U108" i="2"/>
  <c r="T108" i="2"/>
  <c r="S108" i="2"/>
  <c r="R108" i="2"/>
  <c r="Q108" i="2"/>
  <c r="P108" i="2"/>
  <c r="AE107" i="2"/>
  <c r="AD107" i="2"/>
  <c r="AC107" i="2"/>
  <c r="AB107" i="2"/>
  <c r="AA107" i="2"/>
  <c r="Z107" i="2"/>
  <c r="Y107" i="2"/>
  <c r="W107" i="2"/>
  <c r="V107" i="2"/>
  <c r="U107" i="2"/>
  <c r="T107" i="2"/>
  <c r="S107" i="2"/>
  <c r="R107" i="2"/>
  <c r="Q107" i="2"/>
  <c r="P107" i="2"/>
  <c r="AE106" i="2"/>
  <c r="AD106" i="2"/>
  <c r="AC106" i="2"/>
  <c r="AB106" i="2"/>
  <c r="AA106" i="2"/>
  <c r="Z106" i="2"/>
  <c r="Y106" i="2"/>
  <c r="W106" i="2"/>
  <c r="V106" i="2"/>
  <c r="U106" i="2"/>
  <c r="T106" i="2"/>
  <c r="S106" i="2"/>
  <c r="R106" i="2"/>
  <c r="Q106" i="2"/>
  <c r="P106" i="2"/>
  <c r="AE105" i="2"/>
  <c r="AD105" i="2"/>
  <c r="AC105" i="2"/>
  <c r="AB105" i="2"/>
  <c r="AA105" i="2"/>
  <c r="Z105" i="2"/>
  <c r="Y105" i="2"/>
  <c r="W105" i="2"/>
  <c r="V105" i="2"/>
  <c r="U105" i="2"/>
  <c r="T105" i="2"/>
  <c r="S105" i="2"/>
  <c r="R105" i="2"/>
  <c r="Q105" i="2"/>
  <c r="P105" i="2"/>
  <c r="AE104" i="2"/>
  <c r="AD104" i="2"/>
  <c r="AC104" i="2"/>
  <c r="AB104" i="2"/>
  <c r="AA104" i="2"/>
  <c r="Z104" i="2"/>
  <c r="Y104" i="2"/>
  <c r="W104" i="2"/>
  <c r="V104" i="2"/>
  <c r="U104" i="2"/>
  <c r="T104" i="2"/>
  <c r="S104" i="2"/>
  <c r="R104" i="2"/>
  <c r="Q104" i="2"/>
  <c r="P104" i="2"/>
  <c r="AE103" i="2"/>
  <c r="AD103" i="2"/>
  <c r="AC103" i="2"/>
  <c r="AB103" i="2"/>
  <c r="AA103" i="2"/>
  <c r="Z103" i="2"/>
  <c r="Y103" i="2"/>
  <c r="W103" i="2"/>
  <c r="V103" i="2"/>
  <c r="U103" i="2"/>
  <c r="T103" i="2"/>
  <c r="S103" i="2"/>
  <c r="R103" i="2"/>
  <c r="Q103" i="2"/>
  <c r="P103" i="2"/>
  <c r="AE102" i="2"/>
  <c r="AD102" i="2"/>
  <c r="AC102" i="2"/>
  <c r="AB102" i="2"/>
  <c r="AA102" i="2"/>
  <c r="Z102" i="2"/>
  <c r="Y102" i="2"/>
  <c r="W102" i="2"/>
  <c r="V102" i="2"/>
  <c r="U102" i="2"/>
  <c r="T102" i="2"/>
  <c r="S102" i="2"/>
  <c r="R102" i="2"/>
  <c r="Q102" i="2"/>
  <c r="P102" i="2"/>
  <c r="AE101" i="2"/>
  <c r="AD101" i="2"/>
  <c r="AC101" i="2"/>
  <c r="AB101" i="2"/>
  <c r="AA101" i="2"/>
  <c r="Z101" i="2"/>
  <c r="Y101" i="2"/>
  <c r="W101" i="2"/>
  <c r="V101" i="2"/>
  <c r="U101" i="2"/>
  <c r="T101" i="2"/>
  <c r="S101" i="2"/>
  <c r="R101" i="2"/>
  <c r="Q101" i="2"/>
  <c r="P101" i="2"/>
  <c r="AE100" i="2"/>
  <c r="AD100" i="2"/>
  <c r="AC100" i="2"/>
  <c r="AB100" i="2"/>
  <c r="AA100" i="2"/>
  <c r="Z100" i="2"/>
  <c r="Y100" i="2"/>
  <c r="W100" i="2"/>
  <c r="V100" i="2"/>
  <c r="U100" i="2"/>
  <c r="T100" i="2"/>
  <c r="S100" i="2"/>
  <c r="R100" i="2"/>
  <c r="Q100" i="2"/>
  <c r="P100" i="2"/>
  <c r="AE99" i="2"/>
  <c r="AD99" i="2"/>
  <c r="AC99" i="2"/>
  <c r="AB99" i="2"/>
  <c r="AA99" i="2"/>
  <c r="Z99" i="2"/>
  <c r="Y99" i="2"/>
  <c r="W99" i="2"/>
  <c r="V99" i="2"/>
  <c r="U99" i="2"/>
  <c r="T99" i="2"/>
  <c r="S99" i="2"/>
  <c r="R99" i="2"/>
  <c r="Q99" i="2"/>
  <c r="P99" i="2"/>
  <c r="AE98" i="2"/>
  <c r="AD98" i="2"/>
  <c r="AC98" i="2"/>
  <c r="AB98" i="2"/>
  <c r="AA98" i="2"/>
  <c r="Z98" i="2"/>
  <c r="Y98" i="2"/>
  <c r="W98" i="2"/>
  <c r="V98" i="2"/>
  <c r="U98" i="2"/>
  <c r="T98" i="2"/>
  <c r="S98" i="2"/>
  <c r="R98" i="2"/>
  <c r="Q98" i="2"/>
  <c r="P98" i="2"/>
  <c r="AE97" i="2"/>
  <c r="AD97" i="2"/>
  <c r="AC97" i="2"/>
  <c r="AB97" i="2"/>
  <c r="AA97" i="2"/>
  <c r="Z97" i="2"/>
  <c r="Y97" i="2"/>
  <c r="W97" i="2"/>
  <c r="V97" i="2"/>
  <c r="U97" i="2"/>
  <c r="T97" i="2"/>
  <c r="S97" i="2"/>
  <c r="R97" i="2"/>
  <c r="Q97" i="2"/>
  <c r="P97" i="2"/>
  <c r="AE96" i="2"/>
  <c r="AD96" i="2"/>
  <c r="AC96" i="2"/>
  <c r="AB96" i="2"/>
  <c r="AA96" i="2"/>
  <c r="Z96" i="2"/>
  <c r="Y96" i="2"/>
  <c r="W96" i="2"/>
  <c r="V96" i="2"/>
  <c r="U96" i="2"/>
  <c r="T96" i="2"/>
  <c r="S96" i="2"/>
  <c r="R96" i="2"/>
  <c r="Q96" i="2"/>
  <c r="P96" i="2"/>
  <c r="AE95" i="2"/>
  <c r="AD95" i="2"/>
  <c r="AC95" i="2"/>
  <c r="AB95" i="2"/>
  <c r="AA95" i="2"/>
  <c r="Z95" i="2"/>
  <c r="Y95" i="2"/>
  <c r="W95" i="2"/>
  <c r="V95" i="2"/>
  <c r="U95" i="2"/>
  <c r="T95" i="2"/>
  <c r="S95" i="2"/>
  <c r="R95" i="2"/>
  <c r="Q95" i="2"/>
  <c r="P95" i="2"/>
  <c r="AE94" i="2"/>
  <c r="AD94" i="2"/>
  <c r="AC94" i="2"/>
  <c r="AB94" i="2"/>
  <c r="AA94" i="2"/>
  <c r="Z94" i="2"/>
  <c r="Y94" i="2"/>
  <c r="W94" i="2"/>
  <c r="V94" i="2"/>
  <c r="U94" i="2"/>
  <c r="T94" i="2"/>
  <c r="S94" i="2"/>
  <c r="R94" i="2"/>
  <c r="Q94" i="2"/>
  <c r="P94" i="2"/>
  <c r="AE93" i="2"/>
  <c r="AD93" i="2"/>
  <c r="AC93" i="2"/>
  <c r="AB93" i="2"/>
  <c r="AA93" i="2"/>
  <c r="Z93" i="2"/>
  <c r="Y93" i="2"/>
  <c r="W93" i="2"/>
  <c r="V93" i="2"/>
  <c r="U93" i="2"/>
  <c r="T93" i="2"/>
  <c r="S93" i="2"/>
  <c r="R93" i="2"/>
  <c r="Q93" i="2"/>
  <c r="P93" i="2"/>
  <c r="AE92" i="2"/>
  <c r="AD92" i="2"/>
  <c r="AC92" i="2"/>
  <c r="AB92" i="2"/>
  <c r="AA92" i="2"/>
  <c r="Z92" i="2"/>
  <c r="Y92" i="2"/>
  <c r="W92" i="2"/>
  <c r="V92" i="2"/>
  <c r="U92" i="2"/>
  <c r="T92" i="2"/>
  <c r="S92" i="2"/>
  <c r="R92" i="2"/>
  <c r="Q92" i="2"/>
  <c r="P92" i="2"/>
  <c r="AE91" i="2"/>
  <c r="AD91" i="2"/>
  <c r="AC91" i="2"/>
  <c r="AB91" i="2"/>
  <c r="AA91" i="2"/>
  <c r="Z91" i="2"/>
  <c r="Y91" i="2"/>
  <c r="W91" i="2"/>
  <c r="V91" i="2"/>
  <c r="U91" i="2"/>
  <c r="T91" i="2"/>
  <c r="S91" i="2"/>
  <c r="R91" i="2"/>
  <c r="Q91" i="2"/>
  <c r="P91" i="2"/>
  <c r="AE90" i="2"/>
  <c r="AD90" i="2"/>
  <c r="AC90" i="2"/>
  <c r="AB90" i="2"/>
  <c r="AA90" i="2"/>
  <c r="Z90" i="2"/>
  <c r="Y90" i="2"/>
  <c r="W90" i="2"/>
  <c r="V90" i="2"/>
  <c r="U90" i="2"/>
  <c r="T90" i="2"/>
  <c r="S90" i="2"/>
  <c r="R90" i="2"/>
  <c r="Q90" i="2"/>
  <c r="P90" i="2"/>
  <c r="AE89" i="2"/>
  <c r="AD89" i="2"/>
  <c r="AC89" i="2"/>
  <c r="AB89" i="2"/>
  <c r="AA89" i="2"/>
  <c r="Z89" i="2"/>
  <c r="Y89" i="2"/>
  <c r="W89" i="2"/>
  <c r="V89" i="2"/>
  <c r="U89" i="2"/>
  <c r="T89" i="2"/>
  <c r="S89" i="2"/>
  <c r="R89" i="2"/>
  <c r="Q89" i="2"/>
  <c r="P89" i="2"/>
  <c r="AE88" i="2"/>
  <c r="AD88" i="2"/>
  <c r="AC88" i="2"/>
  <c r="AB88" i="2"/>
  <c r="AA88" i="2"/>
  <c r="Z88" i="2"/>
  <c r="Y88" i="2"/>
  <c r="W88" i="2"/>
  <c r="V88" i="2"/>
  <c r="U88" i="2"/>
  <c r="T88" i="2"/>
  <c r="S88" i="2"/>
  <c r="R88" i="2"/>
  <c r="Q88" i="2"/>
  <c r="P88" i="2"/>
  <c r="AE87" i="2"/>
  <c r="AD87" i="2"/>
  <c r="AC87" i="2"/>
  <c r="AB87" i="2"/>
  <c r="AA87" i="2"/>
  <c r="Z87" i="2"/>
  <c r="Y87" i="2"/>
  <c r="W87" i="2"/>
  <c r="V87" i="2"/>
  <c r="U87" i="2"/>
  <c r="T87" i="2"/>
  <c r="S87" i="2"/>
  <c r="R87" i="2"/>
  <c r="Q87" i="2"/>
  <c r="P87" i="2"/>
  <c r="AE86" i="2"/>
  <c r="AD86" i="2"/>
  <c r="AC86" i="2"/>
  <c r="AB86" i="2"/>
  <c r="AA86" i="2"/>
  <c r="Z86" i="2"/>
  <c r="Y86" i="2"/>
  <c r="W86" i="2"/>
  <c r="V86" i="2"/>
  <c r="U86" i="2"/>
  <c r="T86" i="2"/>
  <c r="S86" i="2"/>
  <c r="R86" i="2"/>
  <c r="Q86" i="2"/>
  <c r="P86" i="2"/>
  <c r="AE85" i="2"/>
  <c r="AD85" i="2"/>
  <c r="AC85" i="2"/>
  <c r="AB85" i="2"/>
  <c r="AA85" i="2"/>
  <c r="Z85" i="2"/>
  <c r="Y85" i="2"/>
  <c r="W85" i="2"/>
  <c r="V85" i="2"/>
  <c r="U85" i="2"/>
  <c r="T85" i="2"/>
  <c r="S85" i="2"/>
  <c r="R85" i="2"/>
  <c r="Q85" i="2"/>
  <c r="P85" i="2"/>
  <c r="AE84" i="2"/>
  <c r="AD84" i="2"/>
  <c r="AC84" i="2"/>
  <c r="AB84" i="2"/>
  <c r="AA84" i="2"/>
  <c r="Z84" i="2"/>
  <c r="Y84" i="2"/>
  <c r="W84" i="2"/>
  <c r="V84" i="2"/>
  <c r="U84" i="2"/>
  <c r="T84" i="2"/>
  <c r="S84" i="2"/>
  <c r="R84" i="2"/>
  <c r="Q84" i="2"/>
  <c r="P84" i="2"/>
  <c r="AE83" i="2"/>
  <c r="AD83" i="2"/>
  <c r="AC83" i="2"/>
  <c r="AB83" i="2"/>
  <c r="AA83" i="2"/>
  <c r="Z83" i="2"/>
  <c r="Y83" i="2"/>
  <c r="W83" i="2"/>
  <c r="V83" i="2"/>
  <c r="U83" i="2"/>
  <c r="T83" i="2"/>
  <c r="S83" i="2"/>
  <c r="R83" i="2"/>
  <c r="Q83" i="2"/>
  <c r="P83" i="2"/>
  <c r="AE82" i="2"/>
  <c r="AD82" i="2"/>
  <c r="AC82" i="2"/>
  <c r="AB82" i="2"/>
  <c r="AA82" i="2"/>
  <c r="Z82" i="2"/>
  <c r="Y82" i="2"/>
  <c r="W82" i="2"/>
  <c r="V82" i="2"/>
  <c r="U82" i="2"/>
  <c r="T82" i="2"/>
  <c r="S82" i="2"/>
  <c r="R82" i="2"/>
  <c r="Q82" i="2"/>
  <c r="P82" i="2"/>
  <c r="AE81" i="2"/>
  <c r="AD81" i="2"/>
  <c r="AC81" i="2"/>
  <c r="AB81" i="2"/>
  <c r="AA81" i="2"/>
  <c r="Z81" i="2"/>
  <c r="Y81" i="2"/>
  <c r="W81" i="2"/>
  <c r="V81" i="2"/>
  <c r="U81" i="2"/>
  <c r="T81" i="2"/>
  <c r="S81" i="2"/>
  <c r="R81" i="2"/>
  <c r="Q81" i="2"/>
  <c r="P81" i="2"/>
  <c r="AE80" i="2"/>
  <c r="AD80" i="2"/>
  <c r="AC80" i="2"/>
  <c r="AB80" i="2"/>
  <c r="AA80" i="2"/>
  <c r="Z80" i="2"/>
  <c r="Y80" i="2"/>
  <c r="W80" i="2"/>
  <c r="V80" i="2"/>
  <c r="U80" i="2"/>
  <c r="T80" i="2"/>
  <c r="S80" i="2"/>
  <c r="R80" i="2"/>
  <c r="Q80" i="2"/>
  <c r="P80" i="2"/>
  <c r="AE79" i="2"/>
  <c r="AD79" i="2"/>
  <c r="AC79" i="2"/>
  <c r="AB79" i="2"/>
  <c r="AA79" i="2"/>
  <c r="Z79" i="2"/>
  <c r="Y79" i="2"/>
  <c r="W79" i="2"/>
  <c r="V79" i="2"/>
  <c r="U79" i="2"/>
  <c r="T79" i="2"/>
  <c r="S79" i="2"/>
  <c r="R79" i="2"/>
  <c r="Q79" i="2"/>
  <c r="P79" i="2"/>
  <c r="AE78" i="2"/>
  <c r="AD78" i="2"/>
  <c r="AC78" i="2"/>
  <c r="AB78" i="2"/>
  <c r="AA78" i="2"/>
  <c r="Z78" i="2"/>
  <c r="Y78" i="2"/>
  <c r="W78" i="2"/>
  <c r="V78" i="2"/>
  <c r="U78" i="2"/>
  <c r="T78" i="2"/>
  <c r="S78" i="2"/>
  <c r="R78" i="2"/>
  <c r="Q78" i="2"/>
  <c r="P78" i="2"/>
  <c r="AE77" i="2"/>
  <c r="AD77" i="2"/>
  <c r="AC77" i="2"/>
  <c r="AB77" i="2"/>
  <c r="AA77" i="2"/>
  <c r="Z77" i="2"/>
  <c r="Y77" i="2"/>
  <c r="W77" i="2"/>
  <c r="V77" i="2"/>
  <c r="U77" i="2"/>
  <c r="T77" i="2"/>
  <c r="S77" i="2"/>
  <c r="R77" i="2"/>
  <c r="Q77" i="2"/>
  <c r="P77" i="2"/>
  <c r="AE76" i="2"/>
  <c r="AD76" i="2"/>
  <c r="AC76" i="2"/>
  <c r="AB76" i="2"/>
  <c r="AA76" i="2"/>
  <c r="Z76" i="2"/>
  <c r="Y76" i="2"/>
  <c r="W76" i="2"/>
  <c r="V76" i="2"/>
  <c r="U76" i="2"/>
  <c r="T76" i="2"/>
  <c r="S76" i="2"/>
  <c r="R76" i="2"/>
  <c r="Q76" i="2"/>
  <c r="P76" i="2"/>
  <c r="AE75" i="2"/>
  <c r="AD75" i="2"/>
  <c r="AC75" i="2"/>
  <c r="AB75" i="2"/>
  <c r="AA75" i="2"/>
  <c r="Z75" i="2"/>
  <c r="Y75" i="2"/>
  <c r="W75" i="2"/>
  <c r="V75" i="2"/>
  <c r="U75" i="2"/>
  <c r="T75" i="2"/>
  <c r="S75" i="2"/>
  <c r="R75" i="2"/>
  <c r="Q75" i="2"/>
  <c r="P75" i="2"/>
  <c r="AE74" i="2"/>
  <c r="AD74" i="2"/>
  <c r="AC74" i="2"/>
  <c r="AB74" i="2"/>
  <c r="AA74" i="2"/>
  <c r="Z74" i="2"/>
  <c r="Y74" i="2"/>
  <c r="W74" i="2"/>
  <c r="V74" i="2"/>
  <c r="U74" i="2"/>
  <c r="T74" i="2"/>
  <c r="S74" i="2"/>
  <c r="R74" i="2"/>
  <c r="Q74" i="2"/>
  <c r="P74" i="2"/>
  <c r="AE73" i="2"/>
  <c r="AD73" i="2"/>
  <c r="AC73" i="2"/>
  <c r="AB73" i="2"/>
  <c r="AA73" i="2"/>
  <c r="Z73" i="2"/>
  <c r="Y73" i="2"/>
  <c r="W73" i="2"/>
  <c r="V73" i="2"/>
  <c r="U73" i="2"/>
  <c r="T73" i="2"/>
  <c r="S73" i="2"/>
  <c r="R73" i="2"/>
  <c r="Q73" i="2"/>
  <c r="P73" i="2"/>
  <c r="AE72" i="2"/>
  <c r="AD72" i="2"/>
  <c r="AC72" i="2"/>
  <c r="AB72" i="2"/>
  <c r="AA72" i="2"/>
  <c r="Z72" i="2"/>
  <c r="Y72" i="2"/>
  <c r="W72" i="2"/>
  <c r="V72" i="2"/>
  <c r="U72" i="2"/>
  <c r="T72" i="2"/>
  <c r="S72" i="2"/>
  <c r="R72" i="2"/>
  <c r="Q72" i="2"/>
  <c r="P72" i="2"/>
  <c r="AE71" i="2"/>
  <c r="AD71" i="2"/>
  <c r="AC71" i="2"/>
  <c r="AB71" i="2"/>
  <c r="AA71" i="2"/>
  <c r="Z71" i="2"/>
  <c r="Y71" i="2"/>
  <c r="W71" i="2"/>
  <c r="V71" i="2"/>
  <c r="U71" i="2"/>
  <c r="T71" i="2"/>
  <c r="S71" i="2"/>
  <c r="R71" i="2"/>
  <c r="Q71" i="2"/>
  <c r="P71" i="2"/>
  <c r="AE70" i="2"/>
  <c r="AD70" i="2"/>
  <c r="AC70" i="2"/>
  <c r="AB70" i="2"/>
  <c r="AA70" i="2"/>
  <c r="Z70" i="2"/>
  <c r="Y70" i="2"/>
  <c r="W70" i="2"/>
  <c r="V70" i="2"/>
  <c r="U70" i="2"/>
  <c r="T70" i="2"/>
  <c r="S70" i="2"/>
  <c r="R70" i="2"/>
  <c r="Q70" i="2"/>
  <c r="P70" i="2"/>
  <c r="AE69" i="2"/>
  <c r="AD69" i="2"/>
  <c r="AC69" i="2"/>
  <c r="AB69" i="2"/>
  <c r="AA69" i="2"/>
  <c r="Z69" i="2"/>
  <c r="Y69" i="2"/>
  <c r="W69" i="2"/>
  <c r="V69" i="2"/>
  <c r="U69" i="2"/>
  <c r="T69" i="2"/>
  <c r="S69" i="2"/>
  <c r="R69" i="2"/>
  <c r="Q69" i="2"/>
  <c r="P69" i="2"/>
  <c r="AE68" i="2"/>
  <c r="AD68" i="2"/>
  <c r="AC68" i="2"/>
  <c r="AB68" i="2"/>
  <c r="AA68" i="2"/>
  <c r="Z68" i="2"/>
  <c r="Y68" i="2"/>
  <c r="W68" i="2"/>
  <c r="V68" i="2"/>
  <c r="U68" i="2"/>
  <c r="T68" i="2"/>
  <c r="S68" i="2"/>
  <c r="R68" i="2"/>
  <c r="Q68" i="2"/>
  <c r="P68" i="2"/>
  <c r="AE67" i="2"/>
  <c r="C27" i="1" s="1"/>
  <c r="B27" i="1" s="1"/>
  <c r="D27" i="1" s="1"/>
  <c r="AD67" i="2"/>
  <c r="AC67" i="2"/>
  <c r="AB67" i="2"/>
  <c r="AA67" i="2"/>
  <c r="Z67" i="2"/>
  <c r="Y67" i="2"/>
  <c r="W67" i="2"/>
  <c r="V67" i="2"/>
  <c r="U67" i="2"/>
  <c r="T67" i="2"/>
  <c r="S67" i="2"/>
  <c r="R67" i="2"/>
  <c r="Q67" i="2"/>
  <c r="P67" i="2"/>
  <c r="AE66" i="2"/>
  <c r="AD66" i="2"/>
  <c r="AC66" i="2"/>
  <c r="AB66" i="2"/>
  <c r="AA66" i="2"/>
  <c r="Z66" i="2"/>
  <c r="Y66" i="2"/>
  <c r="W66" i="2"/>
  <c r="V66" i="2"/>
  <c r="U66" i="2"/>
  <c r="T66" i="2"/>
  <c r="S66" i="2"/>
  <c r="R66" i="2"/>
  <c r="Q66" i="2"/>
  <c r="P66" i="2"/>
  <c r="AE65" i="2"/>
  <c r="AD65" i="2"/>
  <c r="AC65" i="2"/>
  <c r="AB65" i="2"/>
  <c r="AA65" i="2"/>
  <c r="Z65" i="2"/>
  <c r="Y65" i="2"/>
  <c r="W65" i="2"/>
  <c r="V65" i="2"/>
  <c r="U65" i="2"/>
  <c r="T65" i="2"/>
  <c r="S65" i="2"/>
  <c r="R65" i="2"/>
  <c r="Q65" i="2"/>
  <c r="P65" i="2"/>
  <c r="AE64" i="2"/>
  <c r="AD64" i="2"/>
  <c r="AC64" i="2"/>
  <c r="AB64" i="2"/>
  <c r="AA64" i="2"/>
  <c r="Z64" i="2"/>
  <c r="Y64" i="2"/>
  <c r="W64" i="2"/>
  <c r="V64" i="2"/>
  <c r="U64" i="2"/>
  <c r="T64" i="2"/>
  <c r="S64" i="2"/>
  <c r="R64" i="2"/>
  <c r="Q64" i="2"/>
  <c r="P64" i="2"/>
  <c r="AE63" i="2"/>
  <c r="AD63" i="2"/>
  <c r="AC63" i="2"/>
  <c r="AB63" i="2"/>
  <c r="AA63" i="2"/>
  <c r="Z63" i="2"/>
  <c r="Y63" i="2"/>
  <c r="W63" i="2"/>
  <c r="V63" i="2"/>
  <c r="U63" i="2"/>
  <c r="T63" i="2"/>
  <c r="S63" i="2"/>
  <c r="R63" i="2"/>
  <c r="Q63" i="2"/>
  <c r="P63" i="2"/>
  <c r="AE62" i="2"/>
  <c r="AD62" i="2"/>
  <c r="AC62" i="2"/>
  <c r="AB62" i="2"/>
  <c r="AA62" i="2"/>
  <c r="Z62" i="2"/>
  <c r="Y62" i="2"/>
  <c r="W62" i="2"/>
  <c r="V62" i="2"/>
  <c r="U62" i="2"/>
  <c r="T62" i="2"/>
  <c r="S62" i="2"/>
  <c r="R62" i="2"/>
  <c r="Q62" i="2"/>
  <c r="P62" i="2"/>
  <c r="AE61" i="2"/>
  <c r="AD61" i="2"/>
  <c r="AC61" i="2"/>
  <c r="AB61" i="2"/>
  <c r="AA61" i="2"/>
  <c r="Z61" i="2"/>
  <c r="Y61" i="2"/>
  <c r="W61" i="2"/>
  <c r="V61" i="2"/>
  <c r="U61" i="2"/>
  <c r="T61" i="2"/>
  <c r="S61" i="2"/>
  <c r="R61" i="2"/>
  <c r="Q61" i="2"/>
  <c r="P61" i="2"/>
  <c r="AE60" i="2"/>
  <c r="AD60" i="2"/>
  <c r="AC60" i="2"/>
  <c r="AB60" i="2"/>
  <c r="AA60" i="2"/>
  <c r="Z60" i="2"/>
  <c r="Y60" i="2"/>
  <c r="W60" i="2"/>
  <c r="V60" i="2"/>
  <c r="U60" i="2"/>
  <c r="T60" i="2"/>
  <c r="S60" i="2"/>
  <c r="R60" i="2"/>
  <c r="Q60" i="2"/>
  <c r="P60" i="2"/>
  <c r="AE59" i="2"/>
  <c r="AD59" i="2"/>
  <c r="AC59" i="2"/>
  <c r="AB59" i="2"/>
  <c r="AA59" i="2"/>
  <c r="Z59" i="2"/>
  <c r="Y59" i="2"/>
  <c r="W59" i="2"/>
  <c r="V59" i="2"/>
  <c r="U59" i="2"/>
  <c r="T59" i="2"/>
  <c r="S59" i="2"/>
  <c r="R59" i="2"/>
  <c r="Q59" i="2"/>
  <c r="P59" i="2"/>
  <c r="AE58" i="2"/>
  <c r="AD58" i="2"/>
  <c r="AC58" i="2"/>
  <c r="AB58" i="2"/>
  <c r="AA58" i="2"/>
  <c r="Z58" i="2"/>
  <c r="Y58" i="2"/>
  <c r="W58" i="2"/>
  <c r="V58" i="2"/>
  <c r="U58" i="2"/>
  <c r="T58" i="2"/>
  <c r="S58" i="2"/>
  <c r="R58" i="2"/>
  <c r="Q58" i="2"/>
  <c r="P58" i="2"/>
  <c r="AE57" i="2"/>
  <c r="AD57" i="2"/>
  <c r="AC57" i="2"/>
  <c r="AB57" i="2"/>
  <c r="AA57" i="2"/>
  <c r="Z57" i="2"/>
  <c r="Y57" i="2"/>
  <c r="W57" i="2"/>
  <c r="V57" i="2"/>
  <c r="U57" i="2"/>
  <c r="T57" i="2"/>
  <c r="S57" i="2"/>
  <c r="R57" i="2"/>
  <c r="Q57" i="2"/>
  <c r="P57" i="2"/>
  <c r="AE56" i="2"/>
  <c r="AD56" i="2"/>
  <c r="AC56" i="2"/>
  <c r="AB56" i="2"/>
  <c r="AA56" i="2"/>
  <c r="Z56" i="2"/>
  <c r="Y56" i="2"/>
  <c r="W56" i="2"/>
  <c r="V56" i="2"/>
  <c r="U56" i="2"/>
  <c r="T56" i="2"/>
  <c r="S56" i="2"/>
  <c r="R56" i="2"/>
  <c r="Q56" i="2"/>
  <c r="P56" i="2"/>
  <c r="AE55" i="2"/>
  <c r="AD55" i="2"/>
  <c r="AC55" i="2"/>
  <c r="AB55" i="2"/>
  <c r="AA55" i="2"/>
  <c r="Z55" i="2"/>
  <c r="Y55" i="2"/>
  <c r="W55" i="2"/>
  <c r="V55" i="2"/>
  <c r="U55" i="2"/>
  <c r="T55" i="2"/>
  <c r="S55" i="2"/>
  <c r="R55" i="2"/>
  <c r="Q55" i="2"/>
  <c r="P55" i="2"/>
  <c r="AE54" i="2"/>
  <c r="AD54" i="2"/>
  <c r="AC54" i="2"/>
  <c r="AB54" i="2"/>
  <c r="AA54" i="2"/>
  <c r="Z54" i="2"/>
  <c r="Y54" i="2"/>
  <c r="W54" i="2"/>
  <c r="V54" i="2"/>
  <c r="U54" i="2"/>
  <c r="T54" i="2"/>
  <c r="S54" i="2"/>
  <c r="R54" i="2"/>
  <c r="Q54" i="2"/>
  <c r="P54" i="2"/>
  <c r="AE53" i="2"/>
  <c r="AD53" i="2"/>
  <c r="AC53" i="2"/>
  <c r="AB53" i="2"/>
  <c r="AA53" i="2"/>
  <c r="Z53" i="2"/>
  <c r="Y53" i="2"/>
  <c r="W53" i="2"/>
  <c r="V53" i="2"/>
  <c r="U53" i="2"/>
  <c r="T53" i="2"/>
  <c r="S53" i="2"/>
  <c r="R53" i="2"/>
  <c r="Q53" i="2"/>
  <c r="P53" i="2"/>
  <c r="AE52" i="2"/>
  <c r="AD52" i="2"/>
  <c r="AC52" i="2"/>
  <c r="AB52" i="2"/>
  <c r="AA52" i="2"/>
  <c r="Z52" i="2"/>
  <c r="Y52" i="2"/>
  <c r="W52" i="2"/>
  <c r="V52" i="2"/>
  <c r="U52" i="2"/>
  <c r="T52" i="2"/>
  <c r="S52" i="2"/>
  <c r="R52" i="2"/>
  <c r="Q52" i="2"/>
  <c r="P52" i="2"/>
  <c r="AE51" i="2"/>
  <c r="AD51" i="2"/>
  <c r="AC51" i="2"/>
  <c r="AB51" i="2"/>
  <c r="AA51" i="2"/>
  <c r="Z51" i="2"/>
  <c r="Y51" i="2"/>
  <c r="W51" i="2"/>
  <c r="V51" i="2"/>
  <c r="U51" i="2"/>
  <c r="T51" i="2"/>
  <c r="S51" i="2"/>
  <c r="R51" i="2"/>
  <c r="Q51" i="2"/>
  <c r="P51" i="2"/>
  <c r="AE50" i="2"/>
  <c r="AD50" i="2"/>
  <c r="AC50" i="2"/>
  <c r="AB50" i="2"/>
  <c r="AA50" i="2"/>
  <c r="Z50" i="2"/>
  <c r="Y50" i="2"/>
  <c r="W50" i="2"/>
  <c r="V50" i="2"/>
  <c r="U50" i="2"/>
  <c r="T50" i="2"/>
  <c r="S50" i="2"/>
  <c r="R50" i="2"/>
  <c r="Q50" i="2"/>
  <c r="P50" i="2"/>
  <c r="AE49" i="2"/>
  <c r="AD49" i="2"/>
  <c r="AC49" i="2"/>
  <c r="AB49" i="2"/>
  <c r="AA49" i="2"/>
  <c r="Z49" i="2"/>
  <c r="Y49" i="2"/>
  <c r="W49" i="2"/>
  <c r="V49" i="2"/>
  <c r="U49" i="2"/>
  <c r="T49" i="2"/>
  <c r="S49" i="2"/>
  <c r="R49" i="2"/>
  <c r="Q49" i="2"/>
  <c r="P49" i="2"/>
  <c r="AE48" i="2"/>
  <c r="AD48" i="2"/>
  <c r="AC48" i="2"/>
  <c r="AB48" i="2"/>
  <c r="AA48" i="2"/>
  <c r="Z48" i="2"/>
  <c r="Y48" i="2"/>
  <c r="W48" i="2"/>
  <c r="V48" i="2"/>
  <c r="U48" i="2"/>
  <c r="T48" i="2"/>
  <c r="S48" i="2"/>
  <c r="R48" i="2"/>
  <c r="Q48" i="2"/>
  <c r="P48" i="2"/>
  <c r="AE47" i="2"/>
  <c r="AD47" i="2"/>
  <c r="AC47" i="2"/>
  <c r="AB47" i="2"/>
  <c r="AA47" i="2"/>
  <c r="Z47" i="2"/>
  <c r="Y47" i="2"/>
  <c r="W47" i="2"/>
  <c r="V47" i="2"/>
  <c r="U47" i="2"/>
  <c r="T47" i="2"/>
  <c r="S47" i="2"/>
  <c r="R47" i="2"/>
  <c r="Q47" i="2"/>
  <c r="P47" i="2"/>
  <c r="AE46" i="2"/>
  <c r="AD46" i="2"/>
  <c r="AC46" i="2"/>
  <c r="AB46" i="2"/>
  <c r="AA46" i="2"/>
  <c r="Z46" i="2"/>
  <c r="Y46" i="2"/>
  <c r="W46" i="2"/>
  <c r="V46" i="2"/>
  <c r="U46" i="2"/>
  <c r="T46" i="2"/>
  <c r="S46" i="2"/>
  <c r="R46" i="2"/>
  <c r="Q46" i="2"/>
  <c r="P46" i="2"/>
  <c r="AE45" i="2"/>
  <c r="AD45" i="2"/>
  <c r="AC45" i="2"/>
  <c r="AB45" i="2"/>
  <c r="AA45" i="2"/>
  <c r="Z45" i="2"/>
  <c r="Y45" i="2"/>
  <c r="W45" i="2"/>
  <c r="V45" i="2"/>
  <c r="U45" i="2"/>
  <c r="T45" i="2"/>
  <c r="S45" i="2"/>
  <c r="R45" i="2"/>
  <c r="Q45" i="2"/>
  <c r="P45" i="2"/>
  <c r="AE44" i="2"/>
  <c r="AD44" i="2"/>
  <c r="AC44" i="2"/>
  <c r="AB44" i="2"/>
  <c r="AA44" i="2"/>
  <c r="Z44" i="2"/>
  <c r="Y44" i="2"/>
  <c r="W44" i="2"/>
  <c r="V44" i="2"/>
  <c r="U44" i="2"/>
  <c r="T44" i="2"/>
  <c r="S44" i="2"/>
  <c r="R44" i="2"/>
  <c r="Q44" i="2"/>
  <c r="P44" i="2"/>
  <c r="AE43" i="2"/>
  <c r="AD43" i="2"/>
  <c r="AC43" i="2"/>
  <c r="AB43" i="2"/>
  <c r="AA43" i="2"/>
  <c r="Z43" i="2"/>
  <c r="Y43" i="2"/>
  <c r="W43" i="2"/>
  <c r="V43" i="2"/>
  <c r="U43" i="2"/>
  <c r="T43" i="2"/>
  <c r="S43" i="2"/>
  <c r="R43" i="2"/>
  <c r="Q43" i="2"/>
  <c r="P43" i="2"/>
  <c r="AE42" i="2"/>
  <c r="AD42" i="2"/>
  <c r="AC42" i="2"/>
  <c r="AB42" i="2"/>
  <c r="AA42" i="2"/>
  <c r="Z42" i="2"/>
  <c r="Y42" i="2"/>
  <c r="W42" i="2"/>
  <c r="V42" i="2"/>
  <c r="U42" i="2"/>
  <c r="T42" i="2"/>
  <c r="S42" i="2"/>
  <c r="R42" i="2"/>
  <c r="Q42" i="2"/>
  <c r="P42" i="2"/>
  <c r="AE41" i="2"/>
  <c r="AD41" i="2"/>
  <c r="AC41" i="2"/>
  <c r="AB41" i="2"/>
  <c r="AA41" i="2"/>
  <c r="Z41" i="2"/>
  <c r="Y41" i="2"/>
  <c r="W41" i="2"/>
  <c r="V41" i="2"/>
  <c r="U41" i="2"/>
  <c r="T41" i="2"/>
  <c r="S41" i="2"/>
  <c r="R41" i="2"/>
  <c r="Q41" i="2"/>
  <c r="P41" i="2"/>
  <c r="AE40" i="2"/>
  <c r="AD40" i="2"/>
  <c r="AC40" i="2"/>
  <c r="AB40" i="2"/>
  <c r="AA40" i="2"/>
  <c r="Z40" i="2"/>
  <c r="Y40" i="2"/>
  <c r="W40" i="2"/>
  <c r="V40" i="2"/>
  <c r="U40" i="2"/>
  <c r="T40" i="2"/>
  <c r="S40" i="2"/>
  <c r="R40" i="2"/>
  <c r="Q40" i="2"/>
  <c r="P40" i="2"/>
  <c r="AE39" i="2"/>
  <c r="AD39" i="2"/>
  <c r="AC39" i="2"/>
  <c r="AB39" i="2"/>
  <c r="AA39" i="2"/>
  <c r="Z39" i="2"/>
  <c r="Y39" i="2"/>
  <c r="W39" i="2"/>
  <c r="V39" i="2"/>
  <c r="U39" i="2"/>
  <c r="T39" i="2"/>
  <c r="S39" i="2"/>
  <c r="R39" i="2"/>
  <c r="Q39" i="2"/>
  <c r="P39" i="2"/>
  <c r="AE38" i="2"/>
  <c r="AD38" i="2"/>
  <c r="AC38" i="2"/>
  <c r="AB38" i="2"/>
  <c r="AA38" i="2"/>
  <c r="Z38" i="2"/>
  <c r="Y38" i="2"/>
  <c r="W38" i="2"/>
  <c r="V38" i="2"/>
  <c r="U38" i="2"/>
  <c r="T38" i="2"/>
  <c r="S38" i="2"/>
  <c r="R38" i="2"/>
  <c r="Q38" i="2"/>
  <c r="P38" i="2"/>
  <c r="AE37" i="2"/>
  <c r="AD37" i="2"/>
  <c r="AC37" i="2"/>
  <c r="AB37" i="2"/>
  <c r="AA37" i="2"/>
  <c r="Z37" i="2"/>
  <c r="Y37" i="2"/>
  <c r="W37" i="2"/>
  <c r="V37" i="2"/>
  <c r="U37" i="2"/>
  <c r="T37" i="2"/>
  <c r="S37" i="2"/>
  <c r="R37" i="2"/>
  <c r="Q37" i="2"/>
  <c r="P37" i="2"/>
  <c r="AE36" i="2"/>
  <c r="AD36" i="2"/>
  <c r="AC36" i="2"/>
  <c r="AB36" i="2"/>
  <c r="AA36" i="2"/>
  <c r="Z36" i="2"/>
  <c r="Y36" i="2"/>
  <c r="W36" i="2"/>
  <c r="V36" i="2"/>
  <c r="U36" i="2"/>
  <c r="T36" i="2"/>
  <c r="S36" i="2"/>
  <c r="R36" i="2"/>
  <c r="Q36" i="2"/>
  <c r="P36" i="2"/>
  <c r="AE35" i="2"/>
  <c r="AD35" i="2"/>
  <c r="AC35" i="2"/>
  <c r="AB35" i="2"/>
  <c r="AA35" i="2"/>
  <c r="Z35" i="2"/>
  <c r="Y35" i="2"/>
  <c r="W35" i="2"/>
  <c r="V35" i="2"/>
  <c r="U35" i="2"/>
  <c r="T35" i="2"/>
  <c r="S35" i="2"/>
  <c r="R35" i="2"/>
  <c r="Q35" i="2"/>
  <c r="P35" i="2"/>
  <c r="AE34" i="2"/>
  <c r="AD34" i="2"/>
  <c r="AC34" i="2"/>
  <c r="AB34" i="2"/>
  <c r="AA34" i="2"/>
  <c r="Z34" i="2"/>
  <c r="Y34" i="2"/>
  <c r="W34" i="2"/>
  <c r="V34" i="2"/>
  <c r="U34" i="2"/>
  <c r="T34" i="2"/>
  <c r="S34" i="2"/>
  <c r="R34" i="2"/>
  <c r="Q34" i="2"/>
  <c r="P34" i="2"/>
  <c r="AE33" i="2"/>
  <c r="AD33" i="2"/>
  <c r="AC33" i="2"/>
  <c r="AB33" i="2"/>
  <c r="AA33" i="2"/>
  <c r="Z33" i="2"/>
  <c r="Y33" i="2"/>
  <c r="W33" i="2"/>
  <c r="V33" i="2"/>
  <c r="U33" i="2"/>
  <c r="T33" i="2"/>
  <c r="S33" i="2"/>
  <c r="R33" i="2"/>
  <c r="Q33" i="2"/>
  <c r="P33" i="2"/>
  <c r="AE32" i="2"/>
  <c r="AD32" i="2"/>
  <c r="AC32" i="2"/>
  <c r="AB32" i="2"/>
  <c r="AA32" i="2"/>
  <c r="Z32" i="2"/>
  <c r="Y32" i="2"/>
  <c r="W32" i="2"/>
  <c r="V32" i="2"/>
  <c r="U32" i="2"/>
  <c r="T32" i="2"/>
  <c r="S32" i="2"/>
  <c r="R32" i="2"/>
  <c r="Q32" i="2"/>
  <c r="P32" i="2"/>
  <c r="AE31" i="2"/>
  <c r="AD31" i="2"/>
  <c r="AC31" i="2"/>
  <c r="AB31" i="2"/>
  <c r="AA31" i="2"/>
  <c r="Z31" i="2"/>
  <c r="Y31" i="2"/>
  <c r="W31" i="2"/>
  <c r="V31" i="2"/>
  <c r="U31" i="2"/>
  <c r="T31" i="2"/>
  <c r="S31" i="2"/>
  <c r="R31" i="2"/>
  <c r="Q31" i="2"/>
  <c r="P31" i="2"/>
  <c r="AE30" i="2"/>
  <c r="AD30" i="2"/>
  <c r="AC30" i="2"/>
  <c r="AB30" i="2"/>
  <c r="AA30" i="2"/>
  <c r="Z30" i="2"/>
  <c r="Y30" i="2"/>
  <c r="W30" i="2"/>
  <c r="V30" i="2"/>
  <c r="U30" i="2"/>
  <c r="T30" i="2"/>
  <c r="S30" i="2"/>
  <c r="R30" i="2"/>
  <c r="Q30" i="2"/>
  <c r="P30" i="2"/>
  <c r="AE29" i="2"/>
  <c r="AD29" i="2"/>
  <c r="AC29" i="2"/>
  <c r="AB29" i="2"/>
  <c r="AA29" i="2"/>
  <c r="Z29" i="2"/>
  <c r="Y29" i="2"/>
  <c r="W29" i="2"/>
  <c r="V29" i="2"/>
  <c r="U29" i="2"/>
  <c r="T29" i="2"/>
  <c r="S29" i="2"/>
  <c r="R29" i="2"/>
  <c r="Q29" i="2"/>
  <c r="P29" i="2"/>
  <c r="AE28" i="2"/>
  <c r="AD28" i="2"/>
  <c r="AC28" i="2"/>
  <c r="AB28" i="2"/>
  <c r="AA28" i="2"/>
  <c r="Z28" i="2"/>
  <c r="Y28" i="2"/>
  <c r="W28" i="2"/>
  <c r="V28" i="2"/>
  <c r="U28" i="2"/>
  <c r="T28" i="2"/>
  <c r="S28" i="2"/>
  <c r="R28" i="2"/>
  <c r="Q28" i="2"/>
  <c r="P28" i="2"/>
  <c r="AE27" i="2"/>
  <c r="AD27" i="2"/>
  <c r="AC27" i="2"/>
  <c r="AB27" i="2"/>
  <c r="AA27" i="2"/>
  <c r="Z27" i="2"/>
  <c r="Y27" i="2"/>
  <c r="W27" i="2"/>
  <c r="V27" i="2"/>
  <c r="U27" i="2"/>
  <c r="T27" i="2"/>
  <c r="S27" i="2"/>
  <c r="R27" i="2"/>
  <c r="Q27" i="2"/>
  <c r="P27" i="2"/>
  <c r="AE26" i="2"/>
  <c r="AD26" i="2"/>
  <c r="AC26" i="2"/>
  <c r="AB26" i="2"/>
  <c r="AA26" i="2"/>
  <c r="Z26" i="2"/>
  <c r="Y26" i="2"/>
  <c r="W26" i="2"/>
  <c r="V26" i="2"/>
  <c r="U26" i="2"/>
  <c r="T26" i="2"/>
  <c r="S26" i="2"/>
  <c r="R26" i="2"/>
  <c r="Q26" i="2"/>
  <c r="P26" i="2"/>
  <c r="AE25" i="2"/>
  <c r="AD25" i="2"/>
  <c r="AC25" i="2"/>
  <c r="AB25" i="2"/>
  <c r="AA25" i="2"/>
  <c r="Z25" i="2"/>
  <c r="Y25" i="2"/>
  <c r="W25" i="2"/>
  <c r="V25" i="2"/>
  <c r="U25" i="2"/>
  <c r="T25" i="2"/>
  <c r="S25" i="2"/>
  <c r="R25" i="2"/>
  <c r="Q25" i="2"/>
  <c r="P25" i="2"/>
  <c r="AE24" i="2"/>
  <c r="AD24" i="2"/>
  <c r="AC24" i="2"/>
  <c r="AB24" i="2"/>
  <c r="AA24" i="2"/>
  <c r="Z24" i="2"/>
  <c r="Y24" i="2"/>
  <c r="W24" i="2"/>
  <c r="V24" i="2"/>
  <c r="U24" i="2"/>
  <c r="T24" i="2"/>
  <c r="S24" i="2"/>
  <c r="R24" i="2"/>
  <c r="Q24" i="2"/>
  <c r="P24" i="2"/>
  <c r="AE23" i="2"/>
  <c r="AD23" i="2"/>
  <c r="AC23" i="2"/>
  <c r="AB23" i="2"/>
  <c r="AA23" i="2"/>
  <c r="Z23" i="2"/>
  <c r="Y23" i="2"/>
  <c r="W23" i="2"/>
  <c r="V23" i="2"/>
  <c r="U23" i="2"/>
  <c r="T23" i="2"/>
  <c r="S23" i="2"/>
  <c r="R23" i="2"/>
  <c r="Q23" i="2"/>
  <c r="P23" i="2"/>
  <c r="AE22" i="2"/>
  <c r="AD22" i="2"/>
  <c r="AC22" i="2"/>
  <c r="AB22" i="2"/>
  <c r="AA22" i="2"/>
  <c r="Z22" i="2"/>
  <c r="Y22" i="2"/>
  <c r="W22" i="2"/>
  <c r="V22" i="2"/>
  <c r="U22" i="2"/>
  <c r="T22" i="2"/>
  <c r="S22" i="2"/>
  <c r="R22" i="2"/>
  <c r="Q22" i="2"/>
  <c r="P22" i="2"/>
  <c r="AE21" i="2"/>
  <c r="AD21" i="2"/>
  <c r="AC21" i="2"/>
  <c r="AB21" i="2"/>
  <c r="AA21" i="2"/>
  <c r="Z21" i="2"/>
  <c r="Y21" i="2"/>
  <c r="W21" i="2"/>
  <c r="V21" i="2"/>
  <c r="U21" i="2"/>
  <c r="T21" i="2"/>
  <c r="S21" i="2"/>
  <c r="R21" i="2"/>
  <c r="Q21" i="2"/>
  <c r="P21" i="2"/>
  <c r="AE20" i="2"/>
  <c r="AD20" i="2"/>
  <c r="AC20" i="2"/>
  <c r="AB20" i="2"/>
  <c r="AA20" i="2"/>
  <c r="Z20" i="2"/>
  <c r="Y20" i="2"/>
  <c r="W20" i="2"/>
  <c r="V20" i="2"/>
  <c r="U20" i="2"/>
  <c r="T20" i="2"/>
  <c r="S20" i="2"/>
  <c r="R20" i="2"/>
  <c r="Q20" i="2"/>
  <c r="P20" i="2"/>
  <c r="AE19" i="2"/>
  <c r="AD19" i="2"/>
  <c r="AC19" i="2"/>
  <c r="AB19" i="2"/>
  <c r="AA19" i="2"/>
  <c r="Z19" i="2"/>
  <c r="Y19" i="2"/>
  <c r="W19" i="2"/>
  <c r="V19" i="2"/>
  <c r="U19" i="2"/>
  <c r="T19" i="2"/>
  <c r="S19" i="2"/>
  <c r="R19" i="2"/>
  <c r="Q19" i="2"/>
  <c r="P19" i="2"/>
  <c r="AE18" i="2"/>
  <c r="AD18" i="2"/>
  <c r="AC18" i="2"/>
  <c r="AB18" i="2"/>
  <c r="AA18" i="2"/>
  <c r="Z18" i="2"/>
  <c r="Y18" i="2"/>
  <c r="W18" i="2"/>
  <c r="V18" i="2"/>
  <c r="U18" i="2"/>
  <c r="T18" i="2"/>
  <c r="S18" i="2"/>
  <c r="R18" i="2"/>
  <c r="Q18" i="2"/>
  <c r="P18" i="2"/>
  <c r="AE17" i="2"/>
  <c r="AD17" i="2"/>
  <c r="AC17" i="2"/>
  <c r="AB17" i="2"/>
  <c r="AA17" i="2"/>
  <c r="Z17" i="2"/>
  <c r="Y17" i="2"/>
  <c r="W17" i="2"/>
  <c r="V17" i="2"/>
  <c r="U17" i="2"/>
  <c r="T17" i="2"/>
  <c r="S17" i="2"/>
  <c r="R17" i="2"/>
  <c r="Q17" i="2"/>
  <c r="P17" i="2"/>
  <c r="AE16" i="2"/>
  <c r="AD16" i="2"/>
  <c r="AC16" i="2"/>
  <c r="AB16" i="2"/>
  <c r="AA16" i="2"/>
  <c r="Z16" i="2"/>
  <c r="Y16" i="2"/>
  <c r="W16" i="2"/>
  <c r="V16" i="2"/>
  <c r="U16" i="2"/>
  <c r="T16" i="2"/>
  <c r="S16" i="2"/>
  <c r="R16" i="2"/>
  <c r="Q16" i="2"/>
  <c r="P16" i="2"/>
  <c r="AE15" i="2"/>
  <c r="AD15" i="2"/>
  <c r="AC15" i="2"/>
  <c r="AB15" i="2"/>
  <c r="AA15" i="2"/>
  <c r="Z15" i="2"/>
  <c r="Y15" i="2"/>
  <c r="W15" i="2"/>
  <c r="V15" i="2"/>
  <c r="U15" i="2"/>
  <c r="T15" i="2"/>
  <c r="S15" i="2"/>
  <c r="R15" i="2"/>
  <c r="Q15" i="2"/>
  <c r="P15" i="2"/>
  <c r="AE14" i="2"/>
  <c r="AD14" i="2"/>
  <c r="AC14" i="2"/>
  <c r="AB14" i="2"/>
  <c r="AA14" i="2"/>
  <c r="Z14" i="2"/>
  <c r="Y14" i="2"/>
  <c r="W14" i="2"/>
  <c r="V14" i="2"/>
  <c r="U14" i="2"/>
  <c r="T14" i="2"/>
  <c r="S14" i="2"/>
  <c r="R14" i="2"/>
  <c r="Q14" i="2"/>
  <c r="P14" i="2"/>
  <c r="AE13" i="2"/>
  <c r="AD13" i="2"/>
  <c r="AC13" i="2"/>
  <c r="AB13" i="2"/>
  <c r="AA13" i="2"/>
  <c r="Z13" i="2"/>
  <c r="Y13" i="2"/>
  <c r="W13" i="2"/>
  <c r="V13" i="2"/>
  <c r="U13" i="2"/>
  <c r="T13" i="2"/>
  <c r="S13" i="2"/>
  <c r="R13" i="2"/>
  <c r="Q13" i="2"/>
  <c r="P13" i="2"/>
  <c r="AE12" i="2"/>
  <c r="AD12" i="2"/>
  <c r="AC12" i="2"/>
  <c r="AB12" i="2"/>
  <c r="AA12" i="2"/>
  <c r="Z12" i="2"/>
  <c r="Y12" i="2"/>
  <c r="W12" i="2"/>
  <c r="V12" i="2"/>
  <c r="U12" i="2"/>
  <c r="T12" i="2"/>
  <c r="S12" i="2"/>
  <c r="R12" i="2"/>
  <c r="Q12" i="2"/>
  <c r="P12" i="2"/>
  <c r="AE11" i="2"/>
  <c r="AD11" i="2"/>
  <c r="AC11" i="2"/>
  <c r="AB11" i="2"/>
  <c r="AA11" i="2"/>
  <c r="Z11" i="2"/>
  <c r="Y11" i="2"/>
  <c r="W11" i="2"/>
  <c r="V11" i="2"/>
  <c r="U11" i="2"/>
  <c r="T11" i="2"/>
  <c r="S11" i="2"/>
  <c r="R11" i="2"/>
  <c r="Q11" i="2"/>
  <c r="P11" i="2"/>
  <c r="AE10" i="2"/>
  <c r="AD10" i="2"/>
  <c r="AC10" i="2"/>
  <c r="AB10" i="2"/>
  <c r="AA10" i="2"/>
  <c r="Z10" i="2"/>
  <c r="Y10" i="2"/>
  <c r="W10" i="2"/>
  <c r="V10" i="2"/>
  <c r="U10" i="2"/>
  <c r="T10" i="2"/>
  <c r="S10" i="2"/>
  <c r="R10" i="2"/>
  <c r="Q10" i="2"/>
  <c r="P10" i="2"/>
  <c r="AE9" i="2"/>
  <c r="AD9" i="2"/>
  <c r="AC9" i="2"/>
  <c r="AB9" i="2"/>
  <c r="AA9" i="2"/>
  <c r="Z9" i="2"/>
  <c r="Y9" i="2"/>
  <c r="W9" i="2"/>
  <c r="V9" i="2"/>
  <c r="U9" i="2"/>
  <c r="T9" i="2"/>
  <c r="S9" i="2"/>
  <c r="R9" i="2"/>
  <c r="Q9" i="2"/>
  <c r="P9" i="2"/>
  <c r="AE8" i="2"/>
  <c r="AD8" i="2"/>
  <c r="AC8" i="2"/>
  <c r="AB8" i="2"/>
  <c r="AA8" i="2"/>
  <c r="Z8" i="2"/>
  <c r="Y8" i="2"/>
  <c r="W8" i="2"/>
  <c r="V8" i="2"/>
  <c r="U8" i="2"/>
  <c r="T8" i="2"/>
  <c r="S8" i="2"/>
  <c r="R8" i="2"/>
  <c r="Q8" i="2"/>
  <c r="P8" i="2"/>
  <c r="AE7" i="2"/>
  <c r="AD7" i="2"/>
  <c r="AC7" i="2"/>
  <c r="AB7" i="2"/>
  <c r="AA7" i="2"/>
  <c r="Z7" i="2"/>
  <c r="Y7" i="2"/>
  <c r="W7" i="2"/>
  <c r="V7" i="2"/>
  <c r="U7" i="2"/>
  <c r="T7" i="2"/>
  <c r="S7" i="2"/>
  <c r="R7" i="2"/>
  <c r="Q7" i="2"/>
  <c r="P7" i="2"/>
  <c r="AE6" i="2"/>
  <c r="AD6" i="2"/>
  <c r="AC6" i="2"/>
  <c r="AB6" i="2"/>
  <c r="AA6" i="2"/>
  <c r="Z6" i="2"/>
  <c r="Y6" i="2"/>
  <c r="W6" i="2"/>
  <c r="V6" i="2"/>
  <c r="U6" i="2"/>
  <c r="T6" i="2"/>
  <c r="S6" i="2"/>
  <c r="R6" i="2"/>
  <c r="Q6" i="2"/>
  <c r="P6" i="2"/>
  <c r="AE5" i="2"/>
  <c r="AD5" i="2"/>
  <c r="AC5" i="2"/>
  <c r="AB5" i="2"/>
  <c r="AA5" i="2"/>
  <c r="Z5" i="2"/>
  <c r="Y5" i="2"/>
  <c r="W5" i="2"/>
  <c r="V5" i="2"/>
  <c r="U5" i="2"/>
  <c r="T5" i="2"/>
  <c r="S5" i="2"/>
  <c r="R5" i="2"/>
  <c r="Q5" i="2"/>
  <c r="P5" i="2"/>
  <c r="AE4" i="2"/>
  <c r="AD4" i="2"/>
  <c r="AC4" i="2"/>
  <c r="AB4" i="2"/>
  <c r="AA4" i="2"/>
  <c r="Z4" i="2"/>
  <c r="Y4" i="2"/>
  <c r="W4" i="2"/>
  <c r="V4" i="2"/>
  <c r="U4" i="2"/>
  <c r="T4" i="2"/>
  <c r="S4" i="2"/>
  <c r="R4" i="2"/>
  <c r="Q4" i="2"/>
  <c r="P4" i="2"/>
  <c r="AE3" i="2"/>
  <c r="AD3" i="2"/>
  <c r="AC3" i="2"/>
  <c r="AB3" i="2"/>
  <c r="AA3" i="2"/>
  <c r="Z3" i="2"/>
  <c r="Y3" i="2"/>
  <c r="W3" i="2"/>
  <c r="V3" i="2"/>
  <c r="U3" i="2"/>
  <c r="T3" i="2"/>
  <c r="S3" i="2"/>
  <c r="R3" i="2"/>
  <c r="Q3" i="2"/>
  <c r="P3" i="2"/>
  <c r="AE2" i="2"/>
  <c r="AD2" i="2"/>
  <c r="AC2" i="2"/>
  <c r="AB2" i="2"/>
  <c r="AA2" i="2"/>
  <c r="Z2" i="2"/>
  <c r="Y2" i="2"/>
  <c r="W2" i="2"/>
  <c r="V2" i="2"/>
  <c r="U2" i="2"/>
  <c r="T2" i="2"/>
  <c r="S2" i="2"/>
  <c r="R2" i="2"/>
  <c r="Q2" i="2"/>
  <c r="P2" i="2"/>
  <c r="I21" i="1"/>
  <c r="H21" i="1"/>
  <c r="G21" i="1"/>
  <c r="F21" i="1"/>
  <c r="E21" i="1"/>
  <c r="D21" i="1"/>
  <c r="I20" i="1"/>
  <c r="H20" i="1"/>
  <c r="G20" i="1"/>
  <c r="F20" i="1"/>
  <c r="E20" i="1"/>
  <c r="D20" i="1"/>
  <c r="I19" i="1"/>
  <c r="H19" i="1"/>
  <c r="G19" i="1"/>
  <c r="F19" i="1"/>
  <c r="E19" i="1"/>
  <c r="D19" i="1"/>
  <c r="B15" i="1"/>
  <c r="B14" i="1"/>
  <c r="B13" i="1"/>
  <c r="G12" i="1"/>
  <c r="H12" i="1" s="1"/>
  <c r="B12" i="1"/>
  <c r="G11" i="1"/>
  <c r="H11" i="1" s="1"/>
  <c r="B11" i="1"/>
  <c r="G10" i="1"/>
  <c r="H10" i="1" s="1"/>
  <c r="B10" i="1"/>
  <c r="G9" i="1"/>
  <c r="H9" i="1" s="1"/>
  <c r="B9" i="1"/>
  <c r="G8" i="1"/>
  <c r="H8" i="1" s="1"/>
  <c r="B8" i="1"/>
  <c r="C26" i="1" l="1"/>
  <c r="B26" i="1" s="1"/>
  <c r="D26" i="1" s="1"/>
  <c r="C8" i="1"/>
  <c r="D8" i="1" s="1"/>
  <c r="K9" i="1"/>
  <c r="L9" i="1" s="1"/>
  <c r="K13" i="1"/>
  <c r="L13" i="1" s="1"/>
  <c r="C12" i="1"/>
  <c r="D12" i="1" s="1"/>
  <c r="C14" i="1"/>
  <c r="D14" i="1" s="1"/>
  <c r="C15" i="1"/>
  <c r="D15" i="1" s="1"/>
  <c r="K10" i="1"/>
  <c r="L10" i="1" s="1"/>
  <c r="C11" i="1"/>
  <c r="D11" i="1" s="1"/>
  <c r="C13" i="1"/>
  <c r="D13" i="1" s="1"/>
  <c r="C10" i="1"/>
  <c r="D10" i="1" s="1"/>
  <c r="K11" i="1"/>
  <c r="L11" i="1" s="1"/>
  <c r="K8" i="1"/>
  <c r="L8" i="1" s="1"/>
  <c r="K12" i="1"/>
  <c r="L12" i="1" s="1"/>
  <c r="C9" i="1"/>
  <c r="D9" i="1" s="1"/>
  <c r="C28" i="1"/>
  <c r="B28" i="1" s="1"/>
  <c r="D28" i="1" s="1"/>
  <c r="K14" i="1"/>
  <c r="L14" i="1" s="1"/>
</calcChain>
</file>

<file path=xl/sharedStrings.xml><?xml version="1.0" encoding="utf-8"?>
<sst xmlns="http://schemas.openxmlformats.org/spreadsheetml/2006/main" count="2253" uniqueCount="1080">
  <si>
    <t>Human turns</t>
  </si>
  <si>
    <t>Writing logs: 114 turns. Peer-review revision: 18 turns.</t>
  </si>
  <si>
    <t>No substantive next AI reply</t>
  </si>
  <si>
    <t>Counts describe visible behavior; category totals can overlap.</t>
  </si>
  <si>
    <t>Interaction type</t>
  </si>
  <si>
    <t>Primary count</t>
  </si>
  <si>
    <t>Any occurrence</t>
  </si>
  <si>
    <t>Agency mode</t>
  </si>
  <si>
    <t>Turns</t>
  </si>
  <si>
    <t>Share</t>
  </si>
  <si>
    <t>Expertise evidence</t>
  </si>
  <si>
    <t>Delegation</t>
  </si>
  <si>
    <t>Delegative</t>
  </si>
  <si>
    <t>domain correction</t>
  </si>
  <si>
    <t>Directed delegation</t>
  </si>
  <si>
    <t>Directive</t>
  </si>
  <si>
    <t>conceptual discrimination</t>
  </si>
  <si>
    <t>Evaluation</t>
  </si>
  <si>
    <t>Evaluative</t>
  </si>
  <si>
    <t>evidence judgment</t>
  </si>
  <si>
    <t>Correction/Challenge</t>
  </si>
  <si>
    <t>Critical</t>
  </si>
  <si>
    <t>methodological judgment</t>
  </si>
  <si>
    <t>Redirection</t>
  </si>
  <si>
    <t>Deliberative</t>
  </si>
  <si>
    <t>argumentative judgment</t>
  </si>
  <si>
    <t>Knowledge injection</t>
  </si>
  <si>
    <t>genre/writing expertise</t>
  </si>
  <si>
    <t>Selection/Rejection</t>
  </si>
  <si>
    <t>none</t>
  </si>
  <si>
    <t>Deliberation</t>
  </si>
  <si>
    <t>Source / phase</t>
  </si>
  <si>
    <t>First turn</t>
  </si>
  <si>
    <t>Last turn</t>
  </si>
  <si>
    <t>Writing log 1</t>
  </si>
  <si>
    <t>Writing log 2</t>
  </si>
  <si>
    <t>Peer-review revision</t>
  </si>
  <si>
    <t>Expertise observed</t>
  </si>
  <si>
    <t>None observed</t>
  </si>
  <si>
    <t>Share with evidence</t>
  </si>
  <si>
    <t>Key patterns and limits</t>
  </si>
  <si>
    <t>Directive agency: 90/132 (68.2%). Critical: 21 (15.9%). Deliberative: 9 (6.8%). Delegative: 7 (5.3%). Evaluative: 5 (3.8%).</t>
  </si>
  <si>
    <t>Constrained execution is frequent: Directed delegation appears in 80 turns (60.6%). Selection/Rejection appears in 40 (30.3%), including brief approvals.</t>
  </si>
  <si>
    <t>Positive expertise evidence appears in 92 turns (69.7%). Genre/writing: 49; methodological: 39; argumentative: 33; evidence judgment: 23.</t>
  </si>
  <si>
    <t>Early framing develops through scope decisions: Value/Use/Critique becomes Value/Critique (12–19), then ISTQB’s technical and pedagogical role is added (27–31).</t>
  </si>
  <si>
    <t>Conceptual scrutiny qualifies STBoK and prior knowledge (49–53), de-facto standard (96), and overlapping criticism themes (102/107).</t>
  </si>
  <si>
    <t>Evidence control intensifies in writing log 2: pool reconciliation and reported URL checks (76–79), paragraph-level traceability (85–91), and source attribution challenges (104–105).</t>
  </si>
  <si>
    <t>Revision remains actively directed: 12/18 Directive, 4/18 Critical. The researcher corrects the grey-literature argument and distinguishes manuscript from response-letter prose (122–128).</t>
  </si>
  <si>
    <t>Researcher judgment must be separated from reviewer input. Supplying a reviewer’s construct-validity critique (131) does not itself demonstrate the researcher originated that critique.</t>
  </si>
  <si>
    <t>Unverified AI completion claims recur: simulated search (63), filtering explanation (76), thematic convergence (121), and prior expert definitions (131). Outcomes record what AI says.</t>
  </si>
  <si>
    <t>One missing AI reply (78); an embedded block of prior prompts (79); an ambiguous setup cue (115). All remain in sequence, with row-level cautions.</t>
  </si>
  <si>
    <t>Single first-pass coding. Counts are category presence, not intensity or competence. Paper 1’s incomplete record limits cross-paper comparisons.</t>
  </si>
  <si>
    <t>Turn ID</t>
  </si>
  <si>
    <t>Sequence</t>
  </si>
  <si>
    <t>Phase</t>
  </si>
  <si>
    <t>Prompt excerpt</t>
  </si>
  <si>
    <t>Primary interaction type</t>
  </si>
  <si>
    <t>Additional interaction types</t>
  </si>
  <si>
    <t>Coding rationale</t>
  </si>
  <si>
    <t>Observed outcome / notes</t>
  </si>
  <si>
    <t>Prompt provenance</t>
  </si>
  <si>
    <t>Response provenance</t>
  </si>
  <si>
    <t>Attachment / contextual material</t>
  </si>
  <si>
    <t>Response availability</t>
  </si>
  <si>
    <t>Coding caution</t>
  </si>
  <si>
    <t>P7-W1-001</t>
  </si>
  <si>
    <t>ISTQB has 22+ Certifications (https://istqb.org/certifications/). each come with a comprehensive Syllabus PDF file (I attach three of them). suggest interesting "exploratory" / insightful paper topic on these Syllabuses</t>
  </si>
  <si>
    <t>Specifies syllabus-based exploratory topic generation and supplies materials; no explicit analytical judgment yet.</t>
  </si>
  <si>
    <t>AI proposes seven syllabus-based topics.</t>
  </si>
  <si>
    <t>W1 p1 L4-p1 L5</t>
  </si>
  <si>
    <t>W1 p1 L7-p1 L30</t>
  </si>
  <si>
    <t>Referenced attachment/material; attachment contents are not separate human turns.</t>
  </si>
  <si>
    <t>Visible next AI response</t>
  </si>
  <si>
    <t>Syllabus attachment contents are not separately present in the log export. Attachment provision alone is not evidence of expertise.</t>
  </si>
  <si>
    <t>P7-W1-002</t>
  </si>
  <si>
    <t>I did not like those topic. they do not seem to be useful</t>
  </si>
  <si>
    <t>Rejects the proposed topics using their perceived usefulness as the criterion.</t>
  </si>
  <si>
    <t>AI proposes more pragmatic topics.</t>
  </si>
  <si>
    <t>W1 p1 L32-p1 L32</t>
  </si>
  <si>
    <t>W1 p1 L34-p2 L12</t>
  </si>
  <si>
    <t>P7-W1-003</t>
  </si>
  <si>
    <t>let's change gears. what about a paper which reviews all benefits / criticism of the ISTQB Certifications, by sntheszing knowledge from the grey literature (online sources)</t>
  </si>
  <si>
    <t>Directed delegation; Knowledge injection</t>
  </si>
  <si>
    <t>methodological judgment; argumentative judgment</t>
  </si>
  <si>
    <t>Reframes the project as synthesis of certification benefits and criticisms from grey literature.</t>
  </si>
  <si>
    <t>AI develops a grey-literature review framing and outline.</t>
  </si>
  <si>
    <t>W1 p2 L14-p2 L15</t>
  </si>
  <si>
    <t>W1 p2 L17-p2 L37</t>
  </si>
  <si>
    <t>P7-W1-004</t>
  </si>
  <si>
    <t>by doing deep research, can you identify all grey sources talking about Criticisms, and synthesize / cateogrize them?</t>
  </si>
  <si>
    <t>Requests research and categorization focused on criticisms, defining the review task.</t>
  </si>
  <si>
    <t>AI asks for scope clarification before research.</t>
  </si>
  <si>
    <t>W1 p2 L39-p2 L40</t>
  </si>
  <si>
    <t>W1 p2 L42-p3 L2</t>
  </si>
  <si>
    <t>P7-W1-005</t>
  </si>
  <si>
    <t>RE: Should I focus on criticisms of all ISTQB certifications (e.g., Foundation, Advanced, Specialist), or just the Foundation Level? all. in your results, also give the criticisms per levels (e.g., Foundation, Advanced, Specialist) RE:Do you want a global perspective, or focus on specific regions…</t>
  </si>
  <si>
    <t>Defines coverage across levels, regions and stakeholder roles and requests separate reporting.</t>
  </si>
  <si>
    <t>AI supplies a categorized criticism overview after announcing research.</t>
  </si>
  <si>
    <t>W1 p3 L4-p3 L12</t>
  </si>
  <si>
    <t>W1 p3 L14-p10 L13</t>
  </si>
  <si>
    <t>P7-W1-006</t>
  </si>
  <si>
    <t>good stuff. keep these in mind to include them in the paper, that we will write;. do not forget them !</t>
  </si>
  <si>
    <t>Approves the findings and asks AI to retain them; no substantive assessment criteria are given.</t>
  </si>
  <si>
    <t>AI acknowledges a request to remember findings.</t>
  </si>
  <si>
    <t>W1 p10 L15-p10 L15</t>
  </si>
  <si>
    <t>W1 p10 L17-p10 L18</t>
  </si>
  <si>
    <t>P7-W1-007</t>
  </si>
  <si>
    <t>suggest a few other paper title alternatives</t>
  </si>
  <si>
    <t>Requests title alternatives with little new specification.</t>
  </si>
  <si>
    <t>AI offers title alternatives.</t>
  </si>
  <si>
    <t>W1 p10 L20-p10 L20</t>
  </si>
  <si>
    <t>W1 p10 L22-p11 L2</t>
  </si>
  <si>
    <t>P7-W1-008</t>
  </si>
  <si>
    <t>I like this: ISTQB Under the Lens: A Synthesis of Practitioner Opinions on Certification Value, Use, and Critique</t>
  </si>
  <si>
    <t>Chooses a title without an explicit rationale.</t>
  </si>
  <si>
    <t>AI acknowledges the selected title.</t>
  </si>
  <si>
    <t>W1 p11 L4-p11 L4</t>
  </si>
  <si>
    <t>W1 p11 L6-p11 L6</t>
  </si>
  <si>
    <t>P7-W1-009</t>
  </si>
  <si>
    <t>give the paper structure</t>
  </si>
  <si>
    <t>Requests a paper structure with no new detailed constraints.</t>
  </si>
  <si>
    <t>AI proposes a paper outline.</t>
  </si>
  <si>
    <t>W1 p11 L8-p11 L8</t>
  </si>
  <si>
    <t>W1 p11 L10-p11 L27</t>
  </si>
  <si>
    <t>P7-W1-010</t>
  </si>
  <si>
    <t>Findings section shall include: Certification Value, Use, and Critique</t>
  </si>
  <si>
    <t>conceptual discrimination; genre/writing expertise</t>
  </si>
  <si>
    <t>Specifies a three-part findings structure distinguishing value, use and critique.</t>
  </si>
  <si>
    <t>AI adopts the three findings categories.</t>
  </si>
  <si>
    <t>W1 p11 L29-p11 L29</t>
  </si>
  <si>
    <t>W1 p11 L31-p11 L33</t>
  </si>
  <si>
    <t>P7-W1-011</t>
  </si>
  <si>
    <t>these should also be broken down by certification level, and stakeholder role. -- remove classification by region, from all parts</t>
  </si>
  <si>
    <t>Directed delegation; Selection/Rejection</t>
  </si>
  <si>
    <t>methodological judgment; genre/writing expertise</t>
  </si>
  <si>
    <t>Removes regional classification while retaining level and role breakdowns.</t>
  </si>
  <si>
    <t>AI confirms the revised classification dimensions.</t>
  </si>
  <si>
    <t>W1 p11 L35-p11 L36</t>
  </si>
  <si>
    <t>W1 p12 L2-p12 L4</t>
  </si>
  <si>
    <t>P7-W1-012</t>
  </si>
  <si>
    <t>how would you differentiate Certification Value from Use?</t>
  </si>
  <si>
    <t>Asks how two proposed analytical categories differ; initiates conceptual comparison.</t>
  </si>
  <si>
    <t>AI contrasts perceived value with practical use.</t>
  </si>
  <si>
    <t>W1 p12 L6-p12 L6</t>
  </si>
  <si>
    <t>W1 p12 L8-p12 L17</t>
  </si>
  <si>
    <t>P7-W1-013</t>
  </si>
  <si>
    <t>like the deep research that you did for Critique part, I will later ask you to do similar deep research and synthesiding of literature for "Value" and "Use"</t>
  </si>
  <si>
    <t>Plans parallel research and synthesis for Value and Use using the previous Critique approach.</t>
  </si>
  <si>
    <t>AI acknowledges a future research request.</t>
  </si>
  <si>
    <t>W1 p12 L19-p12 L20</t>
  </si>
  <si>
    <t>W1 p12 L22-p12 L23</t>
  </si>
  <si>
    <t>P7-W1-014</t>
  </si>
  <si>
    <t>how is this title? ISTQB Under the Lens: A Synthesis of Global Voices on Certification Value, Use, and Critique</t>
  </si>
  <si>
    <t>Offers a revised title and requests evaluation of its broader voice framing.</t>
  </si>
  <si>
    <t>AI compares the old and new titles and suggests wording.</t>
  </si>
  <si>
    <t>W1 p12 L25-p12 L25</t>
  </si>
  <si>
    <t>W1 p12 L27-p12 L32</t>
  </si>
  <si>
    <t>P7-W1-015</t>
  </si>
  <si>
    <t>how is this? ISTQB Certifications Under the Lens: Synthesizing Global Perspectives on Value, Use, and Critique</t>
  </si>
  <si>
    <t>Offers a more precise revised title and asks for assessment.</t>
  </si>
  <si>
    <t>AI endorses the revised title.</t>
  </si>
  <si>
    <t>W1 p12 L34-p12 L35</t>
  </si>
  <si>
    <t>W1 p13 L2-p13 L5</t>
  </si>
  <si>
    <t>P7-W1-016</t>
  </si>
  <si>
    <t>how is this? ISTQB Certifications Under the Lens: Synthesizing Global Perspectives on their Value, Use, and Critique --- btw, shall I add any other compoent in addition to these three: Value, Use, and Critique ?</t>
  </si>
  <si>
    <t>Evaluation; Knowledge injection</t>
  </si>
  <si>
    <t>conceptual discrimination; argumentative judgment; genre/writing expertise</t>
  </si>
  <si>
    <t>Asks whether the three-part framing needs another component while assessing a title.</t>
  </si>
  <si>
    <t>AI discusses optional dimensions and recommends keeping three.</t>
  </si>
  <si>
    <t>W1 p13 L7-p13 L8</t>
  </si>
  <si>
    <t>W1 p13 L10-p13 L20</t>
  </si>
  <si>
    <t>P7-W1-017</t>
  </si>
  <si>
    <t>yep</t>
  </si>
  <si>
    <t>Accepts the preceding offer to finalize the title; no new expertise evidence.</t>
  </si>
  <si>
    <t>AI acknowledges title selection.</t>
  </si>
  <si>
    <t>W1 p13 L22-p13 L22</t>
  </si>
  <si>
    <t>W1 p13 L24-p13 L25</t>
  </si>
  <si>
    <t>P7-W1-018</t>
  </si>
  <si>
    <t>explani these aspects again: Value, Use, Critique. I am not sure if "use" is necessary</t>
  </si>
  <si>
    <t>conceptual discrimination; argumentative judgment</t>
  </si>
  <si>
    <t>Questions whether Use adds a distinct dimension and requests an explanation.</t>
  </si>
  <si>
    <t>AI explains category distinctions and presents options for keeping or merging Use.</t>
  </si>
  <si>
    <t>W1 p13 L27-p13 L27</t>
  </si>
  <si>
    <t>W1 p13 L29-p14 L8</t>
  </si>
  <si>
    <t>P7-W1-019</t>
  </si>
  <si>
    <t>reduce to two dimensions: Value and Critique</t>
  </si>
  <si>
    <t>conceptual discrimination; methodological judgment</t>
  </si>
  <si>
    <t>Chooses to reduce the analytical framework to Value and Critique after comparison.</t>
  </si>
  <si>
    <t>AI confirms the two-dimension framework.</t>
  </si>
  <si>
    <t>W1 p14 L10-p14 L10</t>
  </si>
  <si>
    <t>W1 p14 L12-p14 L13</t>
  </si>
  <si>
    <t>P7-W1-020</t>
  </si>
  <si>
    <t>recall to include in the paper a section on: Why were ISTQB Certifications developed in the first place</t>
  </si>
  <si>
    <t>argumentative judgment; genre/writing expertise</t>
  </si>
  <si>
    <t>Requires background explaining why certifications were originally developed.</t>
  </si>
  <si>
    <t>AI acknowledges the planned section.</t>
  </si>
  <si>
    <t>W1 p14 L15-p14 L15</t>
  </si>
  <si>
    <t>W1 p14 L17-p14 L18</t>
  </si>
  <si>
    <t>P7-W1-021</t>
  </si>
  <si>
    <t>let me tell you about the research approach for this work. it will get data from two sources: 1-Systematic Review of the relevant Academic and Grey Literature 2-Survey questionanare from test engineers and managers working in several Turkish and Azerbaijani companies about the Value and Critique …</t>
  </si>
  <si>
    <t>Supplies a two-source research design combining literature review and a practitioner survey.</t>
  </si>
  <si>
    <t>AI acknowledges the two research components.</t>
  </si>
  <si>
    <t>W1 p14 L20-p14 L22</t>
  </si>
  <si>
    <t>W1 p14 L24-p14 L25</t>
  </si>
  <si>
    <t>P7-W1-022</t>
  </si>
  <si>
    <t>give me a rough paper structure. here is a starting structure I have mind: 1 INTRODUCTION 1 2 RELATED WORK 2 3 GOAL AND RESEARCH DESIGN 2 3.1 Research questions 2 3.2 Systematic review of the relevant Academic and Grey Literature 2 3.2.1 Design of the Rapid Review 3 3.2.2 Pool of Online Sources I…</t>
  </si>
  <si>
    <t>Supplies a detailed starting outline and asks AI to refine it.</t>
  </si>
  <si>
    <t>AI produces a reorganized outline with RQ-linked results.</t>
  </si>
  <si>
    <t>W1 p14 L27-p14 L33</t>
  </si>
  <si>
    <t>W1 p14 L35-p15 L14</t>
  </si>
  <si>
    <t>Includes supplied outline, draft or previously generated text.</t>
  </si>
  <si>
    <t>P7-W1-023</t>
  </si>
  <si>
    <t>discuss Motivation for the study, and potential benefits of its results</t>
  </si>
  <si>
    <t>Defines the requested content as motivation and benefits of the study.</t>
  </si>
  <si>
    <t>AI drafts motivation and potential benefits.</t>
  </si>
  <si>
    <t>W1 p15 L16-p15 L16</t>
  </si>
  <si>
    <t>W1 p15 L18-p15 L37</t>
  </si>
  <si>
    <t>P7-W1-024</t>
  </si>
  <si>
    <t>not now. but remember to include it when I ask to get Sec 1</t>
  </si>
  <si>
    <t>Defers incorporation until drafting Section 1 and specifies where the material belongs.</t>
  </si>
  <si>
    <t>AI acknowledges the timing and placement instruction.</t>
  </si>
  <si>
    <t>W1 p15 L39-p15 L39</t>
  </si>
  <si>
    <t>W1 p15 L41-p15 L42</t>
  </si>
  <si>
    <t>P7-W1-025</t>
  </si>
  <si>
    <t>I updated the structure like this: … comment on it. I do not like the Sec 4- Results sturcture. how can we improve it?</t>
  </si>
  <si>
    <t>Correction/Challenge; Knowledge injection; Directed delegation</t>
  </si>
  <si>
    <t>Provides an updated outline, diagnoses dissatisfaction with results organization and requests improvement.</t>
  </si>
  <si>
    <t>AI proposes a less repetitive results structure.</t>
  </si>
  <si>
    <t>W1 p16 L2-p16 L11</t>
  </si>
  <si>
    <t>W1 p16 L13-p16 L25</t>
  </si>
  <si>
    <t>P7-W1-026</t>
  </si>
  <si>
    <t>Why I cannot add files here???</t>
  </si>
  <si>
    <t>Asks about upload failure; operational troubleshooting rather than research expertise.</t>
  </si>
  <si>
    <t>AI provides upload troubleshooting advice.</t>
  </si>
  <si>
    <t>W1 p16 L27-p16 L27</t>
  </si>
  <si>
    <t>W1 p16 L29-p16 L34</t>
  </si>
  <si>
    <t>P7-W1-027</t>
  </si>
  <si>
    <t>I upload 20 PDFs, which are Syllabus of different ISTQB certifications . can you read them? I beleive we should "commend" ISTQB in the paper, that it has so much good technical work</t>
  </si>
  <si>
    <t>Knowledge injection; Directed delegation</t>
  </si>
  <si>
    <t>evidence judgment; argumentative judgment</t>
  </si>
  <si>
    <t>Supplies syllabus documents and interprets their technical work as deserving recognition.</t>
  </si>
  <si>
    <t>AI claims to have read 20 PDFs and drafts a commendation paragraph.</t>
  </si>
  <si>
    <t>W1 p16 L36-p16 L37</t>
  </si>
  <si>
    <t>W1 p16 L39-p17 L5</t>
  </si>
  <si>
    <t>AI claims to have reviewed all 20 syllabuses; actual document access and coverage are not demonstrated by this response.</t>
  </si>
  <si>
    <t>P7-W1-028</t>
  </si>
  <si>
    <t>I beleive we shall make one of the major paper's contributions, the significant technical and pedagogical work of ISTQB. they have somewhat defined industry-standard syllabus and contents for each test role... how shall we do this?</t>
  </si>
  <si>
    <t>Redirection; Deliberation</t>
  </si>
  <si>
    <t>Proposes making technical and pedagogical contributions central and asks how to position them.</t>
  </si>
  <si>
    <t>AI suggests contribution framing and placement options.</t>
  </si>
  <si>
    <t>W1 p17 L7-p17 L9</t>
  </si>
  <si>
    <t>W1 p17 L11-p17 L28</t>
  </si>
  <si>
    <t>P7-W1-029</t>
  </si>
  <si>
    <t>I like your term "software testing body of knowledge" (STBoK). use it as many times as possible in the paper! also, I want to insert a new section3, devoted to significant technical and pedagogical work of ISTQB.</t>
  </si>
  <si>
    <t>Directed delegation; Redirection</t>
  </si>
  <si>
    <t>Selects STBoK terminology and directs a new substantive Section 3.</t>
  </si>
  <si>
    <t>AI acknowledges terminology and a new section.</t>
  </si>
  <si>
    <t>W1 p17 L30-p17 L31</t>
  </si>
  <si>
    <t>W1 p17 L33-p17 L35</t>
  </si>
  <si>
    <t>P7-W1-030</t>
  </si>
  <si>
    <t>give as itemized list, contents of Sec 3</t>
  </si>
  <si>
    <t>Requests itemized section contents in a specified format.</t>
  </si>
  <si>
    <t>AI proposes an itemized Section 3 outline.</t>
  </si>
  <si>
    <t>W1 p17 L37-p17 L37</t>
  </si>
  <si>
    <t>W1 p17 L39-p18 L12</t>
  </si>
  <si>
    <t>P7-W1-031</t>
  </si>
  <si>
    <t>think about better positioning of the results of SYSTEMATIC REVIEW and SURVEY QUESTIONNAIRE to the new Sec 3, that will come after sec 3</t>
  </si>
  <si>
    <t>Requests reconsideration of the relationship between the new contextual contribution and empirical results.</t>
  </si>
  <si>
    <t>AI develops an updated structure and explains positioning.</t>
  </si>
  <si>
    <t>W1 p18 L14-p18 L15</t>
  </si>
  <si>
    <t>W1 p18 L17-p18 L34</t>
  </si>
  <si>
    <t>P7-W1-032</t>
  </si>
  <si>
    <t>yes</t>
  </si>
  <si>
    <t>Accepts the offered full renumbered outline.</t>
  </si>
  <si>
    <t>AI supplies the revised full outline.</t>
  </si>
  <si>
    <t>W1 p18 L36-p18 L36</t>
  </si>
  <si>
    <t>W1 p18 L38-p19 L18</t>
  </si>
  <si>
    <t>P7-W1-033</t>
  </si>
  <si>
    <t>with the new sec 3 which is now a contribution too, suggest title alternative</t>
  </si>
  <si>
    <t>Requires title alternatives to represent the added contribution.</t>
  </si>
  <si>
    <t>AI generates contribution-aligned title options.</t>
  </si>
  <si>
    <t>W1 p19 L20-p19 L20</t>
  </si>
  <si>
    <t>W1 p19 L22-p19 L32</t>
  </si>
  <si>
    <t>P7-W1-034</t>
  </si>
  <si>
    <t>think fresh and suggest title alternatuives</t>
  </si>
  <si>
    <t>Requests fresh title alternatives after earlier options.</t>
  </si>
  <si>
    <t>AI produces a new title list.</t>
  </si>
  <si>
    <t>W1 p19 L34-p19 L34</t>
  </si>
  <si>
    <t>W1 p19 L36-p20 L2</t>
  </si>
  <si>
    <t>P7-W1-035</t>
  </si>
  <si>
    <t>more insightful</t>
  </si>
  <si>
    <t>Judges the titles insufficiently insightful and asks for improvement.</t>
  </si>
  <si>
    <t>AI proposes more interpretive titles.</t>
  </si>
  <si>
    <t>W1 p20 L4-p20 L4</t>
  </si>
  <si>
    <t>W1 p20 L6-p20 L19</t>
  </si>
  <si>
    <t>P7-W1-036</t>
  </si>
  <si>
    <t>no need for term global</t>
  </si>
  <si>
    <t>Excludes the word global from the title.</t>
  </si>
  <si>
    <t>AI provides alternatives without global.</t>
  </si>
  <si>
    <t>W1 p20 L21-p20 L21</t>
  </si>
  <si>
    <t>W1 p20 L23-p20 L31</t>
  </si>
  <si>
    <t>P7-W1-037</t>
  </si>
  <si>
    <t>I like these terms: Certify and Standardize... use them to give alternative</t>
  </si>
  <si>
    <t>Selects preferred wording and constrains title generation around it.</t>
  </si>
  <si>
    <t>AI generates Certify and Standardize title alternatives.</t>
  </si>
  <si>
    <t>W1 p20 L33-p20 L33</t>
  </si>
  <si>
    <t>W1 p20 L35-p21 L2</t>
  </si>
  <si>
    <t>P7-W1-038</t>
  </si>
  <si>
    <t>I choose for now: To Certify and Standardize: A Critical Reflection on ISTQB’s Value, Critique, and Its Role in Shaping Software Testing Body of Knowledge</t>
  </si>
  <si>
    <t>Chooses a provisional title without a new rationale.</t>
  </si>
  <si>
    <t>AI acknowledges the chosen title.</t>
  </si>
  <si>
    <t>W1 p21 L4-p21 L5</t>
  </si>
  <si>
    <t>W1 p21 L7-p21 L8</t>
  </si>
  <si>
    <t>P7-W1-039</t>
  </si>
  <si>
    <t>make the heading shorter</t>
  </si>
  <si>
    <t>Sets brevity as the heading revision criterion.</t>
  </si>
  <si>
    <t>AI provides shorter section headings.</t>
  </si>
  <si>
    <t>W1 p21 L10-p21 L10</t>
  </si>
  <si>
    <t>W1 p21 L12-p21 L17</t>
  </si>
  <si>
    <t>P7-W1-040</t>
  </si>
  <si>
    <t>ISTQB has also provided a platform to benchmark SW testers and ease the work of hiring, by standardizing testing knoweledge, add sbusections to Sec 3 about this</t>
  </si>
  <si>
    <t>Supplies an interpretation of benchmarking and hiring functions and requests its inclusion.</t>
  </si>
  <si>
    <t>AI adds benchmarking and hiring dimensions to Section 3.</t>
  </si>
  <si>
    <t>W1 p21 L19-p21 L20</t>
  </si>
  <si>
    <t>W1 p21 L22-p21 L35</t>
  </si>
  <si>
    <t>P7-W1-041</t>
  </si>
  <si>
    <t>I like all others, but this item shall be in the new sec 6 DISCUSSIONS AND IMPLICATIONS</t>
  </si>
  <si>
    <t>Redirection; Directed delegation</t>
  </si>
  <si>
    <t>Accepts other items but relocates limitations and gaps to the discussion section.</t>
  </si>
  <si>
    <t>AI acknowledges the relocation.</t>
  </si>
  <si>
    <t>W1 p21 L37-p21 L37</t>
  </si>
  <si>
    <t>W1 p22 L2-p22 L3</t>
  </si>
  <si>
    <t>P7-W1-042</t>
  </si>
  <si>
    <t>for the sec 3, shall we choose a research method?</t>
  </si>
  <si>
    <t>Questions whether a method should underpin the contribution analysis.</t>
  </si>
  <si>
    <t>AI recommends evidence-based contextual analysis without a formal empirical method.</t>
  </si>
  <si>
    <t>W1 p22 L5-p22 L5</t>
  </si>
  <si>
    <t>W1 p22 L7-p22 L17</t>
  </si>
  <si>
    <t>P7-W1-043</t>
  </si>
  <si>
    <t>and also the authors' years of experience since mid 2000's in working with other testers who have ISTQB certificates, intended to apply for them, or in interview panels, which have used ISTQB certificates as a requirement</t>
  </si>
  <si>
    <t>Supplies authors' professional experience as an additional basis for contextual analysis.</t>
  </si>
  <si>
    <t>AI integrates the reported experience into the proposed methods paragraph.</t>
  </si>
  <si>
    <t>W1 p22 L19-p22 L21</t>
  </si>
  <si>
    <t>W1 p22 L23-p22 L31</t>
  </si>
  <si>
    <t>Professional experience is self-reported. No independent validation or competency level is inferred.</t>
  </si>
  <si>
    <t>P7-W1-044</t>
  </si>
  <si>
    <t>sec 2 will grow large. give a para for its beginning that its large size is intentional, since our goal is to provide a "solid" background on the issue -- : 2 BACKGROUND AND RELATED WORK 2.1 THE LANDSCAPE OF SE AND SOFTWARE TESTING EDUCATION AND TRAINING 2.2 DIFFERENT PATHS TO BECOME A SOFTWARE T…</t>
  </si>
  <si>
    <t>Supplies background headings and an explicit rationale for the expanded section.</t>
  </si>
  <si>
    <t>AI drafts a justification paragraph.</t>
  </si>
  <si>
    <t>W1 p22 L33-p22 L37</t>
  </si>
  <si>
    <t>W1 p22 L39-p23 L6</t>
  </si>
  <si>
    <t>P7-W1-045</t>
  </si>
  <si>
    <t>and I added: 2.3 ROLES OF UNIVERSITIES AND INDUSTRY IN TRAINING SOFTWARE TESTERS</t>
  </si>
  <si>
    <t>Adds university and industry training roles to the background structure.</t>
  </si>
  <si>
    <t>AI acknowledges the additional subsection.</t>
  </si>
  <si>
    <t>W1 p23 L8-p23 L8</t>
  </si>
  <si>
    <t>W1 p23 L10-p23 L11</t>
  </si>
  <si>
    <t>P7-W1-046</t>
  </si>
  <si>
    <t>give it</t>
  </si>
  <si>
    <t>Requests the previously identified subsection without new specification.</t>
  </si>
  <si>
    <t>AI drafts the university/industry training subsection.</t>
  </si>
  <si>
    <t>W1 p23 L13-p23 L13</t>
  </si>
  <si>
    <t>W1 p23 L15-p23 L31</t>
  </si>
  <si>
    <t>P7-W1-047</t>
  </si>
  <si>
    <t>regive ve paragraph at the beginning of Section 2 to justify its expanded scope</t>
  </si>
  <si>
    <t>Requests regeneration of the background justification to reflect the expanded structure.</t>
  </si>
  <si>
    <t>AI updates the justification paragraph.</t>
  </si>
  <si>
    <t>W1 p23 L33-p23 L33</t>
  </si>
  <si>
    <t>W1 p23 L35-p24 L4</t>
  </si>
  <si>
    <t>P7-W1-048</t>
  </si>
  <si>
    <t>let's start. give text of sec 1</t>
  </si>
  <si>
    <t>Requests Section 1 drafting; prior accumulated context remains relevant but no new substantive constraints.</t>
  </si>
  <si>
    <t>AI drafts the Introduction.</t>
  </si>
  <si>
    <t>W1 p24 L6-p24 L6</t>
  </si>
  <si>
    <t>W1 p24 L8-p24 L34</t>
  </si>
  <si>
    <t>P7-W1-049</t>
  </si>
  <si>
    <t>Q in istqb is for: qualifications. use "qualifications" too. also change the flow to say positive stuff abuot it, before getting into: "Despite its widespread adoption, ISTQB has been subject..."</t>
  </si>
  <si>
    <t>Knowledge injection; Directed delegation; Redirection</t>
  </si>
  <si>
    <t>domain correction; argumentative judgment; genre/writing expertise</t>
  </si>
  <si>
    <t>Corrects qualifications terminology and changes the argumentative order to present positives first.</t>
  </si>
  <si>
    <t>AI revises terminology and introductory flow.</t>
  </si>
  <si>
    <t>W1 p24 L36-p24 L37</t>
  </si>
  <si>
    <t>W1 p24 L39-p25 L27</t>
  </si>
  <si>
    <t>P7-W1-050</t>
  </si>
  <si>
    <t>you say the STBoK, but that term is not established. and perhaps we are coining it in this paper. I did a Google search and can see that a few online pages use the terms, but I had never heard it</t>
  </si>
  <si>
    <t>domain correction; evidence judgment; argumentative judgment</t>
  </si>
  <si>
    <t>Challenges treatment of STBoK as established, supplies a reported search and qualifies novelty.</t>
  </si>
  <si>
    <t>AI agrees to define STBoK as an emerging framing.</t>
  </si>
  <si>
    <t>W1 p25 L29-p25 L30</t>
  </si>
  <si>
    <t>W1 p25 L32-p25 L34</t>
  </si>
  <si>
    <t>Reported Google search is human testimony. This coding does not establish who coined STBoK.</t>
  </si>
  <si>
    <t>P7-W1-051</t>
  </si>
  <si>
    <t>Accepts the offered revision reflecting the preceding terminology qualification.</t>
  </si>
  <si>
    <t>AI revises the STBoK introduction paragraph.</t>
  </si>
  <si>
    <t>W1 p25 L36-p25 L36</t>
  </si>
  <si>
    <t>W1 p25 L38-p26 L2</t>
  </si>
  <si>
    <t>P7-W1-052</t>
  </si>
  <si>
    <t>researchers will not like this phrase, as they will say that 100's of books and 10000's of papers are already published abuot testing.</t>
  </si>
  <si>
    <t>Knowledge injection; Redirection</t>
  </si>
  <si>
    <t>domain correction; argumentative judgment</t>
  </si>
  <si>
    <t>Challenges an implied knowledge-creation claim by invoking the existing testing literature.</t>
  </si>
  <si>
    <t>AI reframes ISTQB's role as structuring existing knowledge.</t>
  </si>
  <si>
    <t>W1 p26 L4-p26 L5</t>
  </si>
  <si>
    <t>W1 p26 L7-p26 L14</t>
  </si>
  <si>
    <t>P7-W1-053</t>
  </si>
  <si>
    <t>revise the entire sec 1, based on my above comment</t>
  </si>
  <si>
    <t>Extends the preceding overclaim correction to the entire Introduction.</t>
  </si>
  <si>
    <t>AI supplies a revised Introduction acknowledging prior work.</t>
  </si>
  <si>
    <t>W1 p26 L16-p26 L16</t>
  </si>
  <si>
    <t>W1 p26 L18-p27 L10</t>
  </si>
  <si>
    <t>P7-W1-054</t>
  </si>
  <si>
    <t>do a deep research, and find any online sources ( blogs, videos, pages, etc) which have shared insights / experiences positive or negative about istqb and istqb certifications</t>
  </si>
  <si>
    <t>Specifies research on positive and negative experiences across online source forms.</t>
  </si>
  <si>
    <t>AI requests source and language clarification.</t>
  </si>
  <si>
    <t>W1 p27 L12-p27 L13</t>
  </si>
  <si>
    <t>W1 p27 L15-p27 L19</t>
  </si>
  <si>
    <t>P7-W1-055</t>
  </si>
  <si>
    <t>training providers and educators may just do sales pitch. I do not want those . only English . both academic and grey literature</t>
  </si>
  <si>
    <t>evidence judgment; methodological judgment</t>
  </si>
  <si>
    <t>Excludes potentially promotional providers, sets English-only scope and includes academic and grey literature.</t>
  </si>
  <si>
    <t>AI reports a practitioner-source search and synthesis.</t>
  </si>
  <si>
    <t>W1 p27 L21-p27 L22</t>
  </si>
  <si>
    <t>W1 p27 L24-p29 L24</t>
  </si>
  <si>
    <t>P7-W1-056</t>
  </si>
  <si>
    <t>single word for "Positive comments "? give many alternatives</t>
  </si>
  <si>
    <t>Requests single-word alternatives for a research label.</t>
  </si>
  <si>
    <t>AI provides vocabulary alternatives.</t>
  </si>
  <si>
    <t>W1 p29 L26-p29 L26</t>
  </si>
  <si>
    <t>W1 p29 L28-p29 L32</t>
  </si>
  <si>
    <t>P7-W1-057</t>
  </si>
  <si>
    <t>Let's resume work on this paper. I attach the latest version of the paper. I need to make some improvements to the introduction section.In the narrative of the introduction, starting from the first paragraph, I want to also add that we mentioned there are different paths to taking software testin…</t>
  </si>
  <si>
    <t>Supplies a draft and a specific narrative argument about diverse routes into testing roles.</t>
  </si>
  <si>
    <t>AI revises the opening paragraph.</t>
  </si>
  <si>
    <t>W1 p29 L34-p29 L39</t>
  </si>
  <si>
    <t>W1 p30 L2-p30 L14</t>
  </si>
  <si>
    <t>P7-W1-058</t>
  </si>
  <si>
    <t>say that such a very large number of certifications hints a huge popularity of this certification and also motivates the needs to discuss and analyze practitioners' opinions about such a certification with such a major penetration in the software testing industry.</t>
  </si>
  <si>
    <t>Supplies reasoning connecting certification volume to the motivation for investigating opinions.</t>
  </si>
  <si>
    <t>AI rewrites the popularity and motivation paragraph.</t>
  </si>
  <si>
    <t>W1 p30 L16-p30 L18</t>
  </si>
  <si>
    <t>W1 p30 L20-p30 L28</t>
  </si>
  <si>
    <t>P7-W1-059</t>
  </si>
  <si>
    <t>Provide a paragraph why doing research on this issue is useful for both researchers and practitioners.</t>
  </si>
  <si>
    <t>Requests a paragraph addressing usefulness to researchers and practitioners.</t>
  </si>
  <si>
    <t>AI drafts the requested significance paragraph.</t>
  </si>
  <si>
    <t>W1 p30 L30-p30 L30</t>
  </si>
  <si>
    <t>W1 p30 L32-p30 L41</t>
  </si>
  <si>
    <t>P7-W1-060</t>
  </si>
  <si>
    <t>Latest paper draft is attached</t>
  </si>
  <si>
    <t>Provides an updated draft without an explicit analytical instruction.</t>
  </si>
  <si>
    <t>AI claims to review the draft and provides an additional Introduction paragraph.</t>
  </si>
  <si>
    <t>W1 p31 L2-p31 L2</t>
  </si>
  <si>
    <t>W1 p31 L4-p31 L18</t>
  </si>
  <si>
    <t>Attachment-only turn. AI initiates substantive feedback; no explicit review request is inferred from the prompt.</t>
  </si>
  <si>
    <t>P7-W1-061</t>
  </si>
  <si>
    <t>Latest paper draft is attached. I have made changes to it</t>
  </si>
  <si>
    <t>Reports supplying a changed draft; no substantive changes are described in this turn.</t>
  </si>
  <si>
    <t>AI claims draft review and gives recommendations.</t>
  </si>
  <si>
    <t>W1 p31 L20-p31 L20</t>
  </si>
  <si>
    <t>W1 p31 L22-p31 L40</t>
  </si>
  <si>
    <t>Attachment-only turn. The changed manuscript is not reconstructed from the AI status summary.</t>
  </si>
  <si>
    <t>P7-W1-062</t>
  </si>
  <si>
    <t>To get the results for Sec 5.1 RQ1 … do an AI-ASSISTED MULTIVOCAL LITERATURE REVIEW … Search process … Source selection … Study quality assessment … Data extraction … qualitative coding.</t>
  </si>
  <si>
    <t>methodological judgment; evidence judgment</t>
  </si>
  <si>
    <t>Specifies MLR stages, thematic coding, guideline use and RQ1 focus; requests plan confirmation.</t>
  </si>
  <si>
    <t>AI restates the proposed MLR protocol and asks about starting.</t>
  </si>
  <si>
    <t>W1 p31 L42-p32 L7</t>
  </si>
  <si>
    <t>W1 p32 L9-p32 L28</t>
  </si>
  <si>
    <t>P7-W1-063</t>
  </si>
  <si>
    <t>You know that you shall do "deep research", and it could take several minutes, which is fine. Also, you need to provide all the details of each step (e.g., Search process, -Source selection), so that we would include them for transparency in our paper</t>
  </si>
  <si>
    <t>Requires deep research and transparent procedural detail rather than speed.</t>
  </si>
  <si>
    <t>AI reports tool unavailability and proposes simulated search stages.</t>
  </si>
  <si>
    <t>W1 p32 L30-p32 L32</t>
  </si>
  <si>
    <t>W1 p32 L34-p33 L8</t>
  </si>
  <si>
    <t>AI explicitly proposes simulation after reporting unavailable Deep Research. Proposed search details do not establish an executed search.</t>
  </si>
  <si>
    <t>P7-W1-064</t>
  </si>
  <si>
    <t>Well, I have many "deep research" credits left and I now turned on the option for "deep research". Do you understand me?</t>
  </si>
  <si>
    <t>Challenges the unavailable-tool response and reports enabling Deep Research; operational correction alone.</t>
  </si>
  <si>
    <t>AI again asks for scope confirmation.</t>
  </si>
  <si>
    <t>W1 p33 L10-p33 L11</t>
  </si>
  <si>
    <t>W1 p33 L13-p33 L18</t>
  </si>
  <si>
    <t>Human reports enabling the feature. Credits/activation statements do not independently prove tool execution.</t>
  </si>
  <si>
    <t>P7-W1-065</t>
  </si>
  <si>
    <t>Well, I said above that for Data synthesis, you should use "qualitative coding" for that, by themes. Abd we already agreed above that we should include both Academic and Grey Literature, and focus only on English-language sources.</t>
  </si>
  <si>
    <t>Corrects repeated clarification by reinstating agreed coding, evidence and language requirements.</t>
  </si>
  <si>
    <t>AI reports a value/endorsement MLR with search and synthesis sections.</t>
  </si>
  <si>
    <t>W1 p33 L20-p33 L22</t>
  </si>
  <si>
    <t>W1 p33 L24-p38 L37</t>
  </si>
  <si>
    <t>The response announces a review; no separate tool-execution audit trail is available in this export.</t>
  </si>
  <si>
    <t>P7-W2-001</t>
  </si>
  <si>
    <t>RQ2 is: What criticisms have been raised by practitioners … systematic Multivocal Literature Review … follow the approach … provide all the details of each step … transparency.</t>
  </si>
  <si>
    <t>Supplies RQ2 and explicitly specifies MLR stages, thematic coding and procedural transparency.</t>
  </si>
  <si>
    <t>AI presents a protocol and asks to proceed.</t>
  </si>
  <si>
    <t>W2 p1 L4-p1 L16</t>
  </si>
  <si>
    <t>W2 p1 L18-p2 L9</t>
  </si>
  <si>
    <t>P7-W2-002</t>
  </si>
  <si>
    <t>sure</t>
  </si>
  <si>
    <t>Approves the preceding research protocol and next step.</t>
  </si>
  <si>
    <t>AI supplies a methods/results package and offers extraction outputs.</t>
  </si>
  <si>
    <t>W2 p2 L11-p2 L11</t>
  </si>
  <si>
    <t>W2 p2 L13-p3 L38</t>
  </si>
  <si>
    <t>P7-W2-003</t>
  </si>
  <si>
    <t>Yes do that</t>
  </si>
  <si>
    <t>Accepts the offer of an extraction sheet and PRISMA summary.</t>
  </si>
  <si>
    <t>AI requests new scope clarification instead of delivering those outputs.</t>
  </si>
  <si>
    <t>W2 p3 L40-p3 L40</t>
  </si>
  <si>
    <t>W2 p3 L42-p4 L5</t>
  </si>
  <si>
    <t>Approval is for offered outputs; the next AI reply instead restarts clarification.</t>
  </si>
  <si>
    <t>P7-W2-004</t>
  </si>
  <si>
    <t>RE 1: all years. RE 2: include non-English too, but translate their contents to English and then analyze. RE 3: all Grey literature platforms. RE: Output format: just text</t>
  </si>
  <si>
    <t>Sets all-year multilingual coverage, translation, all grey platforms and text output.</t>
  </si>
  <si>
    <t>AI acknowledges the broadened review scope.</t>
  </si>
  <si>
    <t>W2 p4 L7-p4 L8</t>
  </si>
  <si>
    <t>W2 p4 L10-p4 L15</t>
  </si>
  <si>
    <t>P7-W2-005</t>
  </si>
  <si>
    <t>Do the analysis for both RQ1 and RQ2 in one "deep research", but make sure the results are separately. Do not mix them up. … Include both English and non-English sources … qualitative coding.</t>
  </si>
  <si>
    <t>methodological judgment; conceptual discrimination; evidence judgment</t>
  </si>
  <si>
    <t>Combines the RQs while requiring separate thematic results, translation and source-focus classification.</t>
  </si>
  <si>
    <t>AI asks about quote/screenshot traceability.</t>
  </si>
  <si>
    <t>W2 p4 L17-p4 L39</t>
  </si>
  <si>
    <t>W2 p5 L2-p5 L7</t>
  </si>
  <si>
    <t>P7-W2-006</t>
  </si>
  <si>
    <t>yes, that is a good level of level of traceability. We had done like that in one of my MLR / SLR paper. do that</t>
  </si>
  <si>
    <t>Accepts evidence traceability and relates it to prior MLR/SLR practice.</t>
  </si>
  <si>
    <t>AI reports a combined endorsement/criticism review.</t>
  </si>
  <si>
    <t>W2 p5 L9-p5 L9</t>
  </si>
  <si>
    <t>W2 p5 L11-p12 L39</t>
  </si>
  <si>
    <t>Prior-review experience and acceptance of traceability are explicit; the source quotes remain unverified.</t>
  </si>
  <si>
    <t>P7-W2-007</t>
  </si>
  <si>
    <t>the work that you did above is good. I want one improvement, in the table of sources that you have, I want you to put a column named Source #, and label sources as S1, S2, .... add a column, showing the correct URL of each source. ensure not giving me invalid (broken) links. replace column "Senti…</t>
  </si>
  <si>
    <t>evidence judgment; methodological judgment; conceptual discrimination; genre/writing expertise</t>
  </si>
  <si>
    <t>Requires stable source IDs, valid URLs, a both-focus category and matching in-text citations.</t>
  </si>
  <si>
    <t>AI supplies a revised 15-source table and synthesis.</t>
  </si>
  <si>
    <t>W2 p13 L2-p13 L6</t>
  </si>
  <si>
    <t>W2 p13 L8-p15 L11</t>
  </si>
  <si>
    <t>P7-W2-008</t>
  </si>
  <si>
    <t>do a deep research for more sources. I beleive thee should be more than 15 sources on the topic, and added them to the table in the same format. TAKE YOUR TIME. quality is more important for me, than doing it fast.</t>
  </si>
  <si>
    <t>Questions completeness of the 15-source pool and prioritizes quality over speed.</t>
  </si>
  <si>
    <t>AI asks for delivery-format clarification.</t>
  </si>
  <si>
    <t>W2 p15 L13-p15 L14</t>
  </si>
  <si>
    <t>W2 p15 L16-p15 L19</t>
  </si>
  <si>
    <t>P7-W2-009</t>
  </si>
  <si>
    <t>downloadable document Word</t>
  </si>
  <si>
    <t>Chooses downloadable Word delivery with no new analytical judgment.</t>
  </si>
  <si>
    <t>AI supplies an expanded review ending with a nine-source table.</t>
  </si>
  <si>
    <t>W2 p15 L21-p15 L21</t>
  </si>
  <si>
    <t>W2 p15 L23-p24 L18</t>
  </si>
  <si>
    <t>A nine-source table appears after the request for more than fifteen. File-delivery success is not inferred.</t>
  </si>
  <si>
    <t>P7-W2-010</t>
  </si>
  <si>
    <t>for "Study Quality Assessment", did yuo use AACODS (Authority, Accuracy, Coverage, Objectivity, Date, Significance). ?</t>
  </si>
  <si>
    <t>Checks whether the named AACODS quality-assessment framework was applied.</t>
  </si>
  <si>
    <t>AI claims AACODS use and describes the checklist.</t>
  </si>
  <si>
    <t>W2 p24 L20-p24 L21</t>
  </si>
  <si>
    <t>W2 p24 L23-p25 L13</t>
  </si>
  <si>
    <t>AACODS application is claimed by AI, not independently validated here.</t>
  </si>
  <si>
    <t>P7-W2-011</t>
  </si>
  <si>
    <t>my other question: in the very last analysis, you found 9 sources (S1-S9) and you had found 15 sources in the 2nd last analysis. are they different, or have overlap? shall we combine them?</t>
  </si>
  <si>
    <t>Evaluation; Correction/Challenge</t>
  </si>
  <si>
    <t>Detects inconsistent source counts and asks about overlap and combining sets.</t>
  </si>
  <si>
    <t>AI claims nine were filtered from fifteen and proposes a master table.</t>
  </si>
  <si>
    <t>W2 p25 L15-p25 L16</t>
  </si>
  <si>
    <t>W2 p25 L18-p25 L25</t>
  </si>
  <si>
    <t>AI explains nine-versus-fifteen as filtering; this explanation is not supported by a reconciled item-level audit in this turn.</t>
  </si>
  <si>
    <t>P7-W2-012</t>
  </si>
  <si>
    <t>I compared both the tables … combined them … checked all the URLs … 20 resources … expand … three or fourfold … thematic analysis … go through their "next pages" buttons.</t>
  </si>
  <si>
    <t>evidence judgment; methodological judgment; genre/writing expertise</t>
  </si>
  <si>
    <t>Reports personally combining and URL-checking 20 sources; directs deeper thematic synthesis and forum pagination.</t>
  </si>
  <si>
    <t>AI asks whether the 20-source pool is definitive and how to deliver results.</t>
  </si>
  <si>
    <t>W2 p25 L27-p25 L40</t>
  </si>
  <si>
    <t>W2 p25 L42-p26 L4</t>
  </si>
  <si>
    <t>URL checking and merging are reported human actions. The referenced Excel attachment is not independently inspected in this analysis.</t>
  </si>
  <si>
    <t>P7-W2-013</t>
  </si>
  <si>
    <t>RE: Should I treat your 20-source Excel file as the definitive, final set of included sources for the RQ analysis (i.e., no additional new sources beyond S1–S20)? Do you want the expanded write-up for RQ1 and RQ2 to be returned in plain text here, or should it be delivered as a downloadable Word …</t>
  </si>
  <si>
    <t>Pastes the AI's questions without answering them; content is copied clarification rather than the human's judgment.</t>
  </si>
  <si>
    <t>No substantive AI response is visible before the next human message.</t>
  </si>
  <si>
    <t>W2 p26 L6-p26 L12</t>
  </si>
  <si>
    <t>Referenced attachment/material; attachment contents are not separate human turns. Pastes preceding AI clarification questions.</t>
  </si>
  <si>
    <t>No substantive AI reply visible</t>
  </si>
  <si>
    <t>Copied AI clarification questions are retained as a separate visible human message; intent is ambiguous and there is no substantive AI reply.</t>
  </si>
  <si>
    <t>P7-W2-014</t>
  </si>
  <si>
    <t>Yes, these 20 sources are the final (definitive) set … Do NOT do any new searches … Synthesis of qualitative opinions … Structured by thematic coding sub-sections … [also pastes earlier prompts].</t>
  </si>
  <si>
    <t>Directed delegation; Redirection; Selection/Rejection; Knowledge injection</t>
  </si>
  <si>
    <t>Stops new searches, fixes a final pool and synthesis workflow; includes copied earlier prompts and conflicting language instructions.</t>
  </si>
  <si>
    <t>AI restates the plan and again asks for confirmation.</t>
  </si>
  <si>
    <t>W2 p26 L14-p27 L24</t>
  </si>
  <si>
    <t>W2 p27 L26-p27 L35</t>
  </si>
  <si>
    <t>Referenced attachment/material; attachment contents are not separate human turns. Contains a block of previously used prompts inside this message.</t>
  </si>
  <si>
    <t>One visible message contains pasted prior prompts, including source repairs and an English-only instruction conflicting with its multilingual instruction. These embedded excerpts are not counted as separate turns. Expertise attribution relies primarily on the current final-pool/synthesis directives.</t>
  </si>
  <si>
    <t>P7-W2-015</t>
  </si>
  <si>
    <t>I confirm</t>
  </si>
  <si>
    <t>Confirms the offered 20-source synthesis workflow.</t>
  </si>
  <si>
    <t>AI supplies thematic RQ results and a source table.</t>
  </si>
  <si>
    <t>W2 p27 L37-p27 L37</t>
  </si>
  <si>
    <t>W2 p28 L2-p32 L12</t>
  </si>
  <si>
    <t>The AI table labels S19 a duplicate of S13. A 20-ID pool is not proof of twenty distinct resources.</t>
  </si>
  <si>
    <t>P7-W2-016</t>
  </si>
  <si>
    <t>I see that you have include the ref's in each paragraph above, and you have cited EACH source at end of sentences. But I want citation to EACH source at end of sentence to also be in this format [Si]</t>
  </si>
  <si>
    <t>Identifies noncompliance with the agreed source-ID citation style.</t>
  </si>
  <si>
    <t>AI asks for citation-style confirmation.</t>
  </si>
  <si>
    <t>W2 p32 L14-p32 L15</t>
  </si>
  <si>
    <t>W2 p32 L17-p32 L20</t>
  </si>
  <si>
    <t>P7-W2-017</t>
  </si>
  <si>
    <t>no need for detailed inline references. just [s1] [si] etc in all text</t>
  </si>
  <si>
    <t>Excludes detailed inline references and specifies source-ID markers throughout.</t>
  </si>
  <si>
    <t>AI announces another MLR instead of just editing citations.</t>
  </si>
  <si>
    <t>W2 p32 L22-p32 L22</t>
  </si>
  <si>
    <t>W2 p32 L24-p32 L30</t>
  </si>
  <si>
    <t>P7-W2-018</t>
  </si>
  <si>
    <t>stop! you already have done the MLR work. just take your text of RQ1 and 2 results from above, and "replace" those in-line cites with [si]'s, like I show in the figure</t>
  </si>
  <si>
    <t>Stops unnecessary repeat research and limits the task to replacing citations in existing results.</t>
  </si>
  <si>
    <t>AI acknowledges the restricted edit and asks to generate a Word file.</t>
  </si>
  <si>
    <t>W2 p33 L2-p33 L3</t>
  </si>
  <si>
    <t>W2 p33 L5-p33 L10</t>
  </si>
  <si>
    <t>P7-W2-019</t>
  </si>
  <si>
    <t>Accepts the offered Word export of corrected citations.</t>
  </si>
  <si>
    <t>AI states a Word file was prepared; the extracted response has no usable download target.</t>
  </si>
  <si>
    <t>W2 p33 L12-p33 L12</t>
  </si>
  <si>
    <t>W2 p33 L14-p33 L15</t>
  </si>
  <si>
    <t>AI says a Word file is prepared, but the exported text has no usable download URL; file creation is unverified.</t>
  </si>
  <si>
    <t>P7-W2-020</t>
  </si>
  <si>
    <t>For each paragraph … itemize the exact verbatims from each primary resource … Give this analysis (traceability) log, paragraph by paragraph, so I can inspect … expand each paragraph by 2 fold.</t>
  </si>
  <si>
    <t>Requires paragraph-level claim-to-verbatim mapping, inspection, added quotes and longer narrative; quoted results illustrate the requested format.</t>
  </si>
  <si>
    <t>AI restates expansion and traceability requirements and asks which RQ first.</t>
  </si>
  <si>
    <t>W2 p33 L17-p33 L40</t>
  </si>
  <si>
    <t>W2 p34 L2-p34 L12</t>
  </si>
  <si>
    <t>Prompt says RQ2 and 3 but illustrates endorsements and AI responds RQ1/RQ2. The source wording is preserved rather than silently corrected.</t>
  </si>
  <si>
    <t>P7-W2-021</t>
  </si>
  <si>
    <t>RQ1 only first</t>
  </si>
  <si>
    <t>Selects RQ1 as the first unit of work.</t>
  </si>
  <si>
    <t>AI proposes a pilot theme before continuing.</t>
  </si>
  <si>
    <t>W2 p34 L14-p34 L14</t>
  </si>
  <si>
    <t>W2 p34 L16-p34 L22</t>
  </si>
  <si>
    <t>P7-W2-022</t>
  </si>
  <si>
    <t>Yes good idea</t>
  </si>
  <si>
    <t>Approves the pilot theme and traceability format.</t>
  </si>
  <si>
    <t>AI supplies the expanded career theme with purported quote mappings.</t>
  </si>
  <si>
    <t>W2 p34 L24-p34 L24</t>
  </si>
  <si>
    <t>W2 p34 L26-p35 L15</t>
  </si>
  <si>
    <t>Quote mappings are AI assertions; they have not been checked against the primary resources in this log-coding task.</t>
  </si>
  <si>
    <t>P7-W2-023</t>
  </si>
  <si>
    <t>Accepts continuation to the professional-recognition theme.</t>
  </si>
  <si>
    <t>AI supplies the expanded recognition theme and traceability list.</t>
  </si>
  <si>
    <t>W2 p35 L17-p35 L17</t>
  </si>
  <si>
    <t>W2 p35 L19-p36 L4</t>
  </si>
  <si>
    <t>P7-W2-024</t>
  </si>
  <si>
    <t>when you include these sources, there should be examples from each in the rest of the paragraph. I cannot find any example from [s3] in the rest of this paragraph</t>
  </si>
  <si>
    <t>Detects that a cited source lacks a represented example in the paragraph.</t>
  </si>
  <si>
    <t>AI acknowledges the S3 traceability gap and proposes an example.</t>
  </si>
  <si>
    <t>W2 p36 L6-p36 L7</t>
  </si>
  <si>
    <t>W2 p36 L9-p36 L17</t>
  </si>
  <si>
    <t>The identified gap concerns representation of S3. The proposed replacement quote is not independently verified.</t>
  </si>
  <si>
    <t>P7-W2-025</t>
  </si>
  <si>
    <t>of course if there is a related discussion in s3 to theme of this paragraph "Professional Recognition and Credibility", bring it. if not, do not cite s3</t>
  </si>
  <si>
    <t>Requires thematic relevance as the criterion for keeping S3; excludes it if unsupported.</t>
  </si>
  <si>
    <t>AI claims S3 is relevant and offers revision.</t>
  </si>
  <si>
    <t>W2 p36 L19-p36 L20</t>
  </si>
  <si>
    <t>W2 p36 L22-p36 L29</t>
  </si>
  <si>
    <t>P7-W2-026</t>
  </si>
  <si>
    <t>yes, and ensure doing that for all the next paragraphs</t>
  </si>
  <si>
    <t>Approves revision and generalizes the evidence-per-cited-source rule to future paragraphs.</t>
  </si>
  <si>
    <t>AI revises the recognition paragraph and traceability list.</t>
  </si>
  <si>
    <t>W2 p36 L31-p36 L31</t>
  </si>
  <si>
    <t>W2 p36 L33-p37 L26</t>
  </si>
  <si>
    <t>AI supplies purported evidence, including attributed quotations; primary-source fidelity remains unverified.</t>
  </si>
  <si>
    <t>P7-W2-027</t>
  </si>
  <si>
    <t>also always cite more than one cases like this: [S2, S3, S5, S7, S8]. now, regenerate "6.1.1 Career Advancement and Job Opportunities"</t>
  </si>
  <si>
    <t>Sets grouped multi-source citation style and requests regeneration of a specified theme.</t>
  </si>
  <si>
    <t>AI regenerates the career theme with grouped citations.</t>
  </si>
  <si>
    <t>W2 p37 L28-p37 L29</t>
  </si>
  <si>
    <t>W2 p37 L31-p38 L19</t>
  </si>
  <si>
    <t>P7-W2-028</t>
  </si>
  <si>
    <t>give 6.1.3</t>
  </si>
  <si>
    <t>Requests the next numbered section without new substantive constraints.</t>
  </si>
  <si>
    <t>AI drafts the foundational-knowledge theme.</t>
  </si>
  <si>
    <t>W2 p38 L21-p38 L21</t>
  </si>
  <si>
    <t>W2 p38 L23-p39 L11</t>
  </si>
  <si>
    <t>P7-W2-029</t>
  </si>
  <si>
    <t>Accepts continuation to the structured-approach theme.</t>
  </si>
  <si>
    <t>AI drafts that endorsement theme and traceability list.</t>
  </si>
  <si>
    <t>W2 p39 L13-p39 L13</t>
  </si>
  <si>
    <t>W2 p39 L15-p39 L46</t>
  </si>
  <si>
    <t>P7-W2-030</t>
  </si>
  <si>
    <t>Accepts continuation to the organizational-advantages theme.</t>
  </si>
  <si>
    <t>AI drafts the final endorsement theme.</t>
  </si>
  <si>
    <t>W2 p40 L2-p40 L2</t>
  </si>
  <si>
    <t>W2 p40 L4-p40 L38</t>
  </si>
  <si>
    <t>P7-W2-031</t>
  </si>
  <si>
    <t>instead of "standard ", you should say "de-facto standard"</t>
  </si>
  <si>
    <t>domain correction; conceptual discrimination</t>
  </si>
  <si>
    <t>Qualifies standard as de-facto standard, distinguishing practical adoption from formal standard status.</t>
  </si>
  <si>
    <t>AI agrees to change the terminology and offers revision.</t>
  </si>
  <si>
    <t>W2 p40 L40-p40 L40</t>
  </si>
  <si>
    <t>W2 p40 L42-p40 L44</t>
  </si>
  <si>
    <t>P7-W2-032</t>
  </si>
  <si>
    <t>proceed with the same approach for RQ2 (criticisms),</t>
  </si>
  <si>
    <t>Directs transfer of the established expansion/traceability approach to RQ2.</t>
  </si>
  <si>
    <t>AI drafts the first criticism theme.</t>
  </si>
  <si>
    <t>W2 p41 L2-p41 L2</t>
  </si>
  <si>
    <t>W2 p41 L4-p41 L30</t>
  </si>
  <si>
    <t>P7-W2-033</t>
  </si>
  <si>
    <t>Accepts continuation to the testing-skill-measurement theme.</t>
  </si>
  <si>
    <t>AI drafts the second criticism theme.</t>
  </si>
  <si>
    <t>W2 p41 L32-p41 L32</t>
  </si>
  <si>
    <t>W2 p41 L34-p42 L14</t>
  </si>
  <si>
    <t>P7-W2-034</t>
  </si>
  <si>
    <t>yes, but be careful in wording, do not use "Money-Making” and ismilar sensitive phrases</t>
  </si>
  <si>
    <t>Approves continuation but excludes sensitive accusatory commercialization wording.</t>
  </si>
  <si>
    <t>AI drafts a more qualified commercialization theme.</t>
  </si>
  <si>
    <t>W2 p42 L16-p42 L16</t>
  </si>
  <si>
    <t>W2 p42 L18-p43 L2</t>
  </si>
  <si>
    <t>P7-W2-035</t>
  </si>
  <si>
    <t>for phrase like that, instead say: "Similarly, on the SoftwareTestingHelp platform, ..."</t>
  </si>
  <si>
    <t>Specifies neutral platform attribution phrasing.</t>
  </si>
  <si>
    <t>AI acknowledges the new attribution wording.</t>
  </si>
  <si>
    <t>W2 p43 L4-p43 L4</t>
  </si>
  <si>
    <t>W2 p43 L6-p43 L9</t>
  </si>
  <si>
    <t>P7-W2-036</t>
  </si>
  <si>
    <t>continue with 6.2.4 Outdated Content and Lack of Relevance</t>
  </si>
  <si>
    <t>Selects a named next subsection with no new substantive instruction.</t>
  </si>
  <si>
    <t>AI drafts the outdated-content theme.</t>
  </si>
  <si>
    <t>W2 p43 L11-p43 L11</t>
  </si>
  <si>
    <t>W2 p43 L13-p43 L43</t>
  </si>
  <si>
    <t>P7-W2-037</t>
  </si>
  <si>
    <t>the term "Lack of Relevance" in this theme has some overlap with "Not Practically Useful" in 6.2.1 "Primarily Theoretical and Not Practically Useful". rework 6.2.4 theme</t>
  </si>
  <si>
    <t>Diagnoses overlap between criticism categories and requires a clearer thematic distinction.</t>
  </si>
  <si>
    <t>AI reframes the theme around slow adaptation to industry change.</t>
  </si>
  <si>
    <t>W2 p44 L2-p44 L3</t>
  </si>
  <si>
    <t>W2 p44 L5-p44 L27</t>
  </si>
  <si>
    <t>P7-W2-038</t>
  </si>
  <si>
    <t>Accepts updating the traceability log for the revised theme.</t>
  </si>
  <si>
    <t>AI supplies revised mappings, including purported academic-study references.</t>
  </si>
  <si>
    <t>W2 p44 L29-p44 L29</t>
  </si>
  <si>
    <t>W2 p44 L31-p44 L42</t>
  </si>
  <si>
    <t>P7-W2-039</t>
  </si>
  <si>
    <t>which source ID? we do not have any academic studies. they are all grey literature</t>
  </si>
  <si>
    <t>Challenges invented academic-study attribution by stating that the final pool contains only grey literature.</t>
  </si>
  <si>
    <t>AI acknowledges the incorrect academic-study description.</t>
  </si>
  <si>
    <t>W2 p44 L44-p44 L44</t>
  </si>
  <si>
    <t>W2 p45 L2-p45 L9</t>
  </si>
  <si>
    <t>Human explicitly identifies the actual included pool as entirely grey literature despite earlier planned academic-plus-grey scope.</t>
  </si>
  <si>
    <t>P7-W2-040</t>
  </si>
  <si>
    <t>by “One academic study", you meant one of the sources. tell me which was gave those insights: One academic study found that graduates of certification courses struggled to apply what they learned in agile and automation- intensive environments, as much of the syllabus was rooted in traditional pr…</t>
  </si>
  <si>
    <t>Presses for exact source attribution of the unsupported claim rather than accepting a generic relabeling.</t>
  </si>
  <si>
    <t>AI attributes the claim to S1 and S12 without showing new primary-source evidence.</t>
  </si>
  <si>
    <t>W2 p45 L11-p45 L14</t>
  </si>
  <si>
    <t>W2 p45 L16-p45 L25</t>
  </si>
  <si>
    <t>AI supplies an attribution after challenge but does not demonstrate the source passage. Attribution alone does not repair evidential support.</t>
  </si>
  <si>
    <t>P7-W2-041</t>
  </si>
  <si>
    <t>go to next subsec</t>
  </si>
  <si>
    <t>Requests the next subsection without new specification.</t>
  </si>
  <si>
    <t>AI drafts the memorization theme.</t>
  </si>
  <si>
    <t>W2 p45 L27-p45 L27</t>
  </si>
  <si>
    <t>W2 p45 L29-p46 L9</t>
  </si>
  <si>
    <t>P7-W2-042</t>
  </si>
  <si>
    <t>does "6.2.6 Limited Impact on Real Testing Skills" has some overlap with "6.2.2 Not a proper Measure of Testing Skill"?</t>
  </si>
  <si>
    <t>Questions overlap between measuring testing skill and developing practical skill.</t>
  </si>
  <si>
    <t>AI distinguishes assessment validity from post-certification skill development.</t>
  </si>
  <si>
    <t>W2 p46 L11-p46 L12</t>
  </si>
  <si>
    <t>W2 p46 L14-p46 L20</t>
  </si>
  <si>
    <t>P7-W2-043</t>
  </si>
  <si>
    <t>Accepts the offered rewrite with the refined theme boundary.</t>
  </si>
  <si>
    <t>AI drafts Minimal Skill Development After Certification.</t>
  </si>
  <si>
    <t>W2 p46 L22-p46 L22</t>
  </si>
  <si>
    <t>W2 p46 L24-p47 L2</t>
  </si>
  <si>
    <t>P7-W2-044</t>
  </si>
  <si>
    <t>y</t>
  </si>
  <si>
    <t>Brief assent accepts the next regional/contextual subsection.</t>
  </si>
  <si>
    <t>AI drafts regional and contextual limitations.</t>
  </si>
  <si>
    <t>W2 p47 L4-p47 L4</t>
  </si>
  <si>
    <t>W2 p47 L6-p47 L28</t>
  </si>
  <si>
    <t>P7-W2-045</t>
  </si>
  <si>
    <t>Brief assent accepts the next thought-leader subsection.</t>
  </si>
  <si>
    <t>AI drafts negative perceptions from thought leaders.</t>
  </si>
  <si>
    <t>W2 p47 L30-p47 L30</t>
  </si>
  <si>
    <t>W2 p47 L32-p48 L11</t>
  </si>
  <si>
    <t>P7-W2-046</t>
  </si>
  <si>
    <t>Brief assent accepts the next psychological/cultural subsection.</t>
  </si>
  <si>
    <t>AI drafts psychological and cultural effects.</t>
  </si>
  <si>
    <t>W2 p48 L13-p48 L13</t>
  </si>
  <si>
    <t>W2 p48 L15-p48 L39</t>
  </si>
  <si>
    <t>P7-W2-047</t>
  </si>
  <si>
    <t>Accepts continuation to the final overstandardization theme.</t>
  </si>
  <si>
    <t>AI drafts the final criticism theme and offers compilation.</t>
  </si>
  <si>
    <t>W2 p48 L41-p48 L41</t>
  </si>
  <si>
    <t>W2 p48 L43-p49 L24</t>
  </si>
  <si>
    <t>P7-W2-048</t>
  </si>
  <si>
    <t>make the theme phrase more preicse: Negative Perceptions from Thought Leaders could lower certifications' image?</t>
  </si>
  <si>
    <t>Refines the theme to express the proposed consequence of thought-leader criticism for certification image.</t>
  </si>
  <si>
    <t>AI proposes a more consequence-focused heading.</t>
  </si>
  <si>
    <t>W2 p49 L26-p49 L27</t>
  </si>
  <si>
    <t>W2 p49 L29-p49 L33</t>
  </si>
  <si>
    <t>P7-W2-049</t>
  </si>
  <si>
    <t>make it even more preice, using this logical impact: “When leaders like Bach and Bolton dismiss ISTQB, it makes you wonder why we treat it as an authority”</t>
  </si>
  <si>
    <t>Supplies a more precise explanatory link from leader criticism to questioned institutional authority.</t>
  </si>
  <si>
    <t>AI reframes the heading around undermining ISTQB authority.</t>
  </si>
  <si>
    <t>W2 p49 L35-p49 L36</t>
  </si>
  <si>
    <t>W2 p49 L38-p49 L43</t>
  </si>
  <si>
    <t>P7-REV-001</t>
  </si>
  <si>
    <t>ISTQB-revision..</t>
  </si>
  <si>
    <t>Minimal revision-topic cue; intended task is ambiguous.</t>
  </si>
  <si>
    <t>AI asks what type of revision is intended.</t>
  </si>
  <si>
    <t>REV p1 L4-p1 L4</t>
  </si>
  <si>
    <t>REV p1 L6-p1 L13</t>
  </si>
  <si>
    <t>Minimal topic cue. Delegation/Delegative is a provisional code for an ambiguous setup message.</t>
  </si>
  <si>
    <t>P7-REV-002</t>
  </si>
  <si>
    <t>So we have got the review outcome. They are suggesting some minor revisions. Let's go through the comments one by one. In the peer review, give me your text ready to copy and paste to the letter of changes, and also suggest the changes to be made in the paper in the exact places. And give me the …</t>
  </si>
  <si>
    <t>Specifies comment-by-comment revision, response-letter text and precisely located manuscript replacements.</t>
  </si>
  <si>
    <t>AI drafts responses and proposed changes for several comments at once.</t>
  </si>
  <si>
    <t>REV p1 L15-p1 L18</t>
  </si>
  <si>
    <t>REV p1 L20-p3 L22</t>
  </si>
  <si>
    <t>P7-REV-003</t>
  </si>
  <si>
    <t>focs on one comment at a time. Handle this: … cross-verification … how many people … a positive viewpoint … while … a negative viewpoint … why … contradictory views?</t>
  </si>
  <si>
    <t>Reasserts one-comment-at-a-time workflow and supplies the reviewer comment; the reviewer's analytical argument is external.</t>
  </si>
  <si>
    <t>AI drafts a cross-perspective response and subsection, without person-level counts.</t>
  </si>
  <si>
    <t>REV p3 L24-p3 L29</t>
  </si>
  <si>
    <t>REV p3 L31-p4 L16</t>
  </si>
  <si>
    <t>Includes quoted peer-review feedback.</t>
  </si>
  <si>
    <t>Reviewer critique is quoted external input, not automatically the human researcher’s expertise. AI proposes source-level co-occurrence interpretation but does not provide individual-level counts or a supporting reanalysis.</t>
  </si>
  <si>
    <t>P7-REV-004</t>
  </si>
  <si>
    <t>riase a RQ for this subsec: 5.3 Cross-Perspective Synthesis Between Endorsements and Criticisms</t>
  </si>
  <si>
    <t>Requests an explicit RQ to anchor the new synthesis subsection.</t>
  </si>
  <si>
    <t>AI proposes an RQ labeled RQ4 and alternatives.</t>
  </si>
  <si>
    <t>REV p4 L18-p4 L18</t>
  </si>
  <si>
    <t>REV p4 L20-p4 L33</t>
  </si>
  <si>
    <t>P7-REV-005</t>
  </si>
  <si>
    <t>I put thatr new RQ as RQ 3. I changed RQs … includg the new RQ3 in this text: To address these questions, we adopted a two-stage research approach …</t>
  </si>
  <si>
    <t>Supplies corrected RQ numbering and asks to integrate the new RQ into the methods mapping.</t>
  </si>
  <si>
    <t>AI revises the research-approach paragraph to include RQ3.</t>
  </si>
  <si>
    <t>REV p4 L35-p4 L45</t>
  </si>
  <si>
    <t>REV p5 L2-p5 L14</t>
  </si>
  <si>
    <t>P7-REV-006</t>
  </si>
  <si>
    <t>address this reviewer comment: And due to the practitioner endorsements and criticisms of ISTQB certifications were investigated through an AI-assisted multivocal literature review (MLR), so maybe the cross-verification should be completed by AI. But the expert review ISTQB certifications is exec…</t>
  </si>
  <si>
    <t>Requests handling of a supplied trustworthiness comment; substantive critique originates with the reviewer.</t>
  </si>
  <si>
    <t>AI drafts responses asserting a human cross-verification and triangulation process.</t>
  </si>
  <si>
    <t>REV p5 L16-p5 L20</t>
  </si>
  <si>
    <t>REV p5 L22-p6 L10</t>
  </si>
  <si>
    <t>Quoted reviewer reasoning is external. AI describes completed triangulation/cross-verification, but this turn does not show that analysis being executed.</t>
  </si>
  <si>
    <t>P7-REV-007</t>
  </si>
  <si>
    <t>address this reviewer comment: After all, almost all of those references found by AI in Table-6 and Table-7 of Appendix was not published papers, while most of the references in this paper are published papers, did these two types literatures are consistent with each other?</t>
  </si>
  <si>
    <t>Requests handling of a supplied grey/academic-literature comment without an independent argument yet.</t>
  </si>
  <si>
    <t>AI drafts a response asserting strong thematic convergence across literatures.</t>
  </si>
  <si>
    <t>REV p6 L12-p6 L14</t>
  </si>
  <si>
    <t>REV p6 L16-p6 L44</t>
  </si>
  <si>
    <t>AI asserts completed thematic comparison and strong convergence without presenting a supporting comparison audit.</t>
  </si>
  <si>
    <t>P7-REV-008</t>
  </si>
  <si>
    <t>I don't think your response is very good. This reviewer's comment really is about differences between grey and academic literature. Look at my two past papers. Your response should be like this. Because, I think we discussed that, or we should discuss more clearly that the practitioner's viewpoin…</t>
  </si>
  <si>
    <t>Redirection; Knowledge injection</t>
  </si>
  <si>
    <t>conceptual discrimination; evidence judgment; methodological judgment; argumentative judgment</t>
  </si>
  <si>
    <t>Rejects the response and explains that practitioner opinions are mainly published in grey literature, invoking prior work.</t>
  </si>
  <si>
    <t>AI reframes the argument around practitioner knowledge and publication channels.</t>
  </si>
  <si>
    <t>REV p6 L46-p7 L3</t>
  </si>
  <si>
    <t>REV p7 L5-p7 L49</t>
  </si>
  <si>
    <t>The researcher supplies a substantive correction distinct from the quoted reviewer comment. The referenced prior papers are not independently analyzed here.</t>
  </si>
  <si>
    <t>P7-REV-009</t>
  </si>
  <si>
    <t>start with: We would need to first discuss the source of practitioner perspectives on the topic of this research: endorsements and criticisms about the ISTQB certifications Under the Lens. ....</t>
  </si>
  <si>
    <t>Supplies a specific opening that foregrounds where practitioner perspectives originate.</t>
  </si>
  <si>
    <t>AI rewrites the paragraph with that opening.</t>
  </si>
  <si>
    <t>REV p8 L2-p8 L3</t>
  </si>
  <si>
    <t>REV p8 L5-p8 L24</t>
  </si>
  <si>
    <t>P7-REV-010</t>
  </si>
  <si>
    <t>Change the tone to address the reviewer comment more clearly. "After all, almost all of those references found by AI in Table-6 and Table-7 of Appendix was not published papers, while most of the references in this paper are published papers, did these two types literatures are consistent with ea…</t>
  </si>
  <si>
    <t>Requires a clearer direct response to the cited reviewer concern.</t>
  </si>
  <si>
    <t>AI revises the response tone and emphasis.</t>
  </si>
  <si>
    <t>REV p8 L26-p8 L28</t>
  </si>
  <si>
    <t>REV p8 L30-p9 L3</t>
  </si>
  <si>
    <t>P7-REV-011</t>
  </si>
  <si>
    <t>also talk a bit about the "academic "Related work" reviewed in 2.6 . Say that those academic works are more of analysis and insights rather than including direct practitioner opinions on the topic. They are very, they're kind of academic perspectives and insights instead.</t>
  </si>
  <si>
    <t>conceptual discrimination; evidence judgment; argumentative judgment</t>
  </si>
  <si>
    <t>Distinguishes academic related-work analysis from direct practitioner-opinion evidence.</t>
  </si>
  <si>
    <t>AI integrates that distinction into the paragraph.</t>
  </si>
  <si>
    <t>REV p9 L5-p9 L7</t>
  </si>
  <si>
    <t>REV p9 L9-p9 L34</t>
  </si>
  <si>
    <t>P7-REV-012</t>
  </si>
  <si>
    <t>Do not use this term "The reviewer" ... as I'm asking you for the text to be pasted into the paper itself.</t>
  </si>
  <si>
    <t>Corrects response-letter language in text intended for the manuscript.</t>
  </si>
  <si>
    <t>AI removes references to the reviewer and supplies manuscript prose.</t>
  </si>
  <si>
    <t>REV p9 L36-p9 L36</t>
  </si>
  <si>
    <t>REV p9 L38-p10 L15</t>
  </si>
  <si>
    <t>P7-REV-013</t>
  </si>
  <si>
    <t>Remind the reviewer that we already have a discussion about the region … we rely on … opinions shared … explicitly … RECALL our section 5.2.7 … [reviewer comment and prior results included].</t>
  </si>
  <si>
    <t>evidence judgment; methodological judgment; argumentative judgment</t>
  </si>
  <si>
    <t>Provides the reviewer comment plus own scope argument: regional claims depend on explicit online evidence and existing coverage.</t>
  </si>
  <si>
    <t>AI drafts a manuscript paragraph defending the evidence-limited geographic scope.</t>
  </si>
  <si>
    <t>REV p10 L17-p10 L42</t>
  </si>
  <si>
    <t>REV p10 L44-p11 L20</t>
  </si>
  <si>
    <t>Includes quoted peer-review feedback. Includes supplied outline, draft or previously generated text.</t>
  </si>
  <si>
    <t>Code applies to the researcher’s explicit scope/evidence argument. Reviewer wording and the pasted prior results are external/contextual material.</t>
  </si>
  <si>
    <t>P7-REV-014</t>
  </si>
  <si>
    <t>For this, the text that you gave is not clear. I don't think we need to add text to the paper because we already discussed it. Give me a ready copy and paste text for the response to the reviewer's letter. We just need to remind the reviewer that what we have in the paper. Do you think the paper …</t>
  </si>
  <si>
    <t>Redirection; Selection/Rejection; Evaluation</t>
  </si>
  <si>
    <t>Rejects an unclear addition, prefers a response letter using existing coverage and asks whether manuscript changes are needed.</t>
  </si>
  <si>
    <t>AI drafts a response letter and recommends no manuscript change.</t>
  </si>
  <si>
    <t>REV p11 L22-p11 L25</t>
  </si>
  <si>
    <t>REV p11 L27-p12 L3</t>
  </si>
  <si>
    <t>P7-REV-015</t>
  </si>
  <si>
    <t>I need two texts … response letter … where in the paper … that issue was really momentarily unavailability … finally the Deep Research Features was indeed used. [reviewer comment included].</t>
  </si>
  <si>
    <t>Supplies a retrospective account of Deep Research activation and requests distinct response-letter and manuscript clarifications.</t>
  </si>
  <si>
    <t>AI drafts both, treating the reported activation as established execution.</t>
  </si>
  <si>
    <t>REV p12 L5-p12 L22</t>
  </si>
  <si>
    <t>REV p12 L24-p13 L5</t>
  </si>
  <si>
    <t>Deep Research use is retrospectively reported by the researcher. The log shows activation instructions and research-style outputs, not an independent tool-execution record. Source publication years alone cannot establish tool use.</t>
  </si>
  <si>
    <t>P7-REV-016</t>
  </si>
  <si>
    <t>Change the tone of this paragraph say that when working with the GPT's features like deep research it could be noticed that in certain really unpredictable and let's say it's like flaky situation. Sometime this kind of issues occurred but in back and forth really interactions we were able to fix …</t>
  </si>
  <si>
    <t>methodological judgment; argumentative judgment; genre/writing expertise</t>
  </si>
  <si>
    <t>Interprets feature unreliability as a lesson requiring close human monitoring and changes the paragraph framing.</t>
  </si>
  <si>
    <t>AI rewrites the paragraph around operational unreliability and oversight.</t>
  </si>
  <si>
    <t>REV p13 L7-p13 L11</t>
  </si>
  <si>
    <t>REV p13 L13-p13 L27</t>
  </si>
  <si>
    <t>P7-REV-017</t>
  </si>
  <si>
    <t>address this reviewer comment: … "precision of endorsements" and "fairness of criticisms" … not operationally defined … as … presented to the experts … construct validity …</t>
  </si>
  <si>
    <t>Requests handling of a quoted construct-validity comment; the operational-definition concern is the reviewer's.</t>
  </si>
  <si>
    <t>AI proposes definitions and asserts they had been provided to experts during the original study.</t>
  </si>
  <si>
    <t>REV p13 L29-p13 L33</t>
  </si>
  <si>
    <t>REV p13 L35-p14 L14</t>
  </si>
  <si>
    <t>Operational-definition critique is quoted from a reviewer. AI asserts definitions were used in the original expert study although no original expert instructions are supplied in this turn; do not treat that assertion as verified history.</t>
  </si>
  <si>
    <t>P7-REV-018</t>
  </si>
  <si>
    <t>isnt it better to add these to 6.2 Precision of endorsements, as judged by the independent experts, instead?</t>
  </si>
  <si>
    <t>Redirection; Evaluation</t>
  </si>
  <si>
    <t>Questions the best placement of construct definitions and proposes the expert-results section.</t>
  </si>
  <si>
    <t>AI endorses placement in Section 6.2 and supplies suggested text.</t>
  </si>
  <si>
    <t>REV p14 L16-p14 L16</t>
  </si>
  <si>
    <t>REV p14 L18-p14 L41</t>
  </si>
  <si>
    <t>AI agrees to results-section placement; the response does not establish that manuscript edits were applied. Reviewer comment uses earlier RQ3 numbering; revised mapping at turn119 makes expert evaluation RQ4.</t>
  </si>
  <si>
    <t>Full human prompt (part 1)</t>
  </si>
  <si>
    <t>Prompt continuation (part 2)</t>
  </si>
  <si>
    <t>Prompt continuation (part 3)</t>
  </si>
  <si>
    <t>ISTQB has 22+ Certifications (https://istqb.org/certifications/). each come with a comprehensive Syllabus PDF file
(I attach three of them). suggest interesting "exploratory" / insightful paper topic on these Syllabuses</t>
  </si>
  <si>
    <t>let's change gears. what about a paper which reviews all benefits / criticism of the ISTQB Certifications, by
sntheszing knowledge from the grey literature (online sources)</t>
  </si>
  <si>
    <t>by doing deep research, can you identify all grey sources talking about Criticisms, and synthesize / cateogrize
them?</t>
  </si>
  <si>
    <t>RE: Should I focus on criticisms of all ISTQB certifications (e.g., Foundation, Advanced, Specialist), or just the
Foundation Level?
all. in your results, also give the criticisms per levels (e.g., Foundation, Advanced, Specialist)
RE:Do you want a global perspective, or focus on specific regions or languages (e.g., English-only, Europe-
focused)?
give your results, per region
RE: Should I include criticisms from training companies and certification providers, or limit to practitioners (testers,
developers, QA managers)?
both. give your results, per those different roles</t>
  </si>
  <si>
    <t>these should also be broken down by certification level, and stakeholder role. -- remove classification by region,
from all parts</t>
  </si>
  <si>
    <t>like the deep research that you did for Critique part, I will later ask you to do similar deep research and
synthesiding of literature for "Value" and "Use"</t>
  </si>
  <si>
    <t>how is this? ISTQB Certifications Under the Lens:
Synthesizing Global Perspectives on Value, Use, and Critique</t>
  </si>
  <si>
    <t>how is this? ISTQB Certifications Under the Lens: Synthesizing Global Perspectives on their Value, Use, and
Critique --- btw, shall I add any other compoent in addition to these three: Value, Use, and Critique ?</t>
  </si>
  <si>
    <t>let me tell you about the research approach for this work. it will get data from two sources: 1-Systematic Review
of the relevant Academic and Grey Literature 2-Survey questionanare from test engineers and managers working
in several Turkish and Azerbaijani companies about the Value and Critique of ISTQB Certifications</t>
  </si>
  <si>
    <t>give me a rough paper structure. here is a starting structure I have mind: 1 INTRODUCTION 1 2 RELATED
WORK 2 3 GOAL AND RESEARCH DESIGN 2 3.1 Research questions 2 3.2 Systematic review of the relevant
Academic and Grey Literature 2 3.2.1 Design of the Rapid Review 3 3.2.2 Pool of Online Sources Identified 4 3.3
Planning and design of the Survey Questionnaire 4 3.3.1 Data Recording and Analysis 4 4 RESULTS 5 4.1
Results of the systematic review 5 4.2 Results of the Survey Questionnaire 5 4.3 Integrating the results from both
research components 5 4.3.1 RQ 1- 5 4.3.2 RQ 2- 5 4.4 Implications 5 4.5 Limitations and discussions of validity
threats 5 5 CONCLUSIONS AND FUTURE WORKS 5 REFERENCES 5</t>
  </si>
  <si>
    <t>I updated the structure like this: 1 INTRODUCTION 2 2 BACKGROUND AND RELATED WORK 2 2.1 A review
and history of the ISTQB Certifications 2 2.2 Other testing certifications 2 2.3 Related work 2 3 GOAL AND
RESEARCH DESIGN 3 3.1 Research questions 3 3.2 Systematic review of the relevant Academic and Grey
Literature 3 3.2.1 Design of the Rapid Review 3 3.2.2 Pool of Online Sources Identified 4 3.3 Planning and design
of the Survey Questionnaire 5 3.3.1 Participants and Sampling 5 3.3.2 Data Collection and Analysis Strategy 5 4
RESULTS 5 4.1 Results of the systematic review 5 4.1.1 RQ1 (Value) 5 4.1.2 RQ2 (Critique) 5 4.2 Results of the
Survey Questionnaire 5 4.2.1 RQ1 (Value) 5 4.2.2 RQ2 (Critique) 5 4.3 Triangulating the Results 5 4.3.1 Findings
related to RQ1 (Value) 5 4.3.2 Findings related to RQ2 (Critique) 5 4.4 Implications 5 4.5 Limitations and Validity
Threats 5 5 CONCLUSIONS AND FUTURE WORKS 6 REFERENCES 6
----------- comment on it. I do not like the Sec 4- Results sturcture. how can we improve it?…Show more</t>
  </si>
  <si>
    <t>I upload 20 PDFs, which are Syllabus of different ISTQB certifications . can you read them? I beleive we should
"commend" ISTQB in the paper, that it has so much good technical work</t>
  </si>
  <si>
    <t>I beleive we shall make one of the major paper's contributions, the significant technical and pedagogical work of
ISTQB. they have somewhat defined industry-standard syllabus and contents for each test role... how shall we do
this?</t>
  </si>
  <si>
    <t>I like your term "software testing body of knowledge" (STBoK). use it as many times as possible in the paper!
also, I want to insert a new section3, devoted to significant technical and pedagogical work of ISTQB.</t>
  </si>
  <si>
    <t>think about better positioning of the results of SYSTEMATIC REVIEW and SURVEY QUESTIONNAIRE to the
new Sec 3, that will come after sec 3</t>
  </si>
  <si>
    <t>I choose for now: To Certify and Standardize: A Critical Reflection on ISTQB’s Value, Critique, and Its Role in
Shaping Software Testing Body of Knowledge</t>
  </si>
  <si>
    <t>ISTQB has also provided a platform to benchmark SW testers and ease the work of hiring, by standardizing
testing knoweledge, add sbusections to Sec 3 about this</t>
  </si>
  <si>
    <t>and also the authors' years of experience since mid 2000's in working with other testers who have ISTQB
certificates, intended to apply for them, or in interview panels, which have used ISTQB certificates as a
requirement</t>
  </si>
  <si>
    <t>sec 2 will grow large. give a para for its beginning that its large size is intentional, since our goal is to provide a
"solid" background on the issue -- : 2 BACKGROUND AND RELATED WORK
2.1 THE LANDSCAPE OF SE AND SOFTWARE TESTING EDUCATION AND TRAINING 2.2 DIFFERENT
PATHS TO BECOME A SOFTWARE TESTER 2.3 A REVIEW AND HISTORY OF THE ISTQB CERTIFICATIONS
2.4 OTHER TESTING CERTIFICATIONS 2.5 RELATED WORK</t>
  </si>
  <si>
    <t>Q in istqb is for: qualifications. use "qualifications" too. also change the flow to say positive stuff abuot it, before
getting into: "Despite its widespread adoption, ISTQB has been subject..."</t>
  </si>
  <si>
    <t>you say the STBoK, but that term is not established. and perhaps we are coining it in this paper. I did a Google
search and can see that a few online pages use the terms, but I had never heard it</t>
  </si>
  <si>
    <t>researchers will not like this phrase, as they will say that 100's of books and 10000's of papers are already
published abuot testing.</t>
  </si>
  <si>
    <t>do a deep research, and find any online sources ( blogs, videos, pages, etc) which have shared insights /
experiences positive or negative about istqb and istqb certifications</t>
  </si>
  <si>
    <t>training providers and educators may just do sales pitch. I do not want those . only English . both academic and
grey literature</t>
  </si>
  <si>
    <t>Let's resume work on this paper. I attach the latest version of the paper. I need to make some improvements to
the introduction section.In the narrative of the introduction, starting from the first paragraph, I want to also add that
we mentioned there are different paths to taking software testing positions in the industry. Some people go
through undergraduate degrees, some people learn it on themselves without going through their formal
education. So you need to say that before starting to go to the ISTQB itself. So just expand the first paragraph
about this.</t>
  </si>
  <si>
    <t>say that such a very large number of certifications hints a huge popularity of this certification and also motivates
the needs to discuss and analyze practitioners' opinions about such a certification with such a major penetration
in the software testing industry.</t>
  </si>
  <si>
    <t>to get the results for Sec 5.1 RQ1 (Synthesis of Endorsements about the certifications, e.g., their benefit, value), I
want you to do a systematifc "deep research" in the fol
-consider all the relevant Academic Literature and Grey Literature, about all shared Perspectives on Value and
Limitations of the ISTQB Certifications -As you can see in Section 4.2 of my paper, I want we do an AI-ASSISTED
MULTIVOCAL LITERATURE REVIEW (MLR), i.e., I get your help in doing the MLR. For doing the MLR, you
should follow the steps of Multivocal Literature Review (MLR), provided in the attached guideline paper, and those
consist of these steps: -Search process -Source selection -Study quality assessment -Data extraction -Data
synthesis (and you should use "qualitative coding" for that)
Did yuo fully understand our plan?</t>
  </si>
  <si>
    <t>You know that you shall do "deep research", and it could take several minutes, which is fine. Also, you need to
provide all the details of each step (e.g., Search process, -Source selection), so that we would include them for
transparency in our paper</t>
  </si>
  <si>
    <t>Well, I have many "deep research" credits left and I now turned on the option for "deep research". Do you
understand me?</t>
  </si>
  <si>
    <t>Well, I said above that for Data synthesis, you should use "qualitative coding" for that, by themes. Abd we already
agreed above that we should include both Academic and Grey Literature, and focus only on English-language
sources.</t>
  </si>
  <si>
    <t>See my paper idea doc attached. RQ2 is: What criticisms have been raised by practitioners about the ISTQB
certifications? To get the results for RQ2, I want you to do a systematifc Multivocal Literature Review (MLR), via a
"deep research" and follow the approach below carefully:
-Consider all the relevant Academic Literature and Grey Literature, about all shared Perspectives on Value and
Limitations of the ISTQB Certifications -As you can see in Section 4.2 of my paper, I want we do an AI-ASSISTED
MULTIVOCAL LITERATURE REVIEW (MLR), i.e., I get your help in doing the MLR. For doing the MLR, you
should follow the steps of Multivocal Literature Review (MLR), provided in the attached guideline paper, which
consist of the following steps: -Search process -Source selection -Study quality assessment -Data extraction -
Data synthesis (and you should use "qualitative coding" for that)
You know that you shall do "deep research", and it could take several minutes, which is fine. Also, you need to
provide all the details of each step (e.g., Search process, Source selection), so that we would include them for
transparency in our paper
Did you fully understand our plan?…Show more</t>
  </si>
  <si>
    <t>RE 1: all years. RE 2: include non-English too, but translate their contents to English and then analyze. RE 3: all
Grey literature platforms. RE: Output format: just text</t>
  </si>
  <si>
    <t>See my paper idea doc attached. The two RQs in it are:
RQ1: What endorsements have been shared by practitioners about the ISTQB certifications? i.e., What are the
perceived values / benefits of ISTQB certifications by practitioners across different stakeholder roles and
certification levels?
RQ2 is: What criticisms have been raised by practitioners about the ISTQB certifications?
To get the results for the two RQs, I want you to do a systematic Multivocal Literature Review (MLR), via a "deep
research" and follow the approach below carefully:
-Consider all the relevant Academic Literature and Grey Literature, about all shared Perspectives on Value,
benefits, and Limitations of the ISTQB Certifications -Include both English and non-English sources, as they may
be interesting insights in a source which is written in a non-English language. For those cases, translate their
contents to English and then analyze. -As you can see in Section 4.2 of my paper, I want we do an AI-ASSISTED
MULTIVOCAL LITERATURE REVIEW (MLR), i.e., I get your help in doing the MLR. For doing the MLR, you
should follow the steps of Multivocal Literature Review (MLR), provided in the MLR guideline paper that I shared
above with you. The MLR stepss are: -Search process -Source selection -Study quality assessment -Data
extraction -Data synthesis (and you should use "qualitative coding" for that)
You know that you shall do "deep research", and it could take several minutes, which is fine. Also, you need to
provide all the details of each step (e.g., Search process, Source selection), so that we would include them for
transparency in our paper
Do the analysis for both RQ1 and RQ2 in one "deep research", but make sure the results are separately. Do not
mix them up. In the pool of resources table that you will give me, put a column stating the "sentiment" of the
discussions in that source by the person who has written that: positive would mean "endorsements" of ISTQB
certifications, and negative would mean "criticism"
Did you fully understand the plan?…Show more</t>
  </si>
  <si>
    <t>the work that you did above is good. I want one improvement, in the table of sources that you have, I want you to
put a column named Source #, and label sources as S1, S2, .... add a column, showing the correct URL of each
source. ensure not giving me invalid (broken) links. replace column "Sentiment" with a column called "Focus:
Endorsement, Criticism, or both". In the entire MLR text that you have, I want you to cite the sources in this
format: [S1], [S2] ..., where the Sn is the source number in the table. Make these changes carefully</t>
  </si>
  <si>
    <t>do a deep research for more sources. I beleive thee should be more than 15 sources on the topic, and added
them to the table in the same format. TAKE YOUR TIME. quality is more important for me, than doing it fast.</t>
  </si>
  <si>
    <t>for "Study Quality Assessment", did yuo use AACODS (Authority, Accuracy, Coverage, Objectivity, Date,
Significance). ?</t>
  </si>
  <si>
    <t>my other question: in the very last analysis, you found 9 sources (S1-S9) and you had found 15 sources in the
2nd last analysis. are they different, or have overlap? shall we combine them?</t>
  </si>
  <si>
    <t>So here is what I did: in the last two iterations that you did the deep research; I compared both the tables of
resources, and I did union them, you know, I combined them. They were some differences, so by combination we
now have a larger set of resources, and I checked all the URLs to ensure they are valid and they are not
fabricated by AI. So I've got these 20 resources, see the Excel file, S1 until S20, okay? I want you to carefully
understand, so tell me if you fully understand these 20 resources, okay? Consider them, and then I want you to
do some deep research, new deep research, for the RQ1 and RQ2 results for the paper. You had given some
initial text for RQ1 and RQ2 before. I want you to expand them, at least three or fourfold, so they have to be much
more in-depth, more insightful, and inside the text are the results of RQ1 and RQ2. I want you to use the
referencing that we have agreed, right? So we have [Si], like [S1], [S2] for example. When you discuss them, of
course, do thematic analysis, qualitative coding. I think you need to spend quite some time to gather data from all
these 20 URLs. Some of them are online forums, and you need to go through their "next pages" buttons to ensure
you get all the replies and discussions provided online by testers. I want you to do a very good job, time is not an
issue, you can take 10 minutes, 20 minutes, or 30 minutes to do this, so please tell me if you understand, and
once I give you the OK light, then you can start the actual deep research.…Show more</t>
  </si>
  <si>
    <t>RE: Should I treat your 20-source Excel file as the definitive, final set of included sources for the RQ analysis (i.e.,
no additional new sources beyond S1–S20)?
Do you want the expanded write-up for RQ1 and RQ2 to be returned in plain text here, or should it be delivered
as a downloadable Word document for easier integration into your paper?
Would you like each RQ (endorsements and criticisms) to be structured by thematic coding sections (e.g., themes
with supporting quotes and citations like before), or a more narrative discussion?
Once you confirm these points, I’ll start the in-depth synthesis and expansion of the RQ1 and RQ2 sections.</t>
  </si>
  <si>
    <t>RE: 1-Should I treat your 20-source Excel file as the definitive, final set of included sources for the RQ analysis
(i.e., no additional new sources beyond S1–S20)?
Yes, these 20 sources are the final (definitive) set of included sources for both RQ1 and RQ2 (our entire study).
Do NOT do any new searches for sources. That phase is done. Recall from the MLR guideline paper. Focus of
what I asked above, as the next phase: Synthesis of qualitative opinions in the resources that we have found, and
extraction of insights from those, as per the MLR guidelines.
RE: 2-Do you want the expanded write-up for RQ1 and RQ2 to be returned in plain text here, or should it be
delivered as a downloadable Word document for easier integration into your paper?
No difference. Make it downloadable Word document
RE: 3-Would you like each RQ (endorsements and criticisms) to be structured by thematic coding sections (e.g.,
themes with supporting quotes and citations like before), or a more narrative discussion?
Somewhat both. Structured by thematic coding sub-sections, having an in-depth narrative discussion with
supporting quotes and citations like before
To get the results for the two RQs RQ1 and RQ2, I want you to do a systematic Multivocal Literature Review
(MLR), via "deep research" and follow the approach below carefully:
-Consider all the relevant Academic Literature and Grey Literature, about all shared Perspectives on Value,
benefits, and Limitations of the ISTQB Certifications -Include both English and non-English sources, as they may
be interesting insights in a source which is written in a non-English language. For those cases, translate their
contents to English and then analyze. -As you can see in Section 4.2 of my paper, I want we do an AI-ASSISTED
MULTIVOCAL LITERATURE REVIEW (MLR), i.e., I get your help in doing the MLR. For doing the MLR, you
should follow the steps of Multivocal Literature Review (MLR), provided in the MLR guideline paper that I shared
above with you. The MLR steps from that guideline paper are: 1-Search process 2-Source selection 3-Study
quality assessment 4-Data extraction 5-Data synthesis (and you should use "qualitative coding" for that)
You know that you shall do "deep research", and it could take several minutes, which is fine. Also, you need to
provide all the details of each step (e.g., Search process, Source selection), so that we would include them for</t>
  </si>
  <si>
    <t>transparency in the paper, also to get full AI explainability, i.e., Explainable AI (XAI)
Do the analysis for both RQ1 and RQ2 in one "deep research", but make sure the results of each RQ are
separate in your respondes. Do not mix them up. In the pool of resources table that you will give me, put a
column stating the "sentiment" of the discussions in that source by the person who has written that: positive would
mean "endorsements" of ISTQB certifications, and negative would mean "criticism"
Did you fully understand the plan?
Clarification follow-up prompts:
Well, I have many "deep research" credits left and I now turned on the option for "deep research". Do you
understand me?
Well, I said above that for Data synthesis, you should use "qualitative coding" for that, by themes. Abd we already
agreed above that we should include both Academic and Grey Literature, and focus only on English-language
sources.
Can you show in a table the list of those 50 candidate items? Add an additional column in that table also, stating
for each of the 50 candidate items, whether it was finally selected. You said ~50 candidate items and ~15 were
finally selected. Note that I do not like "~" (estimated), but I rather to get the exact counts from you
5.2 Source Selection
#9:Reddit: How hard is ISTQB exam? -&gt; is not about Endorsements nor Criticisms. shall be removed from the
pool?
in #22, the link is broken: https://a1qa.com/blog/interview-james-bach-on-testing/. how did you find it? shall be
removed from the pool? you must check each and every URL, to not include broken links
#15: link here is also broken. shall it be
https://www.reddit.com/r/QualityAssurance/comments/codms9/the_hate_for_test_certifications_from_some_folks/
? you must check each and every URL, to not include broken links
ensure each resource either has discussed: Endorsements or Criticisms. Otherwise, it shall be removed from the
pool.</t>
  </si>
  <si>
    <t>remove the column "Sentiment" and instead add a column "Endorsements (Criticisms of value / benefits) or
Criticisms". and for each source, state which is the focus of the source…Show more</t>
  </si>
  <si>
    <t>I see that you have include the ref's in each paragraph above, and you have cited EACH source at end of
sentences. But I want citation to EACH source at end of sentence to also be in this format [Si]</t>
  </si>
  <si>
    <t>stop! you already have done the MLR work. just take your text of RQ1 and 2 results from above, and "replace"
those in-line cites with [si]'s, like I show in the figure</t>
  </si>
  <si>
    <t>I want you to provide a traceability log of pointers to the primary resources (under review) from results of RQ2 and
3 as follows.
For each paragraph in your text, itmeize the exact verbatims from each primary resource under review, on where
each cited factor has come from. For example: RE: your given paragraph below:
One of the most cited benefits of ISTQB certification is improved career prospects and employability. Many
practitioners believe that obtaining the ISTQB Certified Tester credential can open doors to new job opportunities,
promotions, or salary increases. In surveys, over 60% of certified testers felt the certification helped them get a
better job, and nearly 90% would recommend it to others [S1]. Likewise, an official ISTQB effectiveness study
found 80% of respondents saw the Foundation Level cert as strengthening their career prospects [S2]. Employers
often list ISTQB as a requirement or preference in job postings, so having the cert can help a candidate “get
through that phase” of HR screening [S3]. Especially for entry-level or junior testers, the certification is seen as a
CV booster that signals interest in the field and may get one past automated filters or strict recruiters [S4]. In
regions like Europe, ISTQB has even become a pre-requisite for hiring testers, making it “essential” for job
seekers to attain at least the Foundation Level [S5]. Thus, many practitioners endorse ISTQB certification as a
career catalyst – a credential that can lead to new jobs and promotions due to its widespread recognition in the
hiring market [S1][S3][S4][S6].
Itemize like the following -[S1]: "nearly 90% would recommend it to others" --(meaning, it has come from:) --&gt;
[EXACT VERBATIM IN THE SOURCE1] -[S2]: "strengthening their career prospects [S2]" ----&gt; [EXACT
VERBATIM IN THE SOURCE2] -...
Give this analysis (traceability) log, paragraph by paragraph , so I can inspect
Also, I see that you have included a few quoted quotes from the primary resources under review in each
paragraph inside parantheses. At the same time that you do the above analysis (traceability) log, I also want to
include several more (max 5 quoted quotes from the resources) in each paragraph. Also, expand each paragraph
by 2 fold in length…Show more</t>
  </si>
  <si>
    <t>when you include these sources, there should be examples from each in the rest of the paragraph. I cannot find
any example from [s3] in the rest of this paragraph</t>
  </si>
  <si>
    <t>of course if there is a related discussion in s3 to theme of this paragraph "Professional Recognition and
Credibility", bring it. if not, do not cite s3</t>
  </si>
  <si>
    <t>also always cite more than one cases like this: [S2, S3, S5, S7, S8]. now, regenerate "6.1.1 Career Advancement
and Job Opportunities"</t>
  </si>
  <si>
    <t>the term "Lack of Relevance" in this theme has some overlap with "Not Practically Useful" in 6.2.1 "Primarily
Theoretical and Not Practically Useful". rework 6.2.4 theme</t>
  </si>
  <si>
    <t>by “One academic study", you meant one of the sources. tell me which was gave those insights: One academic
study found that graduates of certification courses struggled to apply what they learned in agile and automation-
intensive environments, as much of the syllabus was rooted in traditional process-heavy approaches. [S1 or
S12]?</t>
  </si>
  <si>
    <t>does "6.2.6 Limited Impact on Real Testing Skills" has some overlap with "6.2.2 Not a proper Measure of Testing
Skill"?</t>
  </si>
  <si>
    <t>make the theme phrase more preicse: Negative Perceptions from Thought Leaders could lower certifications'
image?</t>
  </si>
  <si>
    <t>make it even more preice, using this logical impact: “When leaders like Bach and Bolton dismiss ISTQB, it makes
you wonder why we treat it as an authority”</t>
  </si>
  <si>
    <t>So we have got the review outcome. They are suggesting some minor revisions. Let's go through the comments
one by one. In the peer review, give me your text ready to copy and paste to the letter of changes, and also
suggest the changes to be made in the paper in the exact places. And give me the text to copy and paste to the
paper.</t>
  </si>
  <si>
    <t>Let's go through the comments one by one. focs on one comment at a time. Handle this: ------------- I think the
structure of this paper is properly designed to reflect the state of ISTQB. However, the cross-verification between
the three aspects above is obviously ignored by the authors through detailed data generated from the three
aspects. For example, how many people persist a positive viewpoint on one or several sections from section 5.1.1
to 5.1.5 while they persist a negative viewpoint on one or several sections from section 5.2.1-5.2.10? Then why
they have the contradictory views on the same goal, i.e. certification of ISTQB?</t>
  </si>
  <si>
    <t>I put thatr new RQ as RQ 3. I changed RQs as : • RQ1: What endorsements of ISTQB certifications have
practitioners expressed, and what values or benefits do they perceive across roles and certification levels? • RQ2:
What criticisms of ISTQB certifications have practitioners raised? • RQ3. How do practitioners simultaneously
hold both positive and negative perceptions of ISTQB certifications, and what factors explain the coexistence of
these seemingly contradictory viewpoints? • RQ4: How precise and fair are these practitioner endorsements and
criticisms when evaluated by independent experts? -- includg the new RQ3 in this text: To address these
questions, we adopted a two-stage research approach. RQ1 and RQ2 were investigated through an AI-assisted
multivocal literature review (MLR), which synthesized perspectives from both academic sources and grey
literature such as blogs, forums, and practitioner articles. RQ4 was examined through an opinion survey plus a
virtual (online) roundtable with a panel of independent experts, where the endorsements and criticisms identified
in the MLR were scrutinized for their precision and fairness.</t>
  </si>
  <si>
    <t>address this reviewer comment: And due to the practitioner endorsements and criticisms of ISTQB certifications
were investigated through an AI-assisted multivocal literature review (MLR), so maybe the cross-verification
should be completed by AI. But the expert review ISTQB certifications is executed by independent experts, then
how to judge the efficiency and trustworthiness when the authors integrated the materials provided by AIs and
experts to give the conclusions in Section 7?</t>
  </si>
  <si>
    <t>address this reviewer comment: After all, almost all of those references found by AI in Table-6 and Table-7 of
Appendix was not published papers, while most of the references in this paper are published papers, did these
two types literatures are consistent with each other?</t>
  </si>
  <si>
    <t>I don't think your response is very good. This reviewer's comment really is about differences between grey and
academic literature. Look at my two past papers. Your response should be like this. Because, I think we
discussed that, or we should discuss more clearly that the practitioner's viewpoint on ISQ-QB, the subject area of
this research, is a topic that not much academic research exists, because practitioners mostly cast their opinions
not in papers, but in blogs and online forums provided online.</t>
  </si>
  <si>
    <t>start with: We would need to first discuss the source of practitioner perspectives on the topic of this research:
endorsements and criticisms about the ISTQB certifications Under the Lens. ....</t>
  </si>
  <si>
    <t>Change the tone to address the reviewer comment more clearly. "After all, almost all of those references found by
AI in Table-6 and Table-7 of Appendix was not published papers, while most of the references in this paper are
published papers, did these two types literatures are consistent with each other?"</t>
  </si>
  <si>
    <t>also talk a bit about the "academic "Related work" reviewed in 2.6 . Say that those academic works are more of
analysis and insights rather than including direct practitioner opinions on the topic. They are very, they're kind of
academic perspectives and insights instead.</t>
  </si>
  <si>
    <t>address this reviewer comment: In addition, I feel the geography scope of the application in software testing
career using ISTQB is too limited in a small number of countries in Europe and North America, could the authors
analyze its usefulness in more countries of Europe and North America, even in the main countries in Asia, South
America, Africa, or the IT profession in Australia and New Zealand. Furthermore, concerning the market of
certification of software testing was not empty in those areas out of Europe and North America, could the author
compare the current states of vary certification patterns of software testing by quantitative means? -------------
Remind the reviewer that we already have a discussion about the region and geography, and also remind him that
we rely on the data from technicians as shared online, right? We cannot do our, we don't have our own primary
data, we rely on the primary data and opinions shared by reviews from those regions, as there is, either each
resource discussed like explicitly the region that, you know, such as US and North America, or whether those
information were available in the provided text from practitioner directly and explicitly. RECALL our section 5.2.7
Context does matter: Regional and Contextual Limitations Critics also emphasize that the value and recognition
of ISTQB certification vary widely by region and organizational context [S2, S5, S11, S13, S18]. In some markets,
particularly parts of Europe and Asia, the certification is viewed almost as a prerequisite, while in others, such as
North America, it holds far less weight. This uneven recognition often shapes how testers perceive its utility. On
the Ministry of Testing platform, one practitioner remarked: “In Germany and Switzerland, it’s almost impossible to
get a testing job without ISTQB — but in the US, nobody asks about it” [S11]. Similarly, a blog post noted: “In
India, recruiters often filter resumes for ISTQB, but in Canada, hiring managers rarely care” [S2]. Another LinkedIn
discussion reinforced this disparity: “The certification’s importance depends on geography. In some regions, it’s
mandatory; in others, it’s irrelevant” [S18]. A tester writing on Testing Curator observed: “ISTQB is treated like a
gatekeeping credential in certain contexts, but that doesn’t translate universally” [S13]. This unevenness also
extends across industry domains. For example, in heavily regulated sectors such as finance or healthcare,
organizations may require certifications to satisfy compliance audits, whereas in fast-moving startups, employers
prioritize demonstrable skills over certificates [S5]. Overall, these accounts highlight ISTQB as a context-
dependent credential, whose perceived value is shaped less by universal acceptance and more by local hiring</t>
  </si>
  <si>
    <t>practices, cultural expectations, and industry-specific norms. "…Show more</t>
  </si>
  <si>
    <t>For this, the text that you gave is not clear. I don't think we need to add text to the paper because we already
discussed it. Give me a ready copy and paste text for the response to the reviewer's letter. We just need to
remind the reviewer that what we have in the paper. Do you think the paper itself has to change for this
commentr?</t>
  </si>
  <si>
    <t>address this reviewer comment: 1. Clarifying the AI-Assisted MLR Process This is my most critical point. There
appears to be a contradiction in the description of the MLR execution. In Section 4.2.4, the "deep research"
agentic capability is introduced as a key element. However, Table 5 (Appendix) shows the AI agent stating this
tool was "unavailable", and that it would "manually simulate" the search. The researcher's subsequent reply and
the presence of 2024 sources (e.g., S10, S12 ) suggest the agentic tool was ultimately used. Could the authors
please explicitly clarify in the text which process was executed? This point is crucial as it underpins the paper's
methodological contribution and the freshness of its data. ------ To recall that, I need two texts, right? One to copy-
paste the response letter, and then you need to suggest to me where in the paper and what copy-paste text I
should add or change. ----- Remind the author that that issue was really momentarily unavailability of GPT engine.
We actually have discussed it in the text before Table 5 as follows. "The first message in AI's response (shown in
Table 5) was that: "The deep research tool I would normally use for this task is currently unavailable". This was
rather unfortunate and disappointing at first sight. The researcher replied back stating that "Well, I have many
"deep research" credits left and I now turned on the option for "deep research". Do you understand me?". We
even included a screenshot of the available "deep research" credits in our ChatGPT account. The researcher
further clarified the other items. Once AI was asked to continue, it started the "deep research” activity to conduct
the MLR, which we follow up in the following subsection." ------- And yes, after few, let's say, struggles or
interactions with GPT to get that feature working, finally the Deep Research Features was indeed used.…Show
more</t>
  </si>
  <si>
    <t>Change the tone of this paragraph say that when working with the GPT's features like deep research it could be
noticed that in certain really unpredictable and let's say it's like flaky situation. Sometime this kind of issues
occurred but in back and forth really interactions we were able to fix the problem. So this gives an important
lessons for other researchers that the human researcher has to carefully monitor each step of the AI agent
because there is no guarantee in that in the feature working.</t>
  </si>
  <si>
    <t>address this reviewer comment: The expert panel for RQ3 is an excellent feature. However, the key metrics
—"precision of endorsements" and "fairness of criticisms" —are not operationally defined. These terms are
subjective. For example, were experts asked to rate "precision" as "the MLR's synthesis was accurate" or as "the
endorsement is factually true in the real world"? Adding a brief definition of these terms (as they were presented
to the experts) in Section 4.3 would significantly strengthen the construct validity of this research question.</t>
  </si>
  <si>
    <t>Dimension</t>
  </si>
  <si>
    <t>Code / rule</t>
  </si>
  <si>
    <t>Definition / interpretation limit</t>
  </si>
  <si>
    <t>Method</t>
  </si>
  <si>
    <t>Coverage</t>
  </si>
  <si>
    <t>132 visible human messages across all three supplied logs: W1 65, W2 49, REV 18. Coverage is of these exports, not proof that all historical interactions survive.</t>
  </si>
  <si>
    <t>Order and boundaries</t>
  </si>
  <si>
    <t>Writing log 1 then writing log 2 then peer-review revision, as supplied by the researcher. Explicit You said / ChatGPT said labels delimit turns; page continuations are joined. PDF page-number footers are excluded. No duplicate message occurs at the W1/W2 boundary.</t>
  </si>
  <si>
    <t>Stable IDs</t>
  </si>
  <si>
    <t>P7-W1-001 to P7-W1-065; P7-W2-001 to P7-W2-049; P7-REV-001 to P7-REV-018. Sequence 1–132 is global. Source IDs in provenance identify the document in the Source rows below.</t>
  </si>
  <si>
    <t>Provenance</t>
  </si>
  <si>
    <t>p = 1-based PDF page. L = 1-based extracted text line within that page, including heading/footer lines. These are reproducible extraction lines, not printed line numbers. See paper7_numbered_source.txt.</t>
  </si>
  <si>
    <t>Text preservation</t>
  </si>
  <si>
    <t>Full prompts retain extracted wording, typos, line breaks and export remnants such as Show more. Excerpts normalize spacing and may use ellipses or bracketed summaries. Text is extracted from the readable reattached PDFs, not OCR of the older versions.</t>
  </si>
  <si>
    <t>Coding unit</t>
  </si>
  <si>
    <t>One visible human message is one observation, including a message containing quoted prior prompts. The primary type identifies the main act; additional types capture other visible acts. Each code is counted at most once per turn.</t>
  </si>
  <si>
    <t>One dominant categorical mode per turn. Critical = explicit scrutiny/correction; Deliberative = reasoned comparison/reconciliation; Evaluative = assessment/verification; Directive = constrained execution/selection; Delegative = open execution. Modes are not an ordinal scale.</t>
  </si>
  <si>
    <t>Expertise attribution</t>
  </si>
  <si>
    <t>Codes describe visible evidence of judgment, not the researcher’s competence. Attachments, copied AI questions, bare assent and quoted reviewer critiques do not automatically demonstrate expertise. Reviewer comments are coded as supplied context; researcher-authored interpretation is distinguished in rationales.</t>
  </si>
  <si>
    <t>None</t>
  </si>
  <si>
    <t>none means no sufficient explicit expertise evidence in this particular turn. It does not mean no expertise in the researcher. None is exclusive of the six positive expertise categories.</t>
  </si>
  <si>
    <t>Assent and short prompts</t>
  </si>
  <si>
    <t>Yes/sure/y approves the specific immediately offered next step. It is Selection/Rejection with Directive mode and usually expertise none. It does not establish acceptance of all previous claims. Open give-section requests are Delegation when they add no new constraint.</t>
  </si>
  <si>
    <t>Outcome boundary</t>
  </si>
  <si>
    <t>Outcomes refer only to the next visible AI response. Claims of reading attachments, checking sources, using Deep Research, creating files or making manuscript changes remain claims unless supported by visible evidence. No primary URLs are independently fact-checked in this coding task.</t>
  </si>
  <si>
    <t>Missing / ambiguous content</t>
  </si>
  <si>
    <t>Global turn 78 (W2-013) repeats AI clarification questions and has no substantive next AI reply. Global turn 115 is an ambiguous revision cue, provisionally Delegation/Delegative. Retain both rather than inventing context.</t>
  </si>
  <si>
    <t>Embedded prior prompts</t>
  </si>
  <si>
    <t>Global turn 79 contains copied earlier prompts, source repairs and an English-only instruction conflicting with its current multilingual scope. It remains a single turn; do not count the embedded prompts again as new exchanges.</t>
  </si>
  <si>
    <t>Deep Research claims</t>
  </si>
  <si>
    <t>Global turn 63 reports unavailability and proposes simulated stages; turns 64–65 show human intervention and research-style output. Turn 129 retrospectively reports successful activation. The exports do not provide an independent tool-execution audit.</t>
  </si>
  <si>
    <t>Revision claims</t>
  </si>
  <si>
    <t>AI responses at turns 117, 120, 121 and 131 describe analyses/procedures as completed without showing supporting execution. At 131 the AI asserts operational definitions had been given to experts; original expert instructions are not present in that exchange.</t>
  </si>
  <si>
    <t>Source pool</t>
  </si>
  <si>
    <t>Turn 77 reports human union and URL checking of twenty resources. At turn 80 the AI itself labels S19 a duplicate of S13. Twenty source IDs are not proof of twenty distinct resources; source-level verification is outside this analysis.</t>
  </si>
  <si>
    <t>Scope development</t>
  </si>
  <si>
    <t>Earlier plans include academic and grey literature and a practitioner survey. Turn 104 says the included review pool is all grey literature. The context paper describes a later expert panel. Plans, included-source composition and contextual final text are distinct observations.</t>
  </si>
  <si>
    <t>Interpretive status</t>
  </si>
  <si>
    <t>Single AI-assisted first-pass qualitative coding. No independent second coder or inter-rater reliability assessment. Borderline interpretations can be revised using the original prompts and rationales.</t>
  </si>
  <si>
    <t>Comparison across papers</t>
  </si>
  <si>
    <t>Paper 1 has substantial missing prompts according to the researcher. Its shorter surviving record cannot establish lower agency or expertise. Compare normalized patterns with coverage limitations rather than raw prompt totals alone.</t>
  </si>
  <si>
    <t>Workbook use</t>
  </si>
  <si>
    <t>Exact codebook spelling and semicolon-space separate multiple labels. Coding columns P:W give binary interaction presence; X:AC positive expertise presence; AD none. These feed Summary and can be used for separate stacked column charts. Heights count categories, not agency or expertise strength.</t>
  </si>
  <si>
    <t>Long prompts and companion files</t>
  </si>
  <si>
    <t>Human prompts preserves all extracted text across ordered part columns, each with at most 25 original lines. Join nonempty parts with a line break to reconstruct a full prompt. CSV preserves each full prompt in one field and also contains the full next AI response.</t>
  </si>
  <si>
    <t>Open generation/explanation with little new substantive specification in the turn. Prior conversation context can still constrain the AI.</t>
  </si>
  <si>
    <t>Human specifies purpose, scope, structure, output format, content or evidence constraints and delegates execution.</t>
  </si>
  <si>
    <t>Requests or performs assessment or verification without necessarily diagnosing an error.</t>
  </si>
  <si>
    <t>Explicitly identifies or challenges error, poor wording, unsupported claim, inconsistency or unsatisfactory output.</t>
  </si>
  <si>
    <t>Changes scope, priorities, framing, sequencing or the prior course of work.</t>
  </si>
  <si>
    <t>Supplies facts, professional experience, draft text, documents, source sets or interpretations. Supplying external material is context provision and not automatically expertise.</t>
  </si>
  <si>
    <t>Explicitly chooses, approves, excludes, removes or rejects an option, output, source or proposed next action.</t>
  </si>
  <si>
    <t>Initiates substantive comparison or reconciliation of concepts, explanations, methods or arguments. Asking for alternatives without comparison is insufficient.</t>
  </si>
  <si>
    <t>Open execution delegated to AI.</t>
  </si>
  <si>
    <t>Human constrains or selects the execution direction.</t>
  </si>
  <si>
    <t>Human requests or exercises assessment/verification.</t>
  </si>
  <si>
    <t>Human explicitly scrutinizes/corrects output.</t>
  </si>
  <si>
    <t>Human initiates reasoned comparison or reconciliation.</t>
  </si>
  <si>
    <t>Corrects field-specific terminology or technical claims. Examples: qualifications (49), STBoK status (50), knowledge-creation overclaim (52), de-facto standard (96).</t>
  </si>
  <si>
    <t>Distinguishes analytical categories, themes, source roles or institutional concepts. Examples: Value versus Use (12/18), overlapping criticism themes (102/107).</t>
  </si>
  <si>
    <t>Sets or applies relevance, support, source accuracy, traceability and limits of evidence; includes source-to-claim audits and reported source verification.</t>
  </si>
  <si>
    <t>Sets or critiques research design, MLR stages, inclusion rules, quality appraisal, synthesis procedures, construct placement or inferential limits.</t>
  </si>
  <si>
    <t>Sets or qualifies reasoning, motivation, contribution framing, claim strength, interpretation or the argumentative role of evidence.</t>
  </si>
  <si>
    <t>Applies manuscript structure, headings, citation conventions, tone, narrative order, audience or distinctions between manuscript and response-letter prose.</t>
  </si>
  <si>
    <t>No sufficient explicit expertise evidence in this turn. Bare assent, attachment-only messages and unelaborated quoted reviewer criticism commonly receive this code.</t>
  </si>
  <si>
    <t>Source</t>
  </si>
  <si>
    <t>W1</t>
  </si>
  <si>
    <t>paper7-log-paper writing (1 of 2).pdf. Readable supplied version: 38 PDF pages, 65 human messages.</t>
  </si>
  <si>
    <t>W2</t>
  </si>
  <si>
    <t>paper7-log-paper writing (2 of 2).pdf. Readable supplied version: 49 PDF pages, 49 human messages.</t>
  </si>
  <si>
    <t>REV</t>
  </si>
  <si>
    <t>paper7-log-c-work for revision after peer review.pdf. Readable supplied version: 14 PDF pages, 18 human messages.</t>
  </si>
  <si>
    <t>PAPER (context only)</t>
  </si>
  <si>
    <t>paper7-paper itself.pdf. 34 pages. Title: ISTQB Certifications Under the Lens: Their Contributions to the Software-Testing Profession; and AI-assisted Synthesis of Practitioners’ Endorsements and Criticisms. Abstract describes MLR plus four independent experts. Manuscript context is not used to invent unlogged human turns.</t>
  </si>
  <si>
    <t>Share of prompts</t>
  </si>
  <si>
    <t xml:space="preserve">Paper: </t>
  </si>
  <si>
    <t>ISTQB</t>
  </si>
  <si>
    <t>Evidence judgment</t>
  </si>
  <si>
    <t>Methodological judgment</t>
  </si>
  <si>
    <t>Argumentative judgment</t>
  </si>
  <si>
    <t>Genre/ writing expertise</t>
  </si>
  <si>
    <t>Expertise</t>
  </si>
  <si>
    <t>Open Delegation</t>
  </si>
  <si>
    <t>Acceptance/ Rejection</t>
  </si>
  <si>
    <t>Subject-matter correction</t>
  </si>
  <si>
    <t>Conceptual differentiation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</si>
</sst>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name val="Carlito"/>
    </font>
    <font>
      <sz val="10"/>
      <color rgb="FF223449"/>
      <name val="Arial"/>
      <family val="2"/>
    </font>
    <font>
      <b/>
      <sz val="10"/>
      <color rgb="FFFFFFFF"/>
      <name val="Arial"/>
      <family val="2"/>
    </font>
    <font>
      <b/>
      <sz val="14"/>
      <color rgb="FF223449"/>
      <name val="Arial"/>
      <family val="2"/>
    </font>
    <font>
      <b/>
      <sz val="10"/>
      <color rgb="FF223449"/>
      <name val="Arial"/>
      <family val="2"/>
    </font>
    <font>
      <b/>
      <sz val="10"/>
      <color rgb="FFFFFFFF"/>
      <name val="Arial"/>
      <family val="2"/>
    </font>
    <font>
      <sz val="10"/>
      <color rgb="FF223449"/>
      <name val="Arial"/>
      <family val="2"/>
    </font>
    <font>
      <b/>
      <sz val="10"/>
      <color theme="1"/>
      <name val="Arial"/>
      <family val="2"/>
    </font>
  </fonts>
  <fills count="6">
    <fill>
      <patternFill patternType="none"/>
    </fill>
    <fill>
      <patternFill patternType="gray125"/>
    </fill>
    <fill>
      <patternFill patternType="solid">
        <fgColor rgb="FF29435C"/>
      </patternFill>
    </fill>
    <fill>
      <patternFill patternType="solid">
        <fgColor rgb="FFFFFF00"/>
        <bgColor indexed="64"/>
      </patternFill>
    </fill>
    <fill>
      <patternFill patternType="solid">
        <fgColor rgb="FF00B050"/>
        <bgColor indexed="64"/>
      </patternFill>
    </fill>
    <fill>
      <patternFill patternType="solid">
        <fgColor theme="6" tint="-0.249977111117893"/>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top"/>
    </xf>
    <xf numFmtId="0" fontId="2" fillId="2" borderId="0" xfId="0" applyFont="1" applyFill="1" applyAlignment="1">
      <alignment horizontal="center" vertical="center" wrapText="1"/>
    </xf>
    <xf numFmtId="0" fontId="1" fillId="0" borderId="0" xfId="0" applyFont="1" applyAlignment="1">
      <alignment vertical="top" wrapText="1"/>
    </xf>
    <xf numFmtId="1" fontId="1" fillId="0" borderId="0" xfId="0" applyNumberFormat="1" applyFont="1" applyAlignment="1">
      <alignment vertical="top" wrapText="1"/>
    </xf>
    <xf numFmtId="0" fontId="3" fillId="0" borderId="0" xfId="0" applyFont="1" applyAlignment="1">
      <alignment vertical="top"/>
    </xf>
    <xf numFmtId="164" fontId="1" fillId="0" borderId="0" xfId="0" applyNumberFormat="1" applyFont="1" applyAlignment="1">
      <alignment vertical="top"/>
    </xf>
    <xf numFmtId="0" fontId="4" fillId="0" borderId="0" xfId="0" applyFont="1" applyAlignment="1">
      <alignment vertical="top"/>
    </xf>
    <xf numFmtId="1" fontId="1" fillId="0" borderId="0" xfId="0" applyNumberFormat="1" applyFont="1" applyAlignment="1">
      <alignment vertical="top"/>
    </xf>
    <xf numFmtId="0" fontId="1" fillId="3" borderId="0" xfId="0" applyFont="1" applyFill="1" applyAlignment="1">
      <alignment vertical="top"/>
    </xf>
    <xf numFmtId="1" fontId="1" fillId="3" borderId="0" xfId="0" applyNumberFormat="1" applyFont="1" applyFill="1" applyAlignment="1">
      <alignment vertical="top"/>
    </xf>
    <xf numFmtId="0" fontId="5" fillId="5" borderId="0" xfId="0" applyFont="1" applyFill="1" applyAlignment="1">
      <alignment horizontal="center" vertical="center" wrapText="1"/>
    </xf>
    <xf numFmtId="0" fontId="7" fillId="4" borderId="0" xfId="0" applyFont="1" applyFill="1" applyAlignment="1">
      <alignment horizontal="center" vertical="center" wrapText="1"/>
    </xf>
    <xf numFmtId="0" fontId="6" fillId="0" borderId="0" xfId="0" applyFont="1" applyAlignment="1">
      <alignment horizontal="center" vertical="top" wrapText="1"/>
    </xf>
    <xf numFmtId="0" fontId="2" fillId="5" borderId="0" xfId="0" applyFont="1" applyFill="1" applyAlignment="1">
      <alignment horizontal="center" vertical="center" wrapText="1"/>
    </xf>
  </cellXfs>
  <cellStyles count="1">
    <cellStyle name="Normal" xfId="0" builtinId="0"/>
  </cellStyles>
  <dxfs count="2">
    <dxf>
      <fill>
        <patternFill patternType="solid">
          <bgColor rgb="FFFFF2CC"/>
        </patternFill>
      </fill>
    </dxf>
    <dxf>
      <font>
        <b val="0"/>
        <i val="0"/>
        <strike val="0"/>
        <condense val="0"/>
        <extend val="0"/>
        <outline val="0"/>
        <shadow val="0"/>
        <u val="none"/>
        <vertAlign val="baseline"/>
        <sz val="10"/>
        <color rgb="FF223449"/>
        <name val="Arial"/>
        <scheme val="none"/>
      </font>
      <numFmt numFmtId="0" formatCode="Genera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Coding!$P$1</c:f>
              <c:strCache>
                <c:ptCount val="1"/>
                <c:pt idx="0">
                  <c:v>Open Delegation</c:v>
                </c:pt>
              </c:strCache>
            </c:strRef>
          </c:tx>
          <c:spPr>
            <a:solidFill>
              <a:schemeClr val="accent1"/>
            </a:solidFill>
            <a:ln>
              <a:noFill/>
            </a:ln>
            <a:effectLst/>
          </c:spPr>
          <c:invertIfNegative val="0"/>
          <c:val>
            <c:numRef>
              <c:f>Coding!$P$2:$P$133</c:f>
              <c:numCache>
                <c:formatCode>0</c:formatCode>
                <c:ptCount val="132"/>
                <c:pt idx="0">
                  <c:v>0</c:v>
                </c:pt>
                <c:pt idx="1">
                  <c:v>0</c:v>
                </c:pt>
                <c:pt idx="2">
                  <c:v>0</c:v>
                </c:pt>
                <c:pt idx="3">
                  <c:v>0</c:v>
                </c:pt>
                <c:pt idx="4">
                  <c:v>0</c:v>
                </c:pt>
                <c:pt idx="5">
                  <c:v>0</c:v>
                </c:pt>
                <c:pt idx="6">
                  <c:v>1</c:v>
                </c:pt>
                <c:pt idx="7">
                  <c:v>0</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1</c:v>
                </c:pt>
                <c:pt idx="46">
                  <c:v>0</c:v>
                </c:pt>
                <c:pt idx="47">
                  <c:v>1</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1</c:v>
                </c:pt>
                <c:pt idx="93">
                  <c:v>0</c:v>
                </c:pt>
                <c:pt idx="94">
                  <c:v>0</c:v>
                </c:pt>
                <c:pt idx="95">
                  <c:v>0</c:v>
                </c:pt>
                <c:pt idx="96">
                  <c:v>0</c:v>
                </c:pt>
                <c:pt idx="97">
                  <c:v>0</c:v>
                </c:pt>
                <c:pt idx="98">
                  <c:v>0</c:v>
                </c:pt>
                <c:pt idx="99">
                  <c:v>0</c:v>
                </c:pt>
                <c:pt idx="100">
                  <c:v>0</c:v>
                </c:pt>
                <c:pt idx="101">
                  <c:v>0</c:v>
                </c:pt>
                <c:pt idx="102">
                  <c:v>0</c:v>
                </c:pt>
                <c:pt idx="103">
                  <c:v>0</c:v>
                </c:pt>
                <c:pt idx="104">
                  <c:v>0</c:v>
                </c:pt>
                <c:pt idx="105">
                  <c:v>1</c:v>
                </c:pt>
                <c:pt idx="106">
                  <c:v>0</c:v>
                </c:pt>
                <c:pt idx="107">
                  <c:v>0</c:v>
                </c:pt>
                <c:pt idx="108">
                  <c:v>0</c:v>
                </c:pt>
                <c:pt idx="109">
                  <c:v>0</c:v>
                </c:pt>
                <c:pt idx="110">
                  <c:v>0</c:v>
                </c:pt>
                <c:pt idx="111">
                  <c:v>0</c:v>
                </c:pt>
                <c:pt idx="112">
                  <c:v>0</c:v>
                </c:pt>
                <c:pt idx="113">
                  <c:v>0</c:v>
                </c:pt>
                <c:pt idx="114">
                  <c:v>1</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numCache>
            </c:numRef>
          </c:val>
          <c:extLst>
            <c:ext xmlns:c16="http://schemas.microsoft.com/office/drawing/2014/chart" uri="{C3380CC4-5D6E-409C-BE32-E72D297353CC}">
              <c16:uniqueId val="{00000000-3CC8-41FD-8673-A7CFD74A4F68}"/>
            </c:ext>
          </c:extLst>
        </c:ser>
        <c:ser>
          <c:idx val="1"/>
          <c:order val="1"/>
          <c:tx>
            <c:strRef>
              <c:f>Coding!$Q$1</c:f>
              <c:strCache>
                <c:ptCount val="1"/>
                <c:pt idx="0">
                  <c:v>Directed delegation</c:v>
                </c:pt>
              </c:strCache>
            </c:strRef>
          </c:tx>
          <c:spPr>
            <a:solidFill>
              <a:schemeClr val="accent2"/>
            </a:solidFill>
            <a:ln>
              <a:noFill/>
            </a:ln>
            <a:effectLst/>
          </c:spPr>
          <c:invertIfNegative val="0"/>
          <c:val>
            <c:numRef>
              <c:f>Coding!$Q$2:$Q$133</c:f>
              <c:numCache>
                <c:formatCode>0</c:formatCode>
                <c:ptCount val="132"/>
                <c:pt idx="0">
                  <c:v>1</c:v>
                </c:pt>
                <c:pt idx="1">
                  <c:v>0</c:v>
                </c:pt>
                <c:pt idx="2">
                  <c:v>1</c:v>
                </c:pt>
                <c:pt idx="3">
                  <c:v>1</c:v>
                </c:pt>
                <c:pt idx="4">
                  <c:v>1</c:v>
                </c:pt>
                <c:pt idx="5">
                  <c:v>1</c:v>
                </c:pt>
                <c:pt idx="6">
                  <c:v>0</c:v>
                </c:pt>
                <c:pt idx="7">
                  <c:v>0</c:v>
                </c:pt>
                <c:pt idx="8">
                  <c:v>0</c:v>
                </c:pt>
                <c:pt idx="9">
                  <c:v>1</c:v>
                </c:pt>
                <c:pt idx="10">
                  <c:v>1</c:v>
                </c:pt>
                <c:pt idx="11">
                  <c:v>0</c:v>
                </c:pt>
                <c:pt idx="12">
                  <c:v>1</c:v>
                </c:pt>
                <c:pt idx="13">
                  <c:v>0</c:v>
                </c:pt>
                <c:pt idx="14">
                  <c:v>0</c:v>
                </c:pt>
                <c:pt idx="15">
                  <c:v>0</c:v>
                </c:pt>
                <c:pt idx="16">
                  <c:v>0</c:v>
                </c:pt>
                <c:pt idx="17">
                  <c:v>0</c:v>
                </c:pt>
                <c:pt idx="18">
                  <c:v>0</c:v>
                </c:pt>
                <c:pt idx="19">
                  <c:v>1</c:v>
                </c:pt>
                <c:pt idx="20">
                  <c:v>1</c:v>
                </c:pt>
                <c:pt idx="21">
                  <c:v>1</c:v>
                </c:pt>
                <c:pt idx="22">
                  <c:v>1</c:v>
                </c:pt>
                <c:pt idx="23">
                  <c:v>1</c:v>
                </c:pt>
                <c:pt idx="24">
                  <c:v>1</c:v>
                </c:pt>
                <c:pt idx="25">
                  <c:v>0</c:v>
                </c:pt>
                <c:pt idx="26">
                  <c:v>1</c:v>
                </c:pt>
                <c:pt idx="27">
                  <c:v>0</c:v>
                </c:pt>
                <c:pt idx="28">
                  <c:v>1</c:v>
                </c:pt>
                <c:pt idx="29">
                  <c:v>1</c:v>
                </c:pt>
                <c:pt idx="30">
                  <c:v>1</c:v>
                </c:pt>
                <c:pt idx="31">
                  <c:v>0</c:v>
                </c:pt>
                <c:pt idx="32">
                  <c:v>1</c:v>
                </c:pt>
                <c:pt idx="33">
                  <c:v>1</c:v>
                </c:pt>
                <c:pt idx="34">
                  <c:v>1</c:v>
                </c:pt>
                <c:pt idx="35">
                  <c:v>1</c:v>
                </c:pt>
                <c:pt idx="36">
                  <c:v>1</c:v>
                </c:pt>
                <c:pt idx="37">
                  <c:v>0</c:v>
                </c:pt>
                <c:pt idx="38">
                  <c:v>1</c:v>
                </c:pt>
                <c:pt idx="39">
                  <c:v>1</c:v>
                </c:pt>
                <c:pt idx="40">
                  <c:v>1</c:v>
                </c:pt>
                <c:pt idx="41">
                  <c:v>0</c:v>
                </c:pt>
                <c:pt idx="42">
                  <c:v>0</c:v>
                </c:pt>
                <c:pt idx="43">
                  <c:v>1</c:v>
                </c:pt>
                <c:pt idx="44">
                  <c:v>1</c:v>
                </c:pt>
                <c:pt idx="45">
                  <c:v>0</c:v>
                </c:pt>
                <c:pt idx="46">
                  <c:v>1</c:v>
                </c:pt>
                <c:pt idx="47">
                  <c:v>0</c:v>
                </c:pt>
                <c:pt idx="48">
                  <c:v>1</c:v>
                </c:pt>
                <c:pt idx="49">
                  <c:v>0</c:v>
                </c:pt>
                <c:pt idx="50">
                  <c:v>0</c:v>
                </c:pt>
                <c:pt idx="51">
                  <c:v>0</c:v>
                </c:pt>
                <c:pt idx="52">
                  <c:v>1</c:v>
                </c:pt>
                <c:pt idx="53">
                  <c:v>1</c:v>
                </c:pt>
                <c:pt idx="54">
                  <c:v>1</c:v>
                </c:pt>
                <c:pt idx="55">
                  <c:v>1</c:v>
                </c:pt>
                <c:pt idx="56">
                  <c:v>1</c:v>
                </c:pt>
                <c:pt idx="57">
                  <c:v>1</c:v>
                </c:pt>
                <c:pt idx="58">
                  <c:v>1</c:v>
                </c:pt>
                <c:pt idx="59">
                  <c:v>0</c:v>
                </c:pt>
                <c:pt idx="60">
                  <c:v>0</c:v>
                </c:pt>
                <c:pt idx="61">
                  <c:v>1</c:v>
                </c:pt>
                <c:pt idx="62">
                  <c:v>1</c:v>
                </c:pt>
                <c:pt idx="63">
                  <c:v>0</c:v>
                </c:pt>
                <c:pt idx="64">
                  <c:v>1</c:v>
                </c:pt>
                <c:pt idx="65">
                  <c:v>1</c:v>
                </c:pt>
                <c:pt idx="66">
                  <c:v>0</c:v>
                </c:pt>
                <c:pt idx="67">
                  <c:v>0</c:v>
                </c:pt>
                <c:pt idx="68">
                  <c:v>1</c:v>
                </c:pt>
                <c:pt idx="69">
                  <c:v>1</c:v>
                </c:pt>
                <c:pt idx="70">
                  <c:v>1</c:v>
                </c:pt>
                <c:pt idx="71">
                  <c:v>1</c:v>
                </c:pt>
                <c:pt idx="72">
                  <c:v>1</c:v>
                </c:pt>
                <c:pt idx="73">
                  <c:v>1</c:v>
                </c:pt>
                <c:pt idx="74">
                  <c:v>0</c:v>
                </c:pt>
                <c:pt idx="75">
                  <c:v>0</c:v>
                </c:pt>
                <c:pt idx="76">
                  <c:v>1</c:v>
                </c:pt>
                <c:pt idx="77">
                  <c:v>0</c:v>
                </c:pt>
                <c:pt idx="78">
                  <c:v>1</c:v>
                </c:pt>
                <c:pt idx="79">
                  <c:v>0</c:v>
                </c:pt>
                <c:pt idx="80">
                  <c:v>1</c:v>
                </c:pt>
                <c:pt idx="81">
                  <c:v>1</c:v>
                </c:pt>
                <c:pt idx="82">
                  <c:v>1</c:v>
                </c:pt>
                <c:pt idx="83">
                  <c:v>0</c:v>
                </c:pt>
                <c:pt idx="84">
                  <c:v>1</c:v>
                </c:pt>
                <c:pt idx="85">
                  <c:v>1</c:v>
                </c:pt>
                <c:pt idx="86">
                  <c:v>0</c:v>
                </c:pt>
                <c:pt idx="87">
                  <c:v>0</c:v>
                </c:pt>
                <c:pt idx="88">
                  <c:v>1</c:v>
                </c:pt>
                <c:pt idx="89">
                  <c:v>1</c:v>
                </c:pt>
                <c:pt idx="90">
                  <c:v>1</c:v>
                </c:pt>
                <c:pt idx="91">
                  <c:v>1</c:v>
                </c:pt>
                <c:pt idx="92">
                  <c:v>0</c:v>
                </c:pt>
                <c:pt idx="93">
                  <c:v>0</c:v>
                </c:pt>
                <c:pt idx="94">
                  <c:v>0</c:v>
                </c:pt>
                <c:pt idx="95">
                  <c:v>1</c:v>
                </c:pt>
                <c:pt idx="96">
                  <c:v>1</c:v>
                </c:pt>
                <c:pt idx="97">
                  <c:v>0</c:v>
                </c:pt>
                <c:pt idx="98">
                  <c:v>1</c:v>
                </c:pt>
                <c:pt idx="99">
                  <c:v>1</c:v>
                </c:pt>
                <c:pt idx="100">
                  <c:v>1</c:v>
                </c:pt>
                <c:pt idx="101">
                  <c:v>1</c:v>
                </c:pt>
                <c:pt idx="102">
                  <c:v>0</c:v>
                </c:pt>
                <c:pt idx="103">
                  <c:v>0</c:v>
                </c:pt>
                <c:pt idx="104">
                  <c:v>0</c:v>
                </c:pt>
                <c:pt idx="105">
                  <c:v>0</c:v>
                </c:pt>
                <c:pt idx="106">
                  <c:v>0</c:v>
                </c:pt>
                <c:pt idx="107">
                  <c:v>0</c:v>
                </c:pt>
                <c:pt idx="108">
                  <c:v>0</c:v>
                </c:pt>
                <c:pt idx="109">
                  <c:v>0</c:v>
                </c:pt>
                <c:pt idx="110">
                  <c:v>0</c:v>
                </c:pt>
                <c:pt idx="111">
                  <c:v>0</c:v>
                </c:pt>
                <c:pt idx="112">
                  <c:v>1</c:v>
                </c:pt>
                <c:pt idx="113">
                  <c:v>1</c:v>
                </c:pt>
                <c:pt idx="114">
                  <c:v>0</c:v>
                </c:pt>
                <c:pt idx="115">
                  <c:v>1</c:v>
                </c:pt>
                <c:pt idx="116">
                  <c:v>1</c:v>
                </c:pt>
                <c:pt idx="117">
                  <c:v>1</c:v>
                </c:pt>
                <c:pt idx="118">
                  <c:v>1</c:v>
                </c:pt>
                <c:pt idx="119">
                  <c:v>1</c:v>
                </c:pt>
                <c:pt idx="120">
                  <c:v>1</c:v>
                </c:pt>
                <c:pt idx="121">
                  <c:v>0</c:v>
                </c:pt>
                <c:pt idx="122">
                  <c:v>1</c:v>
                </c:pt>
                <c:pt idx="123">
                  <c:v>1</c:v>
                </c:pt>
                <c:pt idx="124">
                  <c:v>1</c:v>
                </c:pt>
                <c:pt idx="125">
                  <c:v>1</c:v>
                </c:pt>
                <c:pt idx="126">
                  <c:v>1</c:v>
                </c:pt>
                <c:pt idx="127">
                  <c:v>0</c:v>
                </c:pt>
                <c:pt idx="128">
                  <c:v>1</c:v>
                </c:pt>
                <c:pt idx="129">
                  <c:v>1</c:v>
                </c:pt>
                <c:pt idx="130">
                  <c:v>1</c:v>
                </c:pt>
                <c:pt idx="131">
                  <c:v>0</c:v>
                </c:pt>
              </c:numCache>
            </c:numRef>
          </c:val>
          <c:extLst>
            <c:ext xmlns:c16="http://schemas.microsoft.com/office/drawing/2014/chart" uri="{C3380CC4-5D6E-409C-BE32-E72D297353CC}">
              <c16:uniqueId val="{00000001-3CC8-41FD-8673-A7CFD74A4F68}"/>
            </c:ext>
          </c:extLst>
        </c:ser>
        <c:ser>
          <c:idx val="2"/>
          <c:order val="2"/>
          <c:tx>
            <c:strRef>
              <c:f>Coding!$R$1</c:f>
              <c:strCache>
                <c:ptCount val="1"/>
                <c:pt idx="0">
                  <c:v>Evaluation</c:v>
                </c:pt>
              </c:strCache>
            </c:strRef>
          </c:tx>
          <c:spPr>
            <a:solidFill>
              <a:schemeClr val="accent3"/>
            </a:solidFill>
            <a:ln>
              <a:noFill/>
            </a:ln>
            <a:effectLst/>
          </c:spPr>
          <c:invertIfNegative val="0"/>
          <c:val>
            <c:numRef>
              <c:f>Coding!$R$2:$R$133</c:f>
              <c:numCache>
                <c:formatCode>0</c:formatCode>
                <c:ptCount val="132"/>
                <c:pt idx="0">
                  <c:v>0</c:v>
                </c:pt>
                <c:pt idx="1">
                  <c:v>0</c:v>
                </c:pt>
                <c:pt idx="2">
                  <c:v>0</c:v>
                </c:pt>
                <c:pt idx="3">
                  <c:v>0</c:v>
                </c:pt>
                <c:pt idx="4">
                  <c:v>0</c:v>
                </c:pt>
                <c:pt idx="5">
                  <c:v>0</c:v>
                </c:pt>
                <c:pt idx="6">
                  <c:v>0</c:v>
                </c:pt>
                <c:pt idx="7">
                  <c:v>0</c:v>
                </c:pt>
                <c:pt idx="8">
                  <c:v>0</c:v>
                </c:pt>
                <c:pt idx="9">
                  <c:v>0</c:v>
                </c:pt>
                <c:pt idx="10">
                  <c:v>0</c:v>
                </c:pt>
                <c:pt idx="11">
                  <c:v>1</c:v>
                </c:pt>
                <c:pt idx="12">
                  <c:v>0</c:v>
                </c:pt>
                <c:pt idx="13">
                  <c:v>1</c:v>
                </c:pt>
                <c:pt idx="14">
                  <c:v>1</c:v>
                </c:pt>
                <c:pt idx="15">
                  <c:v>1</c:v>
                </c:pt>
                <c:pt idx="16">
                  <c:v>0</c:v>
                </c:pt>
                <c:pt idx="17">
                  <c:v>1</c:v>
                </c:pt>
                <c:pt idx="18">
                  <c:v>0</c:v>
                </c:pt>
                <c:pt idx="19">
                  <c:v>0</c:v>
                </c:pt>
                <c:pt idx="20">
                  <c:v>0</c:v>
                </c:pt>
                <c:pt idx="21">
                  <c:v>0</c:v>
                </c:pt>
                <c:pt idx="22">
                  <c:v>0</c:v>
                </c:pt>
                <c:pt idx="23">
                  <c:v>0</c:v>
                </c:pt>
                <c:pt idx="24">
                  <c:v>1</c:v>
                </c:pt>
                <c:pt idx="25">
                  <c:v>1</c:v>
                </c:pt>
                <c:pt idx="26">
                  <c:v>1</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1</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1</c:v>
                </c:pt>
                <c:pt idx="75">
                  <c:v>1</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1</c:v>
                </c:pt>
                <c:pt idx="104">
                  <c:v>1</c:v>
                </c:pt>
                <c:pt idx="105">
                  <c:v>0</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1</c:v>
                </c:pt>
                <c:pt idx="128">
                  <c:v>0</c:v>
                </c:pt>
                <c:pt idx="129">
                  <c:v>0</c:v>
                </c:pt>
                <c:pt idx="130">
                  <c:v>0</c:v>
                </c:pt>
                <c:pt idx="131">
                  <c:v>1</c:v>
                </c:pt>
              </c:numCache>
            </c:numRef>
          </c:val>
          <c:extLst>
            <c:ext xmlns:c16="http://schemas.microsoft.com/office/drawing/2014/chart" uri="{C3380CC4-5D6E-409C-BE32-E72D297353CC}">
              <c16:uniqueId val="{00000002-3CC8-41FD-8673-A7CFD74A4F68}"/>
            </c:ext>
          </c:extLst>
        </c:ser>
        <c:ser>
          <c:idx val="3"/>
          <c:order val="3"/>
          <c:tx>
            <c:strRef>
              <c:f>Coding!$S$1</c:f>
              <c:strCache>
                <c:ptCount val="1"/>
                <c:pt idx="0">
                  <c:v>Correction/Challenge</c:v>
                </c:pt>
              </c:strCache>
            </c:strRef>
          </c:tx>
          <c:spPr>
            <a:solidFill>
              <a:schemeClr val="accent4"/>
            </a:solidFill>
            <a:ln>
              <a:noFill/>
            </a:ln>
            <a:effectLst/>
          </c:spPr>
          <c:invertIfNegative val="0"/>
          <c:val>
            <c:numRef>
              <c:f>Coding!$S$2:$S$133</c:f>
              <c:numCache>
                <c:formatCode>0</c:formatCode>
                <c:ptCount val="132"/>
                <c:pt idx="0">
                  <c:v>0</c:v>
                </c:pt>
                <c:pt idx="1">
                  <c:v>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1</c:v>
                </c:pt>
                <c:pt idx="25">
                  <c:v>0</c:v>
                </c:pt>
                <c:pt idx="26">
                  <c:v>0</c:v>
                </c:pt>
                <c:pt idx="27">
                  <c:v>0</c:v>
                </c:pt>
                <c:pt idx="28">
                  <c:v>0</c:v>
                </c:pt>
                <c:pt idx="29">
                  <c:v>0</c:v>
                </c:pt>
                <c:pt idx="30">
                  <c:v>0</c:v>
                </c:pt>
                <c:pt idx="31">
                  <c:v>0</c:v>
                </c:pt>
                <c:pt idx="32">
                  <c:v>0</c:v>
                </c:pt>
                <c:pt idx="33">
                  <c:v>0</c:v>
                </c:pt>
                <c:pt idx="34">
                  <c:v>1</c:v>
                </c:pt>
                <c:pt idx="35">
                  <c:v>0</c:v>
                </c:pt>
                <c:pt idx="36">
                  <c:v>0</c:v>
                </c:pt>
                <c:pt idx="37">
                  <c:v>0</c:v>
                </c:pt>
                <c:pt idx="38">
                  <c:v>0</c:v>
                </c:pt>
                <c:pt idx="39">
                  <c:v>0</c:v>
                </c:pt>
                <c:pt idx="40">
                  <c:v>0</c:v>
                </c:pt>
                <c:pt idx="41">
                  <c:v>0</c:v>
                </c:pt>
                <c:pt idx="42">
                  <c:v>0</c:v>
                </c:pt>
                <c:pt idx="43">
                  <c:v>0</c:v>
                </c:pt>
                <c:pt idx="44">
                  <c:v>0</c:v>
                </c:pt>
                <c:pt idx="45">
                  <c:v>0</c:v>
                </c:pt>
                <c:pt idx="46">
                  <c:v>0</c:v>
                </c:pt>
                <c:pt idx="47">
                  <c:v>0</c:v>
                </c:pt>
                <c:pt idx="48">
                  <c:v>1</c:v>
                </c:pt>
                <c:pt idx="49">
                  <c:v>1</c:v>
                </c:pt>
                <c:pt idx="50">
                  <c:v>0</c:v>
                </c:pt>
                <c:pt idx="51">
                  <c:v>1</c:v>
                </c:pt>
                <c:pt idx="52">
                  <c:v>0</c:v>
                </c:pt>
                <c:pt idx="53">
                  <c:v>0</c:v>
                </c:pt>
                <c:pt idx="54">
                  <c:v>0</c:v>
                </c:pt>
                <c:pt idx="55">
                  <c:v>0</c:v>
                </c:pt>
                <c:pt idx="56">
                  <c:v>0</c:v>
                </c:pt>
                <c:pt idx="57">
                  <c:v>0</c:v>
                </c:pt>
                <c:pt idx="58">
                  <c:v>0</c:v>
                </c:pt>
                <c:pt idx="59">
                  <c:v>0</c:v>
                </c:pt>
                <c:pt idx="60">
                  <c:v>0</c:v>
                </c:pt>
                <c:pt idx="61">
                  <c:v>0</c:v>
                </c:pt>
                <c:pt idx="62">
                  <c:v>0</c:v>
                </c:pt>
                <c:pt idx="63">
                  <c:v>1</c:v>
                </c:pt>
                <c:pt idx="64">
                  <c:v>1</c:v>
                </c:pt>
                <c:pt idx="65">
                  <c:v>0</c:v>
                </c:pt>
                <c:pt idx="66">
                  <c:v>0</c:v>
                </c:pt>
                <c:pt idx="67">
                  <c:v>0</c:v>
                </c:pt>
                <c:pt idx="68">
                  <c:v>0</c:v>
                </c:pt>
                <c:pt idx="69">
                  <c:v>0</c:v>
                </c:pt>
                <c:pt idx="70">
                  <c:v>0</c:v>
                </c:pt>
                <c:pt idx="71">
                  <c:v>0</c:v>
                </c:pt>
                <c:pt idx="72">
                  <c:v>1</c:v>
                </c:pt>
                <c:pt idx="73">
                  <c:v>0</c:v>
                </c:pt>
                <c:pt idx="74">
                  <c:v>0</c:v>
                </c:pt>
                <c:pt idx="75">
                  <c:v>1</c:v>
                </c:pt>
                <c:pt idx="76">
                  <c:v>0</c:v>
                </c:pt>
                <c:pt idx="77">
                  <c:v>0</c:v>
                </c:pt>
                <c:pt idx="78">
                  <c:v>1</c:v>
                </c:pt>
                <c:pt idx="79">
                  <c:v>0</c:v>
                </c:pt>
                <c:pt idx="80">
                  <c:v>1</c:v>
                </c:pt>
                <c:pt idx="81">
                  <c:v>0</c:v>
                </c:pt>
                <c:pt idx="82">
                  <c:v>1</c:v>
                </c:pt>
                <c:pt idx="83">
                  <c:v>0</c:v>
                </c:pt>
                <c:pt idx="84">
                  <c:v>0</c:v>
                </c:pt>
                <c:pt idx="85">
                  <c:v>0</c:v>
                </c:pt>
                <c:pt idx="86">
                  <c:v>0</c:v>
                </c:pt>
                <c:pt idx="87">
                  <c:v>0</c:v>
                </c:pt>
                <c:pt idx="88">
                  <c:v>1</c:v>
                </c:pt>
                <c:pt idx="89">
                  <c:v>0</c:v>
                </c:pt>
                <c:pt idx="90">
                  <c:v>0</c:v>
                </c:pt>
                <c:pt idx="91">
                  <c:v>0</c:v>
                </c:pt>
                <c:pt idx="92">
                  <c:v>0</c:v>
                </c:pt>
                <c:pt idx="93">
                  <c:v>0</c:v>
                </c:pt>
                <c:pt idx="94">
                  <c:v>0</c:v>
                </c:pt>
                <c:pt idx="95">
                  <c:v>1</c:v>
                </c:pt>
                <c:pt idx="96">
                  <c:v>0</c:v>
                </c:pt>
                <c:pt idx="97">
                  <c:v>0</c:v>
                </c:pt>
                <c:pt idx="98">
                  <c:v>0</c:v>
                </c:pt>
                <c:pt idx="99">
                  <c:v>0</c:v>
                </c:pt>
                <c:pt idx="100">
                  <c:v>0</c:v>
                </c:pt>
                <c:pt idx="101">
                  <c:v>1</c:v>
                </c:pt>
                <c:pt idx="102">
                  <c:v>0</c:v>
                </c:pt>
                <c:pt idx="103">
                  <c:v>1</c:v>
                </c:pt>
                <c:pt idx="104">
                  <c:v>1</c:v>
                </c:pt>
                <c:pt idx="105">
                  <c:v>0</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1</c:v>
                </c:pt>
                <c:pt idx="122">
                  <c:v>0</c:v>
                </c:pt>
                <c:pt idx="123">
                  <c:v>1</c:v>
                </c:pt>
                <c:pt idx="124">
                  <c:v>0</c:v>
                </c:pt>
                <c:pt idx="125">
                  <c:v>1</c:v>
                </c:pt>
                <c:pt idx="126">
                  <c:v>0</c:v>
                </c:pt>
                <c:pt idx="127">
                  <c:v>1</c:v>
                </c:pt>
                <c:pt idx="128">
                  <c:v>0</c:v>
                </c:pt>
                <c:pt idx="129">
                  <c:v>0</c:v>
                </c:pt>
                <c:pt idx="130">
                  <c:v>0</c:v>
                </c:pt>
                <c:pt idx="131">
                  <c:v>0</c:v>
                </c:pt>
              </c:numCache>
            </c:numRef>
          </c:val>
          <c:extLst>
            <c:ext xmlns:c16="http://schemas.microsoft.com/office/drawing/2014/chart" uri="{C3380CC4-5D6E-409C-BE32-E72D297353CC}">
              <c16:uniqueId val="{00000003-3CC8-41FD-8673-A7CFD74A4F68}"/>
            </c:ext>
          </c:extLst>
        </c:ser>
        <c:ser>
          <c:idx val="4"/>
          <c:order val="4"/>
          <c:tx>
            <c:strRef>
              <c:f>Coding!$T$1</c:f>
              <c:strCache>
                <c:ptCount val="1"/>
                <c:pt idx="0">
                  <c:v>Redirection</c:v>
                </c:pt>
              </c:strCache>
            </c:strRef>
          </c:tx>
          <c:spPr>
            <a:solidFill>
              <a:schemeClr val="accent5"/>
            </a:solidFill>
            <a:ln>
              <a:noFill/>
            </a:ln>
            <a:effectLst/>
          </c:spPr>
          <c:invertIfNegative val="0"/>
          <c:val>
            <c:numRef>
              <c:f>Coding!$T$2:$T$133</c:f>
              <c:numCache>
                <c:formatCode>0</c:formatCode>
                <c:ptCount val="132"/>
                <c:pt idx="0">
                  <c:v>0</c:v>
                </c:pt>
                <c:pt idx="1">
                  <c:v>0</c:v>
                </c:pt>
                <c:pt idx="2">
                  <c:v>1</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1</c:v>
                </c:pt>
                <c:pt idx="19">
                  <c:v>0</c:v>
                </c:pt>
                <c:pt idx="20">
                  <c:v>0</c:v>
                </c:pt>
                <c:pt idx="21">
                  <c:v>0</c:v>
                </c:pt>
                <c:pt idx="22">
                  <c:v>0</c:v>
                </c:pt>
                <c:pt idx="23">
                  <c:v>1</c:v>
                </c:pt>
                <c:pt idx="24">
                  <c:v>0</c:v>
                </c:pt>
                <c:pt idx="25">
                  <c:v>0</c:v>
                </c:pt>
                <c:pt idx="26">
                  <c:v>0</c:v>
                </c:pt>
                <c:pt idx="27">
                  <c:v>1</c:v>
                </c:pt>
                <c:pt idx="28">
                  <c:v>1</c:v>
                </c:pt>
                <c:pt idx="29">
                  <c:v>0</c:v>
                </c:pt>
                <c:pt idx="30">
                  <c:v>0</c:v>
                </c:pt>
                <c:pt idx="31">
                  <c:v>0</c:v>
                </c:pt>
                <c:pt idx="32">
                  <c:v>0</c:v>
                </c:pt>
                <c:pt idx="33">
                  <c:v>1</c:v>
                </c:pt>
                <c:pt idx="34">
                  <c:v>0</c:v>
                </c:pt>
                <c:pt idx="35">
                  <c:v>0</c:v>
                </c:pt>
                <c:pt idx="36">
                  <c:v>0</c:v>
                </c:pt>
                <c:pt idx="37">
                  <c:v>0</c:v>
                </c:pt>
                <c:pt idx="38">
                  <c:v>0</c:v>
                </c:pt>
                <c:pt idx="39">
                  <c:v>0</c:v>
                </c:pt>
                <c:pt idx="40">
                  <c:v>1</c:v>
                </c:pt>
                <c:pt idx="41">
                  <c:v>0</c:v>
                </c:pt>
                <c:pt idx="42">
                  <c:v>0</c:v>
                </c:pt>
                <c:pt idx="43">
                  <c:v>0</c:v>
                </c:pt>
                <c:pt idx="44">
                  <c:v>0</c:v>
                </c:pt>
                <c:pt idx="45">
                  <c:v>0</c:v>
                </c:pt>
                <c:pt idx="46">
                  <c:v>0</c:v>
                </c:pt>
                <c:pt idx="47">
                  <c:v>0</c:v>
                </c:pt>
                <c:pt idx="48">
                  <c:v>1</c:v>
                </c:pt>
                <c:pt idx="49">
                  <c:v>0</c:v>
                </c:pt>
                <c:pt idx="50">
                  <c:v>0</c:v>
                </c:pt>
                <c:pt idx="51">
                  <c:v>1</c:v>
                </c:pt>
                <c:pt idx="52">
                  <c:v>0</c:v>
                </c:pt>
                <c:pt idx="53">
                  <c:v>0</c:v>
                </c:pt>
                <c:pt idx="54">
                  <c:v>1</c:v>
                </c:pt>
                <c:pt idx="55">
                  <c:v>0</c:v>
                </c:pt>
                <c:pt idx="56">
                  <c:v>0</c:v>
                </c:pt>
                <c:pt idx="57">
                  <c:v>0</c:v>
                </c:pt>
                <c:pt idx="58">
                  <c:v>0</c:v>
                </c:pt>
                <c:pt idx="59">
                  <c:v>0</c:v>
                </c:pt>
                <c:pt idx="60">
                  <c:v>0</c:v>
                </c:pt>
                <c:pt idx="61">
                  <c:v>0</c:v>
                </c:pt>
                <c:pt idx="62">
                  <c:v>0</c:v>
                </c:pt>
                <c:pt idx="63">
                  <c:v>1</c:v>
                </c:pt>
                <c:pt idx="64">
                  <c:v>0</c:v>
                </c:pt>
                <c:pt idx="65">
                  <c:v>0</c:v>
                </c:pt>
                <c:pt idx="66">
                  <c:v>0</c:v>
                </c:pt>
                <c:pt idx="67">
                  <c:v>0</c:v>
                </c:pt>
                <c:pt idx="68">
                  <c:v>0</c:v>
                </c:pt>
                <c:pt idx="69">
                  <c:v>1</c:v>
                </c:pt>
                <c:pt idx="70">
                  <c:v>0</c:v>
                </c:pt>
                <c:pt idx="71">
                  <c:v>0</c:v>
                </c:pt>
                <c:pt idx="72">
                  <c:v>0</c:v>
                </c:pt>
                <c:pt idx="73">
                  <c:v>0</c:v>
                </c:pt>
                <c:pt idx="74">
                  <c:v>0</c:v>
                </c:pt>
                <c:pt idx="75">
                  <c:v>0</c:v>
                </c:pt>
                <c:pt idx="76">
                  <c:v>0</c:v>
                </c:pt>
                <c:pt idx="77">
                  <c:v>0</c:v>
                </c:pt>
                <c:pt idx="78">
                  <c:v>1</c:v>
                </c:pt>
                <c:pt idx="79">
                  <c:v>0</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1</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1</c:v>
                </c:pt>
                <c:pt idx="117">
                  <c:v>0</c:v>
                </c:pt>
                <c:pt idx="118">
                  <c:v>1</c:v>
                </c:pt>
                <c:pt idx="119">
                  <c:v>0</c:v>
                </c:pt>
                <c:pt idx="120">
                  <c:v>0</c:v>
                </c:pt>
                <c:pt idx="121">
                  <c:v>1</c:v>
                </c:pt>
                <c:pt idx="122">
                  <c:v>0</c:v>
                </c:pt>
                <c:pt idx="123">
                  <c:v>0</c:v>
                </c:pt>
                <c:pt idx="124">
                  <c:v>0</c:v>
                </c:pt>
                <c:pt idx="125">
                  <c:v>1</c:v>
                </c:pt>
                <c:pt idx="126">
                  <c:v>0</c:v>
                </c:pt>
                <c:pt idx="127">
                  <c:v>1</c:v>
                </c:pt>
                <c:pt idx="128">
                  <c:v>0</c:v>
                </c:pt>
                <c:pt idx="129">
                  <c:v>1</c:v>
                </c:pt>
                <c:pt idx="130">
                  <c:v>0</c:v>
                </c:pt>
                <c:pt idx="131">
                  <c:v>1</c:v>
                </c:pt>
              </c:numCache>
            </c:numRef>
          </c:val>
          <c:extLst>
            <c:ext xmlns:c16="http://schemas.microsoft.com/office/drawing/2014/chart" uri="{C3380CC4-5D6E-409C-BE32-E72D297353CC}">
              <c16:uniqueId val="{00000004-3CC8-41FD-8673-A7CFD74A4F68}"/>
            </c:ext>
          </c:extLst>
        </c:ser>
        <c:ser>
          <c:idx val="5"/>
          <c:order val="5"/>
          <c:tx>
            <c:strRef>
              <c:f>Coding!$U$1</c:f>
              <c:strCache>
                <c:ptCount val="1"/>
                <c:pt idx="0">
                  <c:v>Knowledge injection</c:v>
                </c:pt>
              </c:strCache>
            </c:strRef>
          </c:tx>
          <c:spPr>
            <a:solidFill>
              <a:schemeClr val="accent6"/>
            </a:solidFill>
            <a:ln>
              <a:noFill/>
            </a:ln>
            <a:effectLst/>
          </c:spPr>
          <c:invertIfNegative val="0"/>
          <c:val>
            <c:numRef>
              <c:f>Coding!$U$2:$U$133</c:f>
              <c:numCache>
                <c:formatCode>0</c:formatCode>
                <c:ptCount val="132"/>
                <c:pt idx="0">
                  <c:v>1</c:v>
                </c:pt>
                <c:pt idx="1">
                  <c:v>0</c:v>
                </c:pt>
                <c:pt idx="2">
                  <c:v>1</c:v>
                </c:pt>
                <c:pt idx="3">
                  <c:v>0</c:v>
                </c:pt>
                <c:pt idx="4">
                  <c:v>0</c:v>
                </c:pt>
                <c:pt idx="5">
                  <c:v>0</c:v>
                </c:pt>
                <c:pt idx="6">
                  <c:v>0</c:v>
                </c:pt>
                <c:pt idx="7">
                  <c:v>0</c:v>
                </c:pt>
                <c:pt idx="8">
                  <c:v>0</c:v>
                </c:pt>
                <c:pt idx="9">
                  <c:v>0</c:v>
                </c:pt>
                <c:pt idx="10">
                  <c:v>0</c:v>
                </c:pt>
                <c:pt idx="11">
                  <c:v>0</c:v>
                </c:pt>
                <c:pt idx="12">
                  <c:v>0</c:v>
                </c:pt>
                <c:pt idx="13">
                  <c:v>1</c:v>
                </c:pt>
                <c:pt idx="14">
                  <c:v>1</c:v>
                </c:pt>
                <c:pt idx="15">
                  <c:v>1</c:v>
                </c:pt>
                <c:pt idx="16">
                  <c:v>0</c:v>
                </c:pt>
                <c:pt idx="17">
                  <c:v>0</c:v>
                </c:pt>
                <c:pt idx="18">
                  <c:v>0</c:v>
                </c:pt>
                <c:pt idx="19">
                  <c:v>0</c:v>
                </c:pt>
                <c:pt idx="20">
                  <c:v>1</c:v>
                </c:pt>
                <c:pt idx="21">
                  <c:v>1</c:v>
                </c:pt>
                <c:pt idx="22">
                  <c:v>0</c:v>
                </c:pt>
                <c:pt idx="23">
                  <c:v>0</c:v>
                </c:pt>
                <c:pt idx="24">
                  <c:v>1</c:v>
                </c:pt>
                <c:pt idx="25">
                  <c:v>0</c:v>
                </c:pt>
                <c:pt idx="26">
                  <c:v>1</c:v>
                </c:pt>
                <c:pt idx="27">
                  <c:v>1</c:v>
                </c:pt>
                <c:pt idx="28">
                  <c:v>0</c:v>
                </c:pt>
                <c:pt idx="29">
                  <c:v>0</c:v>
                </c:pt>
                <c:pt idx="30">
                  <c:v>0</c:v>
                </c:pt>
                <c:pt idx="31">
                  <c:v>0</c:v>
                </c:pt>
                <c:pt idx="32">
                  <c:v>0</c:v>
                </c:pt>
                <c:pt idx="33">
                  <c:v>0</c:v>
                </c:pt>
                <c:pt idx="34">
                  <c:v>0</c:v>
                </c:pt>
                <c:pt idx="35">
                  <c:v>0</c:v>
                </c:pt>
                <c:pt idx="36">
                  <c:v>0</c:v>
                </c:pt>
                <c:pt idx="37">
                  <c:v>0</c:v>
                </c:pt>
                <c:pt idx="38">
                  <c:v>0</c:v>
                </c:pt>
                <c:pt idx="39">
                  <c:v>1</c:v>
                </c:pt>
                <c:pt idx="40">
                  <c:v>0</c:v>
                </c:pt>
                <c:pt idx="41">
                  <c:v>0</c:v>
                </c:pt>
                <c:pt idx="42">
                  <c:v>1</c:v>
                </c:pt>
                <c:pt idx="43">
                  <c:v>1</c:v>
                </c:pt>
                <c:pt idx="44">
                  <c:v>1</c:v>
                </c:pt>
                <c:pt idx="45">
                  <c:v>0</c:v>
                </c:pt>
                <c:pt idx="46">
                  <c:v>0</c:v>
                </c:pt>
                <c:pt idx="47">
                  <c:v>0</c:v>
                </c:pt>
                <c:pt idx="48">
                  <c:v>1</c:v>
                </c:pt>
                <c:pt idx="49">
                  <c:v>1</c:v>
                </c:pt>
                <c:pt idx="50">
                  <c:v>0</c:v>
                </c:pt>
                <c:pt idx="51">
                  <c:v>1</c:v>
                </c:pt>
                <c:pt idx="52">
                  <c:v>0</c:v>
                </c:pt>
                <c:pt idx="53">
                  <c:v>0</c:v>
                </c:pt>
                <c:pt idx="54">
                  <c:v>0</c:v>
                </c:pt>
                <c:pt idx="55">
                  <c:v>0</c:v>
                </c:pt>
                <c:pt idx="56">
                  <c:v>1</c:v>
                </c:pt>
                <c:pt idx="57">
                  <c:v>1</c:v>
                </c:pt>
                <c:pt idx="58">
                  <c:v>0</c:v>
                </c:pt>
                <c:pt idx="59">
                  <c:v>1</c:v>
                </c:pt>
                <c:pt idx="60">
                  <c:v>1</c:v>
                </c:pt>
                <c:pt idx="61">
                  <c:v>1</c:v>
                </c:pt>
                <c:pt idx="62">
                  <c:v>0</c:v>
                </c:pt>
                <c:pt idx="63">
                  <c:v>1</c:v>
                </c:pt>
                <c:pt idx="64">
                  <c:v>0</c:v>
                </c:pt>
                <c:pt idx="65">
                  <c:v>1</c:v>
                </c:pt>
                <c:pt idx="66">
                  <c:v>0</c:v>
                </c:pt>
                <c:pt idx="67">
                  <c:v>0</c:v>
                </c:pt>
                <c:pt idx="68">
                  <c:v>0</c:v>
                </c:pt>
                <c:pt idx="69">
                  <c:v>1</c:v>
                </c:pt>
                <c:pt idx="70">
                  <c:v>1</c:v>
                </c:pt>
                <c:pt idx="71">
                  <c:v>0</c:v>
                </c:pt>
                <c:pt idx="72">
                  <c:v>0</c:v>
                </c:pt>
                <c:pt idx="73">
                  <c:v>0</c:v>
                </c:pt>
                <c:pt idx="74">
                  <c:v>0</c:v>
                </c:pt>
                <c:pt idx="75">
                  <c:v>0</c:v>
                </c:pt>
                <c:pt idx="76">
                  <c:v>1</c:v>
                </c:pt>
                <c:pt idx="77">
                  <c:v>1</c:v>
                </c:pt>
                <c:pt idx="78">
                  <c:v>1</c:v>
                </c:pt>
                <c:pt idx="79">
                  <c:v>0</c:v>
                </c:pt>
                <c:pt idx="80">
                  <c:v>0</c:v>
                </c:pt>
                <c:pt idx="81">
                  <c:v>0</c:v>
                </c:pt>
                <c:pt idx="82">
                  <c:v>0</c:v>
                </c:pt>
                <c:pt idx="83">
                  <c:v>0</c:v>
                </c:pt>
                <c:pt idx="84">
                  <c:v>1</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1</c:v>
                </c:pt>
                <c:pt idx="104">
                  <c:v>0</c:v>
                </c:pt>
                <c:pt idx="105">
                  <c:v>0</c:v>
                </c:pt>
                <c:pt idx="106">
                  <c:v>0</c:v>
                </c:pt>
                <c:pt idx="107">
                  <c:v>0</c:v>
                </c:pt>
                <c:pt idx="108">
                  <c:v>0</c:v>
                </c:pt>
                <c:pt idx="109">
                  <c:v>0</c:v>
                </c:pt>
                <c:pt idx="110">
                  <c:v>0</c:v>
                </c:pt>
                <c:pt idx="111">
                  <c:v>0</c:v>
                </c:pt>
                <c:pt idx="112">
                  <c:v>1</c:v>
                </c:pt>
                <c:pt idx="113">
                  <c:v>1</c:v>
                </c:pt>
                <c:pt idx="114">
                  <c:v>0</c:v>
                </c:pt>
                <c:pt idx="115">
                  <c:v>1</c:v>
                </c:pt>
                <c:pt idx="116">
                  <c:v>1</c:v>
                </c:pt>
                <c:pt idx="117">
                  <c:v>0</c:v>
                </c:pt>
                <c:pt idx="118">
                  <c:v>1</c:v>
                </c:pt>
                <c:pt idx="119">
                  <c:v>1</c:v>
                </c:pt>
                <c:pt idx="120">
                  <c:v>1</c:v>
                </c:pt>
                <c:pt idx="121">
                  <c:v>1</c:v>
                </c:pt>
                <c:pt idx="122">
                  <c:v>1</c:v>
                </c:pt>
                <c:pt idx="123">
                  <c:v>1</c:v>
                </c:pt>
                <c:pt idx="124">
                  <c:v>1</c:v>
                </c:pt>
                <c:pt idx="125">
                  <c:v>0</c:v>
                </c:pt>
                <c:pt idx="126">
                  <c:v>1</c:v>
                </c:pt>
                <c:pt idx="127">
                  <c:v>0</c:v>
                </c:pt>
                <c:pt idx="128">
                  <c:v>1</c:v>
                </c:pt>
                <c:pt idx="129">
                  <c:v>1</c:v>
                </c:pt>
                <c:pt idx="130">
                  <c:v>1</c:v>
                </c:pt>
                <c:pt idx="131">
                  <c:v>0</c:v>
                </c:pt>
              </c:numCache>
            </c:numRef>
          </c:val>
          <c:extLst>
            <c:ext xmlns:c16="http://schemas.microsoft.com/office/drawing/2014/chart" uri="{C3380CC4-5D6E-409C-BE32-E72D297353CC}">
              <c16:uniqueId val="{00000005-3CC8-41FD-8673-A7CFD74A4F68}"/>
            </c:ext>
          </c:extLst>
        </c:ser>
        <c:ser>
          <c:idx val="6"/>
          <c:order val="6"/>
          <c:tx>
            <c:strRef>
              <c:f>Coding!$V$1</c:f>
              <c:strCache>
                <c:ptCount val="1"/>
                <c:pt idx="0">
                  <c:v>Acceptance/ Rejection</c:v>
                </c:pt>
              </c:strCache>
            </c:strRef>
          </c:tx>
          <c:spPr>
            <a:solidFill>
              <a:schemeClr val="accent1">
                <a:lumMod val="60000"/>
              </a:schemeClr>
            </a:solidFill>
            <a:ln>
              <a:noFill/>
            </a:ln>
            <a:effectLst/>
          </c:spPr>
          <c:invertIfNegative val="0"/>
          <c:val>
            <c:numRef>
              <c:f>Coding!$V$2:$V$133</c:f>
              <c:numCache>
                <c:formatCode>0</c:formatCode>
                <c:ptCount val="132"/>
                <c:pt idx="0">
                  <c:v>0</c:v>
                </c:pt>
                <c:pt idx="1">
                  <c:v>1</c:v>
                </c:pt>
                <c:pt idx="2">
                  <c:v>0</c:v>
                </c:pt>
                <c:pt idx="3">
                  <c:v>0</c:v>
                </c:pt>
                <c:pt idx="4">
                  <c:v>1</c:v>
                </c:pt>
                <c:pt idx="5">
                  <c:v>1</c:v>
                </c:pt>
                <c:pt idx="6">
                  <c:v>0</c:v>
                </c:pt>
                <c:pt idx="7">
                  <c:v>1</c:v>
                </c:pt>
                <c:pt idx="8">
                  <c:v>0</c:v>
                </c:pt>
                <c:pt idx="9">
                  <c:v>0</c:v>
                </c:pt>
                <c:pt idx="10">
                  <c:v>1</c:v>
                </c:pt>
                <c:pt idx="11">
                  <c:v>0</c:v>
                </c:pt>
                <c:pt idx="12">
                  <c:v>0</c:v>
                </c:pt>
                <c:pt idx="13">
                  <c:v>0</c:v>
                </c:pt>
                <c:pt idx="14">
                  <c:v>0</c:v>
                </c:pt>
                <c:pt idx="15">
                  <c:v>0</c:v>
                </c:pt>
                <c:pt idx="16">
                  <c:v>1</c:v>
                </c:pt>
                <c:pt idx="17">
                  <c:v>0</c:v>
                </c:pt>
                <c:pt idx="18">
                  <c:v>1</c:v>
                </c:pt>
                <c:pt idx="19">
                  <c:v>0</c:v>
                </c:pt>
                <c:pt idx="20">
                  <c:v>0</c:v>
                </c:pt>
                <c:pt idx="21">
                  <c:v>0</c:v>
                </c:pt>
                <c:pt idx="22">
                  <c:v>0</c:v>
                </c:pt>
                <c:pt idx="23">
                  <c:v>0</c:v>
                </c:pt>
                <c:pt idx="24">
                  <c:v>0</c:v>
                </c:pt>
                <c:pt idx="25">
                  <c:v>0</c:v>
                </c:pt>
                <c:pt idx="26">
                  <c:v>0</c:v>
                </c:pt>
                <c:pt idx="27">
                  <c:v>0</c:v>
                </c:pt>
                <c:pt idx="28">
                  <c:v>1</c:v>
                </c:pt>
                <c:pt idx="29">
                  <c:v>0</c:v>
                </c:pt>
                <c:pt idx="30">
                  <c:v>0</c:v>
                </c:pt>
                <c:pt idx="31">
                  <c:v>1</c:v>
                </c:pt>
                <c:pt idx="32">
                  <c:v>0</c:v>
                </c:pt>
                <c:pt idx="33">
                  <c:v>0</c:v>
                </c:pt>
                <c:pt idx="34">
                  <c:v>0</c:v>
                </c:pt>
                <c:pt idx="35">
                  <c:v>1</c:v>
                </c:pt>
                <c:pt idx="36">
                  <c:v>1</c:v>
                </c:pt>
                <c:pt idx="37">
                  <c:v>1</c:v>
                </c:pt>
                <c:pt idx="38">
                  <c:v>0</c:v>
                </c:pt>
                <c:pt idx="39">
                  <c:v>0</c:v>
                </c:pt>
                <c:pt idx="40">
                  <c:v>1</c:v>
                </c:pt>
                <c:pt idx="41">
                  <c:v>0</c:v>
                </c:pt>
                <c:pt idx="42">
                  <c:v>0</c:v>
                </c:pt>
                <c:pt idx="43">
                  <c:v>0</c:v>
                </c:pt>
                <c:pt idx="44">
                  <c:v>0</c:v>
                </c:pt>
                <c:pt idx="45">
                  <c:v>0</c:v>
                </c:pt>
                <c:pt idx="46">
                  <c:v>0</c:v>
                </c:pt>
                <c:pt idx="47">
                  <c:v>0</c:v>
                </c:pt>
                <c:pt idx="48">
                  <c:v>0</c:v>
                </c:pt>
                <c:pt idx="49">
                  <c:v>0</c:v>
                </c:pt>
                <c:pt idx="50">
                  <c:v>1</c:v>
                </c:pt>
                <c:pt idx="51">
                  <c:v>0</c:v>
                </c:pt>
                <c:pt idx="52">
                  <c:v>0</c:v>
                </c:pt>
                <c:pt idx="53">
                  <c:v>0</c:v>
                </c:pt>
                <c:pt idx="54">
                  <c:v>1</c:v>
                </c:pt>
                <c:pt idx="55">
                  <c:v>0</c:v>
                </c:pt>
                <c:pt idx="56">
                  <c:v>0</c:v>
                </c:pt>
                <c:pt idx="57">
                  <c:v>0</c:v>
                </c:pt>
                <c:pt idx="58">
                  <c:v>0</c:v>
                </c:pt>
                <c:pt idx="59">
                  <c:v>0</c:v>
                </c:pt>
                <c:pt idx="60">
                  <c:v>0</c:v>
                </c:pt>
                <c:pt idx="61">
                  <c:v>0</c:v>
                </c:pt>
                <c:pt idx="62">
                  <c:v>0</c:v>
                </c:pt>
                <c:pt idx="63">
                  <c:v>0</c:v>
                </c:pt>
                <c:pt idx="64">
                  <c:v>0</c:v>
                </c:pt>
                <c:pt idx="65">
                  <c:v>0</c:v>
                </c:pt>
                <c:pt idx="66">
                  <c:v>1</c:v>
                </c:pt>
                <c:pt idx="67">
                  <c:v>1</c:v>
                </c:pt>
                <c:pt idx="68">
                  <c:v>1</c:v>
                </c:pt>
                <c:pt idx="69">
                  <c:v>0</c:v>
                </c:pt>
                <c:pt idx="70">
                  <c:v>1</c:v>
                </c:pt>
                <c:pt idx="71">
                  <c:v>0</c:v>
                </c:pt>
                <c:pt idx="72">
                  <c:v>0</c:v>
                </c:pt>
                <c:pt idx="73">
                  <c:v>1</c:v>
                </c:pt>
                <c:pt idx="74">
                  <c:v>0</c:v>
                </c:pt>
                <c:pt idx="75">
                  <c:v>0</c:v>
                </c:pt>
                <c:pt idx="76">
                  <c:v>0</c:v>
                </c:pt>
                <c:pt idx="77">
                  <c:v>0</c:v>
                </c:pt>
                <c:pt idx="78">
                  <c:v>1</c:v>
                </c:pt>
                <c:pt idx="79">
                  <c:v>1</c:v>
                </c:pt>
                <c:pt idx="80">
                  <c:v>0</c:v>
                </c:pt>
                <c:pt idx="81">
                  <c:v>1</c:v>
                </c:pt>
                <c:pt idx="82">
                  <c:v>0</c:v>
                </c:pt>
                <c:pt idx="83">
                  <c:v>1</c:v>
                </c:pt>
                <c:pt idx="84">
                  <c:v>0</c:v>
                </c:pt>
                <c:pt idx="85">
                  <c:v>1</c:v>
                </c:pt>
                <c:pt idx="86">
                  <c:v>1</c:v>
                </c:pt>
                <c:pt idx="87">
                  <c:v>1</c:v>
                </c:pt>
                <c:pt idx="88">
                  <c:v>0</c:v>
                </c:pt>
                <c:pt idx="89">
                  <c:v>1</c:v>
                </c:pt>
                <c:pt idx="90">
                  <c:v>1</c:v>
                </c:pt>
                <c:pt idx="91">
                  <c:v>0</c:v>
                </c:pt>
                <c:pt idx="92">
                  <c:v>0</c:v>
                </c:pt>
                <c:pt idx="93">
                  <c:v>1</c:v>
                </c:pt>
                <c:pt idx="94">
                  <c:v>1</c:v>
                </c:pt>
                <c:pt idx="95">
                  <c:v>0</c:v>
                </c:pt>
                <c:pt idx="96">
                  <c:v>0</c:v>
                </c:pt>
                <c:pt idx="97">
                  <c:v>1</c:v>
                </c:pt>
                <c:pt idx="98">
                  <c:v>1</c:v>
                </c:pt>
                <c:pt idx="99">
                  <c:v>0</c:v>
                </c:pt>
                <c:pt idx="100">
                  <c:v>0</c:v>
                </c:pt>
                <c:pt idx="101">
                  <c:v>0</c:v>
                </c:pt>
                <c:pt idx="102">
                  <c:v>1</c:v>
                </c:pt>
                <c:pt idx="103">
                  <c:v>0</c:v>
                </c:pt>
                <c:pt idx="104">
                  <c:v>0</c:v>
                </c:pt>
                <c:pt idx="105">
                  <c:v>0</c:v>
                </c:pt>
                <c:pt idx="106">
                  <c:v>0</c:v>
                </c:pt>
                <c:pt idx="107">
                  <c:v>1</c:v>
                </c:pt>
                <c:pt idx="108">
                  <c:v>1</c:v>
                </c:pt>
                <c:pt idx="109">
                  <c:v>1</c:v>
                </c:pt>
                <c:pt idx="110">
                  <c:v>1</c:v>
                </c:pt>
                <c:pt idx="111">
                  <c:v>1</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1</c:v>
                </c:pt>
                <c:pt idx="128">
                  <c:v>0</c:v>
                </c:pt>
                <c:pt idx="129">
                  <c:v>0</c:v>
                </c:pt>
                <c:pt idx="130">
                  <c:v>0</c:v>
                </c:pt>
                <c:pt idx="131">
                  <c:v>0</c:v>
                </c:pt>
              </c:numCache>
            </c:numRef>
          </c:val>
          <c:extLst>
            <c:ext xmlns:c16="http://schemas.microsoft.com/office/drawing/2014/chart" uri="{C3380CC4-5D6E-409C-BE32-E72D297353CC}">
              <c16:uniqueId val="{00000006-3CC8-41FD-8673-A7CFD74A4F68}"/>
            </c:ext>
          </c:extLst>
        </c:ser>
        <c:ser>
          <c:idx val="7"/>
          <c:order val="7"/>
          <c:tx>
            <c:strRef>
              <c:f>Coding!$W$1</c:f>
              <c:strCache>
                <c:ptCount val="1"/>
                <c:pt idx="0">
                  <c:v>Deliberation</c:v>
                </c:pt>
              </c:strCache>
            </c:strRef>
          </c:tx>
          <c:spPr>
            <a:solidFill>
              <a:schemeClr val="accent2">
                <a:lumMod val="60000"/>
              </a:schemeClr>
            </a:solidFill>
            <a:ln>
              <a:noFill/>
            </a:ln>
            <a:effectLst/>
          </c:spPr>
          <c:invertIfNegative val="0"/>
          <c:val>
            <c:numRef>
              <c:f>Coding!$W$2:$W$133</c:f>
              <c:numCache>
                <c:formatCode>0</c:formatCode>
                <c:ptCount val="132"/>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pt idx="15">
                  <c:v>1</c:v>
                </c:pt>
                <c:pt idx="16">
                  <c:v>0</c:v>
                </c:pt>
                <c:pt idx="17">
                  <c:v>1</c:v>
                </c:pt>
                <c:pt idx="18">
                  <c:v>0</c:v>
                </c:pt>
                <c:pt idx="19">
                  <c:v>0</c:v>
                </c:pt>
                <c:pt idx="20">
                  <c:v>0</c:v>
                </c:pt>
                <c:pt idx="21">
                  <c:v>0</c:v>
                </c:pt>
                <c:pt idx="22">
                  <c:v>0</c:v>
                </c:pt>
                <c:pt idx="23">
                  <c:v>0</c:v>
                </c:pt>
                <c:pt idx="24">
                  <c:v>0</c:v>
                </c:pt>
                <c:pt idx="25">
                  <c:v>0</c:v>
                </c:pt>
                <c:pt idx="26">
                  <c:v>0</c:v>
                </c:pt>
                <c:pt idx="27">
                  <c:v>1</c:v>
                </c:pt>
                <c:pt idx="28">
                  <c:v>0</c:v>
                </c:pt>
                <c:pt idx="29">
                  <c:v>0</c:v>
                </c:pt>
                <c:pt idx="30">
                  <c:v>1</c:v>
                </c:pt>
                <c:pt idx="31">
                  <c:v>0</c:v>
                </c:pt>
                <c:pt idx="32">
                  <c:v>0</c:v>
                </c:pt>
                <c:pt idx="33">
                  <c:v>0</c:v>
                </c:pt>
                <c:pt idx="34">
                  <c:v>0</c:v>
                </c:pt>
                <c:pt idx="35">
                  <c:v>0</c:v>
                </c:pt>
                <c:pt idx="36">
                  <c:v>0</c:v>
                </c:pt>
                <c:pt idx="37">
                  <c:v>0</c:v>
                </c:pt>
                <c:pt idx="38">
                  <c:v>0</c:v>
                </c:pt>
                <c:pt idx="39">
                  <c:v>0</c:v>
                </c:pt>
                <c:pt idx="40">
                  <c:v>0</c:v>
                </c:pt>
                <c:pt idx="41">
                  <c:v>1</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1</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1</c:v>
                </c:pt>
              </c:numCache>
            </c:numRef>
          </c:val>
          <c:extLst>
            <c:ext xmlns:c16="http://schemas.microsoft.com/office/drawing/2014/chart" uri="{C3380CC4-5D6E-409C-BE32-E72D297353CC}">
              <c16:uniqueId val="{00000007-3CC8-41FD-8673-A7CFD74A4F68}"/>
            </c:ext>
          </c:extLst>
        </c:ser>
        <c:dLbls>
          <c:showLegendKey val="0"/>
          <c:showVal val="0"/>
          <c:showCatName val="0"/>
          <c:showSerName val="0"/>
          <c:showPercent val="0"/>
          <c:showBubbleSize val="0"/>
        </c:dLbls>
        <c:gapWidth val="150"/>
        <c:overlap val="100"/>
        <c:axId val="5906239"/>
        <c:axId val="1731411504"/>
      </c:barChart>
      <c:catAx>
        <c:axId val="590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Prompt (human turn) number</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31411504"/>
        <c:crosses val="autoZero"/>
        <c:auto val="1"/>
        <c:lblAlgn val="ctr"/>
        <c:lblOffset val="100"/>
        <c:tickLblSkip val="10"/>
        <c:noMultiLvlLbl val="0"/>
      </c:catAx>
      <c:valAx>
        <c:axId val="1731411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Number of interaction types coded</a:t>
                </a:r>
                <a:endParaRPr lang="en-GB"/>
              </a:p>
            </c:rich>
          </c:tx>
          <c:layout>
            <c:manualLayout>
              <c:xMode val="edge"/>
              <c:yMode val="edge"/>
              <c:x val="1.4010991334637022E-2"/>
              <c:y val="0.223881146368361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9062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Coding!$Y$1</c:f>
              <c:strCache>
                <c:ptCount val="1"/>
                <c:pt idx="0">
                  <c:v>Subject-matter correction</c:v>
                </c:pt>
              </c:strCache>
            </c:strRef>
          </c:tx>
          <c:spPr>
            <a:solidFill>
              <a:schemeClr val="accent1"/>
            </a:solidFill>
            <a:ln>
              <a:noFill/>
            </a:ln>
            <a:effectLst/>
          </c:spPr>
          <c:invertIfNegative val="0"/>
          <c:val>
            <c:numRef>
              <c:f>Coding!$Y$2:$Y$133</c:f>
              <c:numCache>
                <c:formatCode>0</c:formatCode>
                <c:ptCount val="1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1</c:v>
                </c:pt>
                <c:pt idx="49">
                  <c:v>1</c:v>
                </c:pt>
                <c:pt idx="50">
                  <c:v>0</c:v>
                </c:pt>
                <c:pt idx="51">
                  <c:v>1</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1</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numCache>
            </c:numRef>
          </c:val>
          <c:extLst>
            <c:ext xmlns:c16="http://schemas.microsoft.com/office/drawing/2014/chart" uri="{C3380CC4-5D6E-409C-BE32-E72D297353CC}">
              <c16:uniqueId val="{00000000-1CD7-4789-9F07-FDFA9EEDDCA6}"/>
            </c:ext>
          </c:extLst>
        </c:ser>
        <c:ser>
          <c:idx val="1"/>
          <c:order val="1"/>
          <c:tx>
            <c:strRef>
              <c:f>Coding!$Z$1</c:f>
              <c:strCache>
                <c:ptCount val="1"/>
                <c:pt idx="0">
                  <c:v>Conceptual differentiation</c:v>
                </c:pt>
              </c:strCache>
            </c:strRef>
          </c:tx>
          <c:spPr>
            <a:solidFill>
              <a:schemeClr val="accent2"/>
            </a:solidFill>
            <a:ln>
              <a:noFill/>
            </a:ln>
            <a:effectLst/>
          </c:spPr>
          <c:invertIfNegative val="0"/>
          <c:val>
            <c:numRef>
              <c:f>Coding!$Z$2:$Z$133</c:f>
              <c:numCache>
                <c:formatCode>0</c:formatCode>
                <c:ptCount val="132"/>
                <c:pt idx="0">
                  <c:v>0</c:v>
                </c:pt>
                <c:pt idx="1">
                  <c:v>0</c:v>
                </c:pt>
                <c:pt idx="2">
                  <c:v>0</c:v>
                </c:pt>
                <c:pt idx="3">
                  <c:v>0</c:v>
                </c:pt>
                <c:pt idx="4">
                  <c:v>0</c:v>
                </c:pt>
                <c:pt idx="5">
                  <c:v>0</c:v>
                </c:pt>
                <c:pt idx="6">
                  <c:v>0</c:v>
                </c:pt>
                <c:pt idx="7">
                  <c:v>0</c:v>
                </c:pt>
                <c:pt idx="8">
                  <c:v>0</c:v>
                </c:pt>
                <c:pt idx="9">
                  <c:v>1</c:v>
                </c:pt>
                <c:pt idx="10">
                  <c:v>0</c:v>
                </c:pt>
                <c:pt idx="11">
                  <c:v>1</c:v>
                </c:pt>
                <c:pt idx="12">
                  <c:v>0</c:v>
                </c:pt>
                <c:pt idx="13">
                  <c:v>0</c:v>
                </c:pt>
                <c:pt idx="14">
                  <c:v>0</c:v>
                </c:pt>
                <c:pt idx="15">
                  <c:v>1</c:v>
                </c:pt>
                <c:pt idx="16">
                  <c:v>0</c:v>
                </c:pt>
                <c:pt idx="17">
                  <c:v>1</c:v>
                </c:pt>
                <c:pt idx="18">
                  <c:v>1</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c:v>
                </c:pt>
                <c:pt idx="70">
                  <c:v>0</c:v>
                </c:pt>
                <c:pt idx="71">
                  <c:v>1</c:v>
                </c:pt>
                <c:pt idx="72">
                  <c:v>0</c:v>
                </c:pt>
                <c:pt idx="73">
                  <c:v>0</c:v>
                </c:pt>
                <c:pt idx="74">
                  <c:v>0</c:v>
                </c:pt>
                <c:pt idx="75">
                  <c:v>0</c:v>
                </c:pt>
                <c:pt idx="76">
                  <c:v>0</c:v>
                </c:pt>
                <c:pt idx="77">
                  <c:v>0</c:v>
                </c:pt>
                <c:pt idx="78">
                  <c:v>1</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1</c:v>
                </c:pt>
                <c:pt idx="96">
                  <c:v>0</c:v>
                </c:pt>
                <c:pt idx="97">
                  <c:v>0</c:v>
                </c:pt>
                <c:pt idx="98">
                  <c:v>0</c:v>
                </c:pt>
                <c:pt idx="99">
                  <c:v>0</c:v>
                </c:pt>
                <c:pt idx="100">
                  <c:v>0</c:v>
                </c:pt>
                <c:pt idx="101">
                  <c:v>1</c:v>
                </c:pt>
                <c:pt idx="102">
                  <c:v>0</c:v>
                </c:pt>
                <c:pt idx="103">
                  <c:v>0</c:v>
                </c:pt>
                <c:pt idx="104">
                  <c:v>0</c:v>
                </c:pt>
                <c:pt idx="105">
                  <c:v>0</c:v>
                </c:pt>
                <c:pt idx="106">
                  <c:v>1</c:v>
                </c:pt>
                <c:pt idx="107">
                  <c:v>0</c:v>
                </c:pt>
                <c:pt idx="108">
                  <c:v>0</c:v>
                </c:pt>
                <c:pt idx="109">
                  <c:v>0</c:v>
                </c:pt>
                <c:pt idx="110">
                  <c:v>0</c:v>
                </c:pt>
                <c:pt idx="111">
                  <c:v>0</c:v>
                </c:pt>
                <c:pt idx="112">
                  <c:v>1</c:v>
                </c:pt>
                <c:pt idx="113">
                  <c:v>1</c:v>
                </c:pt>
                <c:pt idx="114">
                  <c:v>0</c:v>
                </c:pt>
                <c:pt idx="115">
                  <c:v>0</c:v>
                </c:pt>
                <c:pt idx="116">
                  <c:v>0</c:v>
                </c:pt>
                <c:pt idx="117">
                  <c:v>0</c:v>
                </c:pt>
                <c:pt idx="118">
                  <c:v>0</c:v>
                </c:pt>
                <c:pt idx="119">
                  <c:v>0</c:v>
                </c:pt>
                <c:pt idx="120">
                  <c:v>0</c:v>
                </c:pt>
                <c:pt idx="121">
                  <c:v>1</c:v>
                </c:pt>
                <c:pt idx="122">
                  <c:v>0</c:v>
                </c:pt>
                <c:pt idx="123">
                  <c:v>0</c:v>
                </c:pt>
                <c:pt idx="124">
                  <c:v>1</c:v>
                </c:pt>
                <c:pt idx="125">
                  <c:v>0</c:v>
                </c:pt>
                <c:pt idx="126">
                  <c:v>0</c:v>
                </c:pt>
                <c:pt idx="127">
                  <c:v>0</c:v>
                </c:pt>
                <c:pt idx="128">
                  <c:v>0</c:v>
                </c:pt>
                <c:pt idx="129">
                  <c:v>0</c:v>
                </c:pt>
                <c:pt idx="130">
                  <c:v>0</c:v>
                </c:pt>
                <c:pt idx="131">
                  <c:v>0</c:v>
                </c:pt>
              </c:numCache>
            </c:numRef>
          </c:val>
          <c:extLst>
            <c:ext xmlns:c16="http://schemas.microsoft.com/office/drawing/2014/chart" uri="{C3380CC4-5D6E-409C-BE32-E72D297353CC}">
              <c16:uniqueId val="{00000001-1CD7-4789-9F07-FDFA9EEDDCA6}"/>
            </c:ext>
          </c:extLst>
        </c:ser>
        <c:ser>
          <c:idx val="2"/>
          <c:order val="2"/>
          <c:tx>
            <c:strRef>
              <c:f>Coding!$AA$1</c:f>
              <c:strCache>
                <c:ptCount val="1"/>
                <c:pt idx="0">
                  <c:v>Evidence judgment</c:v>
                </c:pt>
              </c:strCache>
            </c:strRef>
          </c:tx>
          <c:spPr>
            <a:solidFill>
              <a:schemeClr val="accent3"/>
            </a:solidFill>
            <a:ln>
              <a:noFill/>
            </a:ln>
            <a:effectLst/>
          </c:spPr>
          <c:invertIfNegative val="0"/>
          <c:val>
            <c:numRef>
              <c:f>Coding!$AA$2:$AA$133</c:f>
              <c:numCache>
                <c:formatCode>0</c:formatCode>
                <c:ptCount val="1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1</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1</c:v>
                </c:pt>
                <c:pt idx="50">
                  <c:v>0</c:v>
                </c:pt>
                <c:pt idx="51">
                  <c:v>0</c:v>
                </c:pt>
                <c:pt idx="52">
                  <c:v>0</c:v>
                </c:pt>
                <c:pt idx="53">
                  <c:v>0</c:v>
                </c:pt>
                <c:pt idx="54">
                  <c:v>1</c:v>
                </c:pt>
                <c:pt idx="55">
                  <c:v>0</c:v>
                </c:pt>
                <c:pt idx="56">
                  <c:v>0</c:v>
                </c:pt>
                <c:pt idx="57">
                  <c:v>0</c:v>
                </c:pt>
                <c:pt idx="58">
                  <c:v>0</c:v>
                </c:pt>
                <c:pt idx="59">
                  <c:v>0</c:v>
                </c:pt>
                <c:pt idx="60">
                  <c:v>0</c:v>
                </c:pt>
                <c:pt idx="61">
                  <c:v>1</c:v>
                </c:pt>
                <c:pt idx="62">
                  <c:v>1</c:v>
                </c:pt>
                <c:pt idx="63">
                  <c:v>0</c:v>
                </c:pt>
                <c:pt idx="64">
                  <c:v>0</c:v>
                </c:pt>
                <c:pt idx="65">
                  <c:v>1</c:v>
                </c:pt>
                <c:pt idx="66">
                  <c:v>0</c:v>
                </c:pt>
                <c:pt idx="67">
                  <c:v>0</c:v>
                </c:pt>
                <c:pt idx="68">
                  <c:v>0</c:v>
                </c:pt>
                <c:pt idx="69">
                  <c:v>1</c:v>
                </c:pt>
                <c:pt idx="70">
                  <c:v>1</c:v>
                </c:pt>
                <c:pt idx="71">
                  <c:v>1</c:v>
                </c:pt>
                <c:pt idx="72">
                  <c:v>1</c:v>
                </c:pt>
                <c:pt idx="73">
                  <c:v>0</c:v>
                </c:pt>
                <c:pt idx="74">
                  <c:v>1</c:v>
                </c:pt>
                <c:pt idx="75">
                  <c:v>1</c:v>
                </c:pt>
                <c:pt idx="76">
                  <c:v>1</c:v>
                </c:pt>
                <c:pt idx="77">
                  <c:v>0</c:v>
                </c:pt>
                <c:pt idx="78">
                  <c:v>1</c:v>
                </c:pt>
                <c:pt idx="79">
                  <c:v>0</c:v>
                </c:pt>
                <c:pt idx="80">
                  <c:v>0</c:v>
                </c:pt>
                <c:pt idx="81">
                  <c:v>0</c:v>
                </c:pt>
                <c:pt idx="82">
                  <c:v>0</c:v>
                </c:pt>
                <c:pt idx="83">
                  <c:v>0</c:v>
                </c:pt>
                <c:pt idx="84">
                  <c:v>1</c:v>
                </c:pt>
                <c:pt idx="85">
                  <c:v>0</c:v>
                </c:pt>
                <c:pt idx="86">
                  <c:v>0</c:v>
                </c:pt>
                <c:pt idx="87">
                  <c:v>0</c:v>
                </c:pt>
                <c:pt idx="88">
                  <c:v>1</c:v>
                </c:pt>
                <c:pt idx="89">
                  <c:v>1</c:v>
                </c:pt>
                <c:pt idx="90">
                  <c:v>1</c:v>
                </c:pt>
                <c:pt idx="91">
                  <c:v>0</c:v>
                </c:pt>
                <c:pt idx="92">
                  <c:v>0</c:v>
                </c:pt>
                <c:pt idx="93">
                  <c:v>0</c:v>
                </c:pt>
                <c:pt idx="94">
                  <c:v>0</c:v>
                </c:pt>
                <c:pt idx="95">
                  <c:v>0</c:v>
                </c:pt>
                <c:pt idx="96">
                  <c:v>0</c:v>
                </c:pt>
                <c:pt idx="97">
                  <c:v>0</c:v>
                </c:pt>
                <c:pt idx="98">
                  <c:v>0</c:v>
                </c:pt>
                <c:pt idx="99">
                  <c:v>0</c:v>
                </c:pt>
                <c:pt idx="100">
                  <c:v>0</c:v>
                </c:pt>
                <c:pt idx="101">
                  <c:v>0</c:v>
                </c:pt>
                <c:pt idx="102">
                  <c:v>0</c:v>
                </c:pt>
                <c:pt idx="103">
                  <c:v>1</c:v>
                </c:pt>
                <c:pt idx="104">
                  <c:v>1</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1</c:v>
                </c:pt>
                <c:pt idx="122">
                  <c:v>0</c:v>
                </c:pt>
                <c:pt idx="123">
                  <c:v>0</c:v>
                </c:pt>
                <c:pt idx="124">
                  <c:v>1</c:v>
                </c:pt>
                <c:pt idx="125">
                  <c:v>0</c:v>
                </c:pt>
                <c:pt idx="126">
                  <c:v>1</c:v>
                </c:pt>
                <c:pt idx="127">
                  <c:v>0</c:v>
                </c:pt>
                <c:pt idx="128">
                  <c:v>0</c:v>
                </c:pt>
                <c:pt idx="129">
                  <c:v>0</c:v>
                </c:pt>
                <c:pt idx="130">
                  <c:v>0</c:v>
                </c:pt>
                <c:pt idx="131">
                  <c:v>0</c:v>
                </c:pt>
              </c:numCache>
            </c:numRef>
          </c:val>
          <c:extLst>
            <c:ext xmlns:c16="http://schemas.microsoft.com/office/drawing/2014/chart" uri="{C3380CC4-5D6E-409C-BE32-E72D297353CC}">
              <c16:uniqueId val="{00000002-1CD7-4789-9F07-FDFA9EEDDCA6}"/>
            </c:ext>
          </c:extLst>
        </c:ser>
        <c:ser>
          <c:idx val="3"/>
          <c:order val="3"/>
          <c:tx>
            <c:strRef>
              <c:f>Coding!$AB$1</c:f>
              <c:strCache>
                <c:ptCount val="1"/>
                <c:pt idx="0">
                  <c:v>Methodological judgment</c:v>
                </c:pt>
              </c:strCache>
            </c:strRef>
          </c:tx>
          <c:spPr>
            <a:solidFill>
              <a:schemeClr val="accent4"/>
            </a:solidFill>
            <a:ln>
              <a:noFill/>
            </a:ln>
            <a:effectLst/>
          </c:spPr>
          <c:invertIfNegative val="0"/>
          <c:val>
            <c:numRef>
              <c:f>Coding!$AB$2:$AB$133</c:f>
              <c:numCache>
                <c:formatCode>0</c:formatCode>
                <c:ptCount val="132"/>
                <c:pt idx="0">
                  <c:v>0</c:v>
                </c:pt>
                <c:pt idx="1">
                  <c:v>0</c:v>
                </c:pt>
                <c:pt idx="2">
                  <c:v>1</c:v>
                </c:pt>
                <c:pt idx="3">
                  <c:v>1</c:v>
                </c:pt>
                <c:pt idx="4">
                  <c:v>1</c:v>
                </c:pt>
                <c:pt idx="5">
                  <c:v>0</c:v>
                </c:pt>
                <c:pt idx="6">
                  <c:v>0</c:v>
                </c:pt>
                <c:pt idx="7">
                  <c:v>0</c:v>
                </c:pt>
                <c:pt idx="8">
                  <c:v>0</c:v>
                </c:pt>
                <c:pt idx="9">
                  <c:v>0</c:v>
                </c:pt>
                <c:pt idx="10">
                  <c:v>1</c:v>
                </c:pt>
                <c:pt idx="11">
                  <c:v>0</c:v>
                </c:pt>
                <c:pt idx="12">
                  <c:v>1</c:v>
                </c:pt>
                <c:pt idx="13">
                  <c:v>0</c:v>
                </c:pt>
                <c:pt idx="14">
                  <c:v>0</c:v>
                </c:pt>
                <c:pt idx="15">
                  <c:v>0</c:v>
                </c:pt>
                <c:pt idx="16">
                  <c:v>0</c:v>
                </c:pt>
                <c:pt idx="17">
                  <c:v>0</c:v>
                </c:pt>
                <c:pt idx="18">
                  <c:v>1</c:v>
                </c:pt>
                <c:pt idx="19">
                  <c:v>0</c:v>
                </c:pt>
                <c:pt idx="20">
                  <c:v>1</c:v>
                </c:pt>
                <c:pt idx="21">
                  <c:v>1</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1</c:v>
                </c:pt>
                <c:pt idx="42">
                  <c:v>1</c:v>
                </c:pt>
                <c:pt idx="43">
                  <c:v>0</c:v>
                </c:pt>
                <c:pt idx="44">
                  <c:v>0</c:v>
                </c:pt>
                <c:pt idx="45">
                  <c:v>0</c:v>
                </c:pt>
                <c:pt idx="46">
                  <c:v>0</c:v>
                </c:pt>
                <c:pt idx="47">
                  <c:v>0</c:v>
                </c:pt>
                <c:pt idx="48">
                  <c:v>0</c:v>
                </c:pt>
                <c:pt idx="49">
                  <c:v>0</c:v>
                </c:pt>
                <c:pt idx="50">
                  <c:v>0</c:v>
                </c:pt>
                <c:pt idx="51">
                  <c:v>0</c:v>
                </c:pt>
                <c:pt idx="52">
                  <c:v>0</c:v>
                </c:pt>
                <c:pt idx="53">
                  <c:v>1</c:v>
                </c:pt>
                <c:pt idx="54">
                  <c:v>1</c:v>
                </c:pt>
                <c:pt idx="55">
                  <c:v>0</c:v>
                </c:pt>
                <c:pt idx="56">
                  <c:v>0</c:v>
                </c:pt>
                <c:pt idx="57">
                  <c:v>0</c:v>
                </c:pt>
                <c:pt idx="58">
                  <c:v>0</c:v>
                </c:pt>
                <c:pt idx="59">
                  <c:v>0</c:v>
                </c:pt>
                <c:pt idx="60">
                  <c:v>0</c:v>
                </c:pt>
                <c:pt idx="61">
                  <c:v>1</c:v>
                </c:pt>
                <c:pt idx="62">
                  <c:v>1</c:v>
                </c:pt>
                <c:pt idx="63">
                  <c:v>0</c:v>
                </c:pt>
                <c:pt idx="64">
                  <c:v>1</c:v>
                </c:pt>
                <c:pt idx="65">
                  <c:v>1</c:v>
                </c:pt>
                <c:pt idx="66">
                  <c:v>0</c:v>
                </c:pt>
                <c:pt idx="67">
                  <c:v>0</c:v>
                </c:pt>
                <c:pt idx="68">
                  <c:v>1</c:v>
                </c:pt>
                <c:pt idx="69">
                  <c:v>1</c:v>
                </c:pt>
                <c:pt idx="70">
                  <c:v>1</c:v>
                </c:pt>
                <c:pt idx="71">
                  <c:v>1</c:v>
                </c:pt>
                <c:pt idx="72">
                  <c:v>1</c:v>
                </c:pt>
                <c:pt idx="73">
                  <c:v>0</c:v>
                </c:pt>
                <c:pt idx="74">
                  <c:v>1</c:v>
                </c:pt>
                <c:pt idx="75">
                  <c:v>1</c:v>
                </c:pt>
                <c:pt idx="76">
                  <c:v>1</c:v>
                </c:pt>
                <c:pt idx="77">
                  <c:v>0</c:v>
                </c:pt>
                <c:pt idx="78">
                  <c:v>1</c:v>
                </c:pt>
                <c:pt idx="79">
                  <c:v>0</c:v>
                </c:pt>
                <c:pt idx="80">
                  <c:v>0</c:v>
                </c:pt>
                <c:pt idx="81">
                  <c:v>0</c:v>
                </c:pt>
                <c:pt idx="82">
                  <c:v>0</c:v>
                </c:pt>
                <c:pt idx="83">
                  <c:v>0</c:v>
                </c:pt>
                <c:pt idx="84">
                  <c:v>1</c:v>
                </c:pt>
                <c:pt idx="85">
                  <c:v>0</c:v>
                </c:pt>
                <c:pt idx="86">
                  <c:v>0</c:v>
                </c:pt>
                <c:pt idx="87">
                  <c:v>0</c:v>
                </c:pt>
                <c:pt idx="88">
                  <c:v>0</c:v>
                </c:pt>
                <c:pt idx="89">
                  <c:v>1</c:v>
                </c:pt>
                <c:pt idx="90">
                  <c:v>1</c:v>
                </c:pt>
                <c:pt idx="91">
                  <c:v>0</c:v>
                </c:pt>
                <c:pt idx="92">
                  <c:v>0</c:v>
                </c:pt>
                <c:pt idx="93">
                  <c:v>0</c:v>
                </c:pt>
                <c:pt idx="94">
                  <c:v>0</c:v>
                </c:pt>
                <c:pt idx="95">
                  <c:v>0</c:v>
                </c:pt>
                <c:pt idx="96">
                  <c:v>1</c:v>
                </c:pt>
                <c:pt idx="97">
                  <c:v>0</c:v>
                </c:pt>
                <c:pt idx="98">
                  <c:v>0</c:v>
                </c:pt>
                <c:pt idx="99">
                  <c:v>0</c:v>
                </c:pt>
                <c:pt idx="100">
                  <c:v>0</c:v>
                </c:pt>
                <c:pt idx="101">
                  <c:v>1</c:v>
                </c:pt>
                <c:pt idx="102">
                  <c:v>0</c:v>
                </c:pt>
                <c:pt idx="103">
                  <c:v>1</c:v>
                </c:pt>
                <c:pt idx="104">
                  <c:v>0</c:v>
                </c:pt>
                <c:pt idx="105">
                  <c:v>0</c:v>
                </c:pt>
                <c:pt idx="106">
                  <c:v>1</c:v>
                </c:pt>
                <c:pt idx="107">
                  <c:v>0</c:v>
                </c:pt>
                <c:pt idx="108">
                  <c:v>0</c:v>
                </c:pt>
                <c:pt idx="109">
                  <c:v>0</c:v>
                </c:pt>
                <c:pt idx="110">
                  <c:v>0</c:v>
                </c:pt>
                <c:pt idx="111">
                  <c:v>0</c:v>
                </c:pt>
                <c:pt idx="112">
                  <c:v>0</c:v>
                </c:pt>
                <c:pt idx="113">
                  <c:v>0</c:v>
                </c:pt>
                <c:pt idx="114">
                  <c:v>0</c:v>
                </c:pt>
                <c:pt idx="115">
                  <c:v>0</c:v>
                </c:pt>
                <c:pt idx="116">
                  <c:v>0</c:v>
                </c:pt>
                <c:pt idx="117">
                  <c:v>1</c:v>
                </c:pt>
                <c:pt idx="118">
                  <c:v>1</c:v>
                </c:pt>
                <c:pt idx="119">
                  <c:v>0</c:v>
                </c:pt>
                <c:pt idx="120">
                  <c:v>0</c:v>
                </c:pt>
                <c:pt idx="121">
                  <c:v>1</c:v>
                </c:pt>
                <c:pt idx="122">
                  <c:v>0</c:v>
                </c:pt>
                <c:pt idx="123">
                  <c:v>0</c:v>
                </c:pt>
                <c:pt idx="124">
                  <c:v>0</c:v>
                </c:pt>
                <c:pt idx="125">
                  <c:v>0</c:v>
                </c:pt>
                <c:pt idx="126">
                  <c:v>1</c:v>
                </c:pt>
                <c:pt idx="127">
                  <c:v>0</c:v>
                </c:pt>
                <c:pt idx="128">
                  <c:v>1</c:v>
                </c:pt>
                <c:pt idx="129">
                  <c:v>1</c:v>
                </c:pt>
                <c:pt idx="130">
                  <c:v>0</c:v>
                </c:pt>
                <c:pt idx="131">
                  <c:v>1</c:v>
                </c:pt>
              </c:numCache>
            </c:numRef>
          </c:val>
          <c:extLst>
            <c:ext xmlns:c16="http://schemas.microsoft.com/office/drawing/2014/chart" uri="{C3380CC4-5D6E-409C-BE32-E72D297353CC}">
              <c16:uniqueId val="{00000003-1CD7-4789-9F07-FDFA9EEDDCA6}"/>
            </c:ext>
          </c:extLst>
        </c:ser>
        <c:ser>
          <c:idx val="4"/>
          <c:order val="4"/>
          <c:tx>
            <c:strRef>
              <c:f>Coding!$AC$1</c:f>
              <c:strCache>
                <c:ptCount val="1"/>
                <c:pt idx="0">
                  <c:v>Argumentative judgment</c:v>
                </c:pt>
              </c:strCache>
            </c:strRef>
          </c:tx>
          <c:spPr>
            <a:solidFill>
              <a:schemeClr val="accent5"/>
            </a:solidFill>
            <a:ln>
              <a:noFill/>
            </a:ln>
            <a:effectLst/>
          </c:spPr>
          <c:invertIfNegative val="0"/>
          <c:val>
            <c:numRef>
              <c:f>Coding!$AC$2:$AC$133</c:f>
              <c:numCache>
                <c:formatCode>0</c:formatCode>
                <c:ptCount val="132"/>
                <c:pt idx="0">
                  <c:v>0</c:v>
                </c:pt>
                <c:pt idx="1">
                  <c:v>1</c:v>
                </c:pt>
                <c:pt idx="2">
                  <c:v>1</c:v>
                </c:pt>
                <c:pt idx="3">
                  <c:v>0</c:v>
                </c:pt>
                <c:pt idx="4">
                  <c:v>0</c:v>
                </c:pt>
                <c:pt idx="5">
                  <c:v>0</c:v>
                </c:pt>
                <c:pt idx="6">
                  <c:v>0</c:v>
                </c:pt>
                <c:pt idx="7">
                  <c:v>0</c:v>
                </c:pt>
                <c:pt idx="8">
                  <c:v>0</c:v>
                </c:pt>
                <c:pt idx="9">
                  <c:v>0</c:v>
                </c:pt>
                <c:pt idx="10">
                  <c:v>0</c:v>
                </c:pt>
                <c:pt idx="11">
                  <c:v>0</c:v>
                </c:pt>
                <c:pt idx="12">
                  <c:v>0</c:v>
                </c:pt>
                <c:pt idx="13">
                  <c:v>0</c:v>
                </c:pt>
                <c:pt idx="14">
                  <c:v>0</c:v>
                </c:pt>
                <c:pt idx="15">
                  <c:v>1</c:v>
                </c:pt>
                <c:pt idx="16">
                  <c:v>0</c:v>
                </c:pt>
                <c:pt idx="17">
                  <c:v>1</c:v>
                </c:pt>
                <c:pt idx="18">
                  <c:v>0</c:v>
                </c:pt>
                <c:pt idx="19">
                  <c:v>1</c:v>
                </c:pt>
                <c:pt idx="20">
                  <c:v>0</c:v>
                </c:pt>
                <c:pt idx="21">
                  <c:v>0</c:v>
                </c:pt>
                <c:pt idx="22">
                  <c:v>1</c:v>
                </c:pt>
                <c:pt idx="23">
                  <c:v>0</c:v>
                </c:pt>
                <c:pt idx="24">
                  <c:v>1</c:v>
                </c:pt>
                <c:pt idx="25">
                  <c:v>0</c:v>
                </c:pt>
                <c:pt idx="26">
                  <c:v>1</c:v>
                </c:pt>
                <c:pt idx="27">
                  <c:v>1</c:v>
                </c:pt>
                <c:pt idx="28">
                  <c:v>1</c:v>
                </c:pt>
                <c:pt idx="29">
                  <c:v>0</c:v>
                </c:pt>
                <c:pt idx="30">
                  <c:v>1</c:v>
                </c:pt>
                <c:pt idx="31">
                  <c:v>0</c:v>
                </c:pt>
                <c:pt idx="32">
                  <c:v>1</c:v>
                </c:pt>
                <c:pt idx="33">
                  <c:v>0</c:v>
                </c:pt>
                <c:pt idx="34">
                  <c:v>0</c:v>
                </c:pt>
                <c:pt idx="35">
                  <c:v>0</c:v>
                </c:pt>
                <c:pt idx="36">
                  <c:v>0</c:v>
                </c:pt>
                <c:pt idx="37">
                  <c:v>0</c:v>
                </c:pt>
                <c:pt idx="38">
                  <c:v>0</c:v>
                </c:pt>
                <c:pt idx="39">
                  <c:v>1</c:v>
                </c:pt>
                <c:pt idx="40">
                  <c:v>1</c:v>
                </c:pt>
                <c:pt idx="41">
                  <c:v>0</c:v>
                </c:pt>
                <c:pt idx="42">
                  <c:v>0</c:v>
                </c:pt>
                <c:pt idx="43">
                  <c:v>1</c:v>
                </c:pt>
                <c:pt idx="44">
                  <c:v>1</c:v>
                </c:pt>
                <c:pt idx="45">
                  <c:v>0</c:v>
                </c:pt>
                <c:pt idx="46">
                  <c:v>0</c:v>
                </c:pt>
                <c:pt idx="47">
                  <c:v>0</c:v>
                </c:pt>
                <c:pt idx="48">
                  <c:v>1</c:v>
                </c:pt>
                <c:pt idx="49">
                  <c:v>1</c:v>
                </c:pt>
                <c:pt idx="50">
                  <c:v>0</c:v>
                </c:pt>
                <c:pt idx="51">
                  <c:v>1</c:v>
                </c:pt>
                <c:pt idx="52">
                  <c:v>1</c:v>
                </c:pt>
                <c:pt idx="53">
                  <c:v>0</c:v>
                </c:pt>
                <c:pt idx="54">
                  <c:v>0</c:v>
                </c:pt>
                <c:pt idx="55">
                  <c:v>0</c:v>
                </c:pt>
                <c:pt idx="56">
                  <c:v>1</c:v>
                </c:pt>
                <c:pt idx="57">
                  <c:v>1</c:v>
                </c:pt>
                <c:pt idx="58">
                  <c:v>1</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1</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1</c:v>
                </c:pt>
                <c:pt idx="113">
                  <c:v>1</c:v>
                </c:pt>
                <c:pt idx="114">
                  <c:v>0</c:v>
                </c:pt>
                <c:pt idx="115">
                  <c:v>0</c:v>
                </c:pt>
                <c:pt idx="116">
                  <c:v>0</c:v>
                </c:pt>
                <c:pt idx="117">
                  <c:v>0</c:v>
                </c:pt>
                <c:pt idx="118">
                  <c:v>0</c:v>
                </c:pt>
                <c:pt idx="119">
                  <c:v>0</c:v>
                </c:pt>
                <c:pt idx="120">
                  <c:v>0</c:v>
                </c:pt>
                <c:pt idx="121">
                  <c:v>1</c:v>
                </c:pt>
                <c:pt idx="122">
                  <c:v>1</c:v>
                </c:pt>
                <c:pt idx="123">
                  <c:v>1</c:v>
                </c:pt>
                <c:pt idx="124">
                  <c:v>1</c:v>
                </c:pt>
                <c:pt idx="125">
                  <c:v>0</c:v>
                </c:pt>
                <c:pt idx="126">
                  <c:v>1</c:v>
                </c:pt>
                <c:pt idx="127">
                  <c:v>1</c:v>
                </c:pt>
                <c:pt idx="128">
                  <c:v>0</c:v>
                </c:pt>
                <c:pt idx="129">
                  <c:v>1</c:v>
                </c:pt>
                <c:pt idx="130">
                  <c:v>0</c:v>
                </c:pt>
                <c:pt idx="131">
                  <c:v>0</c:v>
                </c:pt>
              </c:numCache>
            </c:numRef>
          </c:val>
          <c:extLst>
            <c:ext xmlns:c16="http://schemas.microsoft.com/office/drawing/2014/chart" uri="{C3380CC4-5D6E-409C-BE32-E72D297353CC}">
              <c16:uniqueId val="{00000004-1CD7-4789-9F07-FDFA9EEDDCA6}"/>
            </c:ext>
          </c:extLst>
        </c:ser>
        <c:ser>
          <c:idx val="5"/>
          <c:order val="5"/>
          <c:tx>
            <c:strRef>
              <c:f>Coding!$AD$1</c:f>
              <c:strCache>
                <c:ptCount val="1"/>
                <c:pt idx="0">
                  <c:v>Genre/ writing expertise</c:v>
                </c:pt>
              </c:strCache>
            </c:strRef>
          </c:tx>
          <c:spPr>
            <a:solidFill>
              <a:schemeClr val="accent6"/>
            </a:solidFill>
            <a:ln>
              <a:noFill/>
            </a:ln>
            <a:effectLst/>
          </c:spPr>
          <c:invertIfNegative val="0"/>
          <c:val>
            <c:numRef>
              <c:f>Coding!$AD$2:$AD$133</c:f>
              <c:numCache>
                <c:formatCode>0</c:formatCode>
                <c:ptCount val="132"/>
                <c:pt idx="0">
                  <c:v>0</c:v>
                </c:pt>
                <c:pt idx="1">
                  <c:v>0</c:v>
                </c:pt>
                <c:pt idx="2">
                  <c:v>0</c:v>
                </c:pt>
                <c:pt idx="3">
                  <c:v>0</c:v>
                </c:pt>
                <c:pt idx="4">
                  <c:v>0</c:v>
                </c:pt>
                <c:pt idx="5">
                  <c:v>0</c:v>
                </c:pt>
                <c:pt idx="6">
                  <c:v>0</c:v>
                </c:pt>
                <c:pt idx="7">
                  <c:v>0</c:v>
                </c:pt>
                <c:pt idx="8">
                  <c:v>0</c:v>
                </c:pt>
                <c:pt idx="9">
                  <c:v>1</c:v>
                </c:pt>
                <c:pt idx="10">
                  <c:v>1</c:v>
                </c:pt>
                <c:pt idx="11">
                  <c:v>0</c:v>
                </c:pt>
                <c:pt idx="12">
                  <c:v>0</c:v>
                </c:pt>
                <c:pt idx="13">
                  <c:v>1</c:v>
                </c:pt>
                <c:pt idx="14">
                  <c:v>1</c:v>
                </c:pt>
                <c:pt idx="15">
                  <c:v>1</c:v>
                </c:pt>
                <c:pt idx="16">
                  <c:v>0</c:v>
                </c:pt>
                <c:pt idx="17">
                  <c:v>0</c:v>
                </c:pt>
                <c:pt idx="18">
                  <c:v>0</c:v>
                </c:pt>
                <c:pt idx="19">
                  <c:v>1</c:v>
                </c:pt>
                <c:pt idx="20">
                  <c:v>0</c:v>
                </c:pt>
                <c:pt idx="21">
                  <c:v>1</c:v>
                </c:pt>
                <c:pt idx="22">
                  <c:v>0</c:v>
                </c:pt>
                <c:pt idx="23">
                  <c:v>1</c:v>
                </c:pt>
                <c:pt idx="24">
                  <c:v>1</c:v>
                </c:pt>
                <c:pt idx="25">
                  <c:v>0</c:v>
                </c:pt>
                <c:pt idx="26">
                  <c:v>0</c:v>
                </c:pt>
                <c:pt idx="27">
                  <c:v>0</c:v>
                </c:pt>
                <c:pt idx="28">
                  <c:v>1</c:v>
                </c:pt>
                <c:pt idx="29">
                  <c:v>1</c:v>
                </c:pt>
                <c:pt idx="30">
                  <c:v>1</c:v>
                </c:pt>
                <c:pt idx="31">
                  <c:v>0</c:v>
                </c:pt>
                <c:pt idx="32">
                  <c:v>1</c:v>
                </c:pt>
                <c:pt idx="33">
                  <c:v>1</c:v>
                </c:pt>
                <c:pt idx="34">
                  <c:v>1</c:v>
                </c:pt>
                <c:pt idx="35">
                  <c:v>1</c:v>
                </c:pt>
                <c:pt idx="36">
                  <c:v>1</c:v>
                </c:pt>
                <c:pt idx="37">
                  <c:v>0</c:v>
                </c:pt>
                <c:pt idx="38">
                  <c:v>1</c:v>
                </c:pt>
                <c:pt idx="39">
                  <c:v>0</c:v>
                </c:pt>
                <c:pt idx="40">
                  <c:v>1</c:v>
                </c:pt>
                <c:pt idx="41">
                  <c:v>0</c:v>
                </c:pt>
                <c:pt idx="42">
                  <c:v>0</c:v>
                </c:pt>
                <c:pt idx="43">
                  <c:v>1</c:v>
                </c:pt>
                <c:pt idx="44">
                  <c:v>1</c:v>
                </c:pt>
                <c:pt idx="45">
                  <c:v>0</c:v>
                </c:pt>
                <c:pt idx="46">
                  <c:v>1</c:v>
                </c:pt>
                <c:pt idx="47">
                  <c:v>0</c:v>
                </c:pt>
                <c:pt idx="48">
                  <c:v>1</c:v>
                </c:pt>
                <c:pt idx="49">
                  <c:v>0</c:v>
                </c:pt>
                <c:pt idx="50">
                  <c:v>0</c:v>
                </c:pt>
                <c:pt idx="51">
                  <c:v>0</c:v>
                </c:pt>
                <c:pt idx="52">
                  <c:v>1</c:v>
                </c:pt>
                <c:pt idx="53">
                  <c:v>0</c:v>
                </c:pt>
                <c:pt idx="54">
                  <c:v>0</c:v>
                </c:pt>
                <c:pt idx="55">
                  <c:v>1</c:v>
                </c:pt>
                <c:pt idx="56">
                  <c:v>1</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1</c:v>
                </c:pt>
                <c:pt idx="72">
                  <c:v>0</c:v>
                </c:pt>
                <c:pt idx="73">
                  <c:v>0</c:v>
                </c:pt>
                <c:pt idx="74">
                  <c:v>0</c:v>
                </c:pt>
                <c:pt idx="75">
                  <c:v>0</c:v>
                </c:pt>
                <c:pt idx="76">
                  <c:v>1</c:v>
                </c:pt>
                <c:pt idx="77">
                  <c:v>0</c:v>
                </c:pt>
                <c:pt idx="78">
                  <c:v>1</c:v>
                </c:pt>
                <c:pt idx="79">
                  <c:v>0</c:v>
                </c:pt>
                <c:pt idx="80">
                  <c:v>1</c:v>
                </c:pt>
                <c:pt idx="81">
                  <c:v>1</c:v>
                </c:pt>
                <c:pt idx="82">
                  <c:v>1</c:v>
                </c:pt>
                <c:pt idx="83">
                  <c:v>0</c:v>
                </c:pt>
                <c:pt idx="84">
                  <c:v>1</c:v>
                </c:pt>
                <c:pt idx="85">
                  <c:v>0</c:v>
                </c:pt>
                <c:pt idx="86">
                  <c:v>0</c:v>
                </c:pt>
                <c:pt idx="87">
                  <c:v>0</c:v>
                </c:pt>
                <c:pt idx="88">
                  <c:v>0</c:v>
                </c:pt>
                <c:pt idx="89">
                  <c:v>0</c:v>
                </c:pt>
                <c:pt idx="90">
                  <c:v>0</c:v>
                </c:pt>
                <c:pt idx="91">
                  <c:v>1</c:v>
                </c:pt>
                <c:pt idx="92">
                  <c:v>0</c:v>
                </c:pt>
                <c:pt idx="93">
                  <c:v>0</c:v>
                </c:pt>
                <c:pt idx="94">
                  <c:v>0</c:v>
                </c:pt>
                <c:pt idx="95">
                  <c:v>0</c:v>
                </c:pt>
                <c:pt idx="96">
                  <c:v>0</c:v>
                </c:pt>
                <c:pt idx="97">
                  <c:v>0</c:v>
                </c:pt>
                <c:pt idx="98">
                  <c:v>1</c:v>
                </c:pt>
                <c:pt idx="99">
                  <c:v>1</c:v>
                </c:pt>
                <c:pt idx="100">
                  <c:v>0</c:v>
                </c:pt>
                <c:pt idx="101">
                  <c:v>0</c:v>
                </c:pt>
                <c:pt idx="102">
                  <c:v>0</c:v>
                </c:pt>
                <c:pt idx="103">
                  <c:v>0</c:v>
                </c:pt>
                <c:pt idx="104">
                  <c:v>0</c:v>
                </c:pt>
                <c:pt idx="105">
                  <c:v>0</c:v>
                </c:pt>
                <c:pt idx="106">
                  <c:v>0</c:v>
                </c:pt>
                <c:pt idx="107">
                  <c:v>0</c:v>
                </c:pt>
                <c:pt idx="108">
                  <c:v>0</c:v>
                </c:pt>
                <c:pt idx="109">
                  <c:v>0</c:v>
                </c:pt>
                <c:pt idx="110">
                  <c:v>0</c:v>
                </c:pt>
                <c:pt idx="111">
                  <c:v>0</c:v>
                </c:pt>
                <c:pt idx="112">
                  <c:v>1</c:v>
                </c:pt>
                <c:pt idx="113">
                  <c:v>1</c:v>
                </c:pt>
                <c:pt idx="114">
                  <c:v>0</c:v>
                </c:pt>
                <c:pt idx="115">
                  <c:v>1</c:v>
                </c:pt>
                <c:pt idx="116">
                  <c:v>1</c:v>
                </c:pt>
                <c:pt idx="117">
                  <c:v>1</c:v>
                </c:pt>
                <c:pt idx="118">
                  <c:v>1</c:v>
                </c:pt>
                <c:pt idx="119">
                  <c:v>0</c:v>
                </c:pt>
                <c:pt idx="120">
                  <c:v>0</c:v>
                </c:pt>
                <c:pt idx="121">
                  <c:v>0</c:v>
                </c:pt>
                <c:pt idx="122">
                  <c:v>1</c:v>
                </c:pt>
                <c:pt idx="123">
                  <c:v>1</c:v>
                </c:pt>
                <c:pt idx="124">
                  <c:v>0</c:v>
                </c:pt>
                <c:pt idx="125">
                  <c:v>1</c:v>
                </c:pt>
                <c:pt idx="126">
                  <c:v>0</c:v>
                </c:pt>
                <c:pt idx="127">
                  <c:v>1</c:v>
                </c:pt>
                <c:pt idx="128">
                  <c:v>1</c:v>
                </c:pt>
                <c:pt idx="129">
                  <c:v>1</c:v>
                </c:pt>
                <c:pt idx="130">
                  <c:v>0</c:v>
                </c:pt>
                <c:pt idx="131">
                  <c:v>1</c:v>
                </c:pt>
              </c:numCache>
            </c:numRef>
          </c:val>
          <c:extLst>
            <c:ext xmlns:c16="http://schemas.microsoft.com/office/drawing/2014/chart" uri="{C3380CC4-5D6E-409C-BE32-E72D297353CC}">
              <c16:uniqueId val="{00000005-1CD7-4789-9F07-FDFA9EEDDCA6}"/>
            </c:ext>
          </c:extLst>
        </c:ser>
        <c:dLbls>
          <c:showLegendKey val="0"/>
          <c:showVal val="0"/>
          <c:showCatName val="0"/>
          <c:showSerName val="0"/>
          <c:showPercent val="0"/>
          <c:showBubbleSize val="0"/>
        </c:dLbls>
        <c:gapWidth val="150"/>
        <c:overlap val="100"/>
        <c:axId val="5906239"/>
        <c:axId val="1731411504"/>
      </c:barChart>
      <c:catAx>
        <c:axId val="590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Prompt (human turn)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31411504"/>
        <c:crosses val="autoZero"/>
        <c:auto val="1"/>
        <c:lblAlgn val="ctr"/>
        <c:lblOffset val="100"/>
        <c:tickLblSkip val="10"/>
        <c:noMultiLvlLbl val="0"/>
      </c:catAx>
      <c:valAx>
        <c:axId val="1731411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Number of expertise-evidence categories coded</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906239"/>
        <c:crosses val="autoZero"/>
        <c:crossBetween val="between"/>
        <c:majorUnit val="1"/>
        <c:min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517871</xdr:colOff>
      <xdr:row>1</xdr:row>
      <xdr:rowOff>493058</xdr:rowOff>
    </xdr:from>
    <xdr:to>
      <xdr:col>22</xdr:col>
      <xdr:colOff>658744</xdr:colOff>
      <xdr:row>5</xdr:row>
      <xdr:rowOff>61632</xdr:rowOff>
    </xdr:to>
    <xdr:graphicFrame macro="">
      <xdr:nvGraphicFramePr>
        <xdr:cNvPr id="2" name="Chart 1">
          <a:extLst>
            <a:ext uri="{FF2B5EF4-FFF2-40B4-BE49-F238E27FC236}">
              <a16:creationId xmlns:a16="http://schemas.microsoft.com/office/drawing/2014/main" id="{523EED6A-16CF-470B-868E-CF751467B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509868</xdr:colOff>
      <xdr:row>1</xdr:row>
      <xdr:rowOff>401010</xdr:rowOff>
    </xdr:from>
    <xdr:to>
      <xdr:col>29</xdr:col>
      <xdr:colOff>1122190</xdr:colOff>
      <xdr:row>4</xdr:row>
      <xdr:rowOff>581425</xdr:rowOff>
    </xdr:to>
    <xdr:graphicFrame macro="">
      <xdr:nvGraphicFramePr>
        <xdr:cNvPr id="3" name="Chart 2">
          <a:extLst>
            <a:ext uri="{FF2B5EF4-FFF2-40B4-BE49-F238E27FC236}">
              <a16:creationId xmlns:a16="http://schemas.microsoft.com/office/drawing/2014/main" id="{4EDB984B-09F8-419B-9D2E-D69B3AC00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0.00623</cdr:x>
      <cdr:y>0.01761</cdr:y>
    </cdr:from>
    <cdr:to>
      <cdr:x>0.19865</cdr:x>
      <cdr:y>0.16906</cdr:y>
    </cdr:to>
    <cdr:sp macro="" textlink="">
      <cdr:nvSpPr>
        <cdr:cNvPr id="2" name="TextBox 1">
          <a:extLst xmlns:a="http://schemas.openxmlformats.org/drawingml/2006/main">
            <a:ext uri="{FF2B5EF4-FFF2-40B4-BE49-F238E27FC236}">
              <a16:creationId xmlns:a16="http://schemas.microsoft.com/office/drawing/2014/main" id="{FDA07B50-8C70-9E69-242B-DE5AEB15708A}"/>
            </a:ext>
          </a:extLst>
        </cdr:cNvPr>
        <cdr:cNvSpPr txBox="1"/>
      </cdr:nvSpPr>
      <cdr:spPr>
        <a:xfrm xmlns:a="http://schemas.openxmlformats.org/drawingml/2006/main">
          <a:off x="50800" y="50800"/>
          <a:ext cx="1568824" cy="4370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b="1" kern="1200"/>
            <a:t>Prompt (interaction) types</a:t>
          </a:r>
        </a:p>
      </cdr:txBody>
    </cdr:sp>
  </cdr:relSizeAnchor>
</c:userShapes>
</file>

<file path=xl/drawings/drawing3.xml><?xml version="1.0" encoding="utf-8"?>
<c:userShapes xmlns:c="http://schemas.openxmlformats.org/drawingml/2006/chart">
  <cdr:relSizeAnchor xmlns:cdr="http://schemas.openxmlformats.org/drawingml/2006/chartDrawing">
    <cdr:from>
      <cdr:x>0.00589</cdr:x>
      <cdr:y>0.01857</cdr:y>
    </cdr:from>
    <cdr:to>
      <cdr:x>0.18779</cdr:x>
      <cdr:y>0.17834</cdr:y>
    </cdr:to>
    <cdr:sp macro="" textlink="">
      <cdr:nvSpPr>
        <cdr:cNvPr id="2" name="TextBox 1">
          <a:extLst xmlns:a="http://schemas.openxmlformats.org/drawingml/2006/main">
            <a:ext uri="{FF2B5EF4-FFF2-40B4-BE49-F238E27FC236}">
              <a16:creationId xmlns:a16="http://schemas.microsoft.com/office/drawing/2014/main" id="{6277A546-062A-8432-5077-263711B99FB9}"/>
            </a:ext>
          </a:extLst>
        </cdr:cNvPr>
        <cdr:cNvSpPr txBox="1"/>
      </cdr:nvSpPr>
      <cdr:spPr>
        <a:xfrm xmlns:a="http://schemas.openxmlformats.org/drawingml/2006/main">
          <a:off x="50800" y="50800"/>
          <a:ext cx="1568824" cy="4370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b="1" kern="1200"/>
            <a:t>Demonstrated human expertise types</a:t>
          </a:r>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per7Coding" displayName="Paper7Coding" ref="A1:AE133" totalsRowShown="0">
  <tableColumns count="31">
    <tableColumn id="1" xr3:uid="{00000000-0010-0000-0000-000001000000}" name="Turn ID"/>
    <tableColumn id="2" xr3:uid="{00000000-0010-0000-0000-000002000000}" name="Sequence"/>
    <tableColumn id="3" xr3:uid="{00000000-0010-0000-0000-000003000000}" name="Phase"/>
    <tableColumn id="4" xr3:uid="{00000000-0010-0000-0000-000004000000}" name="Prompt excerpt"/>
    <tableColumn id="5" xr3:uid="{00000000-0010-0000-0000-000005000000}" name="Primary interaction type"/>
    <tableColumn id="6" xr3:uid="{00000000-0010-0000-0000-000006000000}" name="Additional interaction types"/>
    <tableColumn id="7" xr3:uid="{00000000-0010-0000-0000-000007000000}" name="Agency mode"/>
    <tableColumn id="8" xr3:uid="{00000000-0010-0000-0000-000008000000}" name="Expertise evidence"/>
    <tableColumn id="9" xr3:uid="{00000000-0010-0000-0000-000009000000}" name="Coding rationale"/>
    <tableColumn id="10" xr3:uid="{00000000-0010-0000-0000-00000A000000}" name="Observed outcome / notes"/>
    <tableColumn id="11" xr3:uid="{00000000-0010-0000-0000-00000B000000}" name="Prompt provenance"/>
    <tableColumn id="12" xr3:uid="{00000000-0010-0000-0000-00000C000000}" name="Response provenance"/>
    <tableColumn id="13" xr3:uid="{00000000-0010-0000-0000-00000D000000}" name="Attachment / contextual material"/>
    <tableColumn id="14" xr3:uid="{00000000-0010-0000-0000-00000E000000}" name="Response availability"/>
    <tableColumn id="15" xr3:uid="{00000000-0010-0000-0000-00000F000000}" name="Coding caution"/>
    <tableColumn id="16" xr3:uid="{00000000-0010-0000-0000-000010000000}" name="Open Delegation"/>
    <tableColumn id="17" xr3:uid="{00000000-0010-0000-0000-000011000000}" name="Directed delegation"/>
    <tableColumn id="18" xr3:uid="{00000000-0010-0000-0000-000012000000}" name="Evaluation"/>
    <tableColumn id="19" xr3:uid="{00000000-0010-0000-0000-000013000000}" name="Correction/Challenge"/>
    <tableColumn id="20" xr3:uid="{00000000-0010-0000-0000-000014000000}" name="Redirection"/>
    <tableColumn id="21" xr3:uid="{00000000-0010-0000-0000-000015000000}" name="Knowledge injection"/>
    <tableColumn id="22" xr3:uid="{00000000-0010-0000-0000-000016000000}" name="Acceptance/ Rejection"/>
    <tableColumn id="23" xr3:uid="{00000000-0010-0000-0000-000017000000}" name="Deliberation"/>
    <tableColumn id="31" xr3:uid="{EF650438-135F-4CE5-9B48-E535070D55EF}" name="Expertise" dataDxfId="1">
      <calculatedColumnFormula>SUM(Paper7Coding[[#This Row],[Subject-matter correction]:[Genre/ writing expertise]])</calculatedColumnFormula>
    </tableColumn>
    <tableColumn id="24" xr3:uid="{00000000-0010-0000-0000-000018000000}" name="Subject-matter correction"/>
    <tableColumn id="25" xr3:uid="{00000000-0010-0000-0000-000019000000}" name="Conceptual differentiation"/>
    <tableColumn id="26" xr3:uid="{00000000-0010-0000-0000-00001A000000}" name="Evidence judgment"/>
    <tableColumn id="27" xr3:uid="{00000000-0010-0000-0000-00001B000000}" name="Methodological judgment"/>
    <tableColumn id="28" xr3:uid="{00000000-0010-0000-0000-00001C000000}" name="Argumentative judgment"/>
    <tableColumn id="29" xr3:uid="{00000000-0010-0000-0000-00001D000000}" name="Genre/ writing expertise"/>
    <tableColumn id="30" xr3:uid="{00000000-0010-0000-0000-00001E000000}" name="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aper7HumanPrompts" displayName="Paper7HumanPrompts" ref="A1:G133" totalsRowShown="0">
  <tableColumns count="7">
    <tableColumn id="1" xr3:uid="{00000000-0010-0000-0100-000001000000}" name="Turn ID"/>
    <tableColumn id="2" xr3:uid="{00000000-0010-0000-0100-000002000000}" name="Sequence"/>
    <tableColumn id="3" xr3:uid="{00000000-0010-0000-0100-000003000000}" name="Prompt provenance"/>
    <tableColumn id="4" xr3:uid="{00000000-0010-0000-0100-000004000000}" name="Attachment / contextual material"/>
    <tableColumn id="5" xr3:uid="{00000000-0010-0000-0100-000005000000}" name="Full human prompt (part 1)"/>
    <tableColumn id="6" xr3:uid="{00000000-0010-0000-0100-000006000000}" name="Prompt continuation (part 2)"/>
    <tableColumn id="7" xr3:uid="{00000000-0010-0000-0100-000007000000}" name="Prompt continuation (part 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aper7Codebook" displayName="Paper7Codebook" ref="A1:C46" totalsRowShown="0">
  <tableColumns count="3">
    <tableColumn id="1" xr3:uid="{00000000-0010-0000-0200-000001000000}" name="Dimension"/>
    <tableColumn id="2" xr3:uid="{00000000-0010-0000-0200-000002000000}" name="Code / rule"/>
    <tableColumn id="3" xr3:uid="{00000000-0010-0000-0200-000003000000}" name="Definition / interpretation limi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9435C"/>
  </sheetPr>
  <dimension ref="A1:N48"/>
  <sheetViews>
    <sheetView showGridLines="0" tabSelected="1" topLeftCell="A3" zoomScale="85" zoomScaleNormal="85" workbookViewId="0">
      <selection activeCell="L8" sqref="L8:L14"/>
    </sheetView>
  </sheetViews>
  <sheetFormatPr defaultRowHeight="14.25" x14ac:dyDescent="0.2"/>
  <cols>
    <col min="1" max="1" width="43" customWidth="1"/>
    <col min="2" max="2" width="14" customWidth="1"/>
    <col min="3" max="3" width="16" customWidth="1"/>
    <col min="4" max="4" width="23" customWidth="1"/>
    <col min="5" max="5" width="14" customWidth="1"/>
    <col min="6" max="6" width="20" customWidth="1"/>
    <col min="7" max="7" width="12" customWidth="1"/>
    <col min="8" max="9" width="15" customWidth="1"/>
    <col min="10" max="10" width="31" customWidth="1"/>
    <col min="11" max="12" width="12" customWidth="1"/>
    <col min="13" max="14" width="5" customWidth="1"/>
  </cols>
  <sheetData>
    <row r="1" spans="1:14" x14ac:dyDescent="0.2">
      <c r="A1" s="1"/>
      <c r="B1" s="1"/>
      <c r="C1" s="1"/>
      <c r="D1" s="1"/>
      <c r="E1" s="1"/>
      <c r="F1" s="1"/>
      <c r="G1" s="1"/>
      <c r="H1" s="1"/>
      <c r="I1" s="1"/>
      <c r="J1" s="1"/>
      <c r="K1" s="1"/>
      <c r="L1" s="1"/>
      <c r="M1" s="1"/>
      <c r="N1" s="1"/>
    </row>
    <row r="2" spans="1:14" ht="18" x14ac:dyDescent="0.2">
      <c r="A2" s="5" t="s">
        <v>1069</v>
      </c>
      <c r="B2" s="1" t="s">
        <v>1070</v>
      </c>
      <c r="C2" s="1"/>
      <c r="D2" s="1"/>
      <c r="E2" s="1"/>
      <c r="F2" s="1"/>
      <c r="G2" s="1"/>
      <c r="H2" s="1"/>
      <c r="I2" s="1"/>
      <c r="J2" s="1"/>
      <c r="K2" s="1"/>
      <c r="L2" s="1"/>
      <c r="M2" s="1"/>
      <c r="N2" s="1"/>
    </row>
    <row r="3" spans="1:14" x14ac:dyDescent="0.2">
      <c r="A3" s="1"/>
      <c r="B3" s="1"/>
      <c r="C3" s="1"/>
      <c r="D3" s="1"/>
      <c r="E3" s="1"/>
      <c r="F3" s="1"/>
      <c r="G3" s="1"/>
      <c r="H3" s="1"/>
      <c r="I3" s="1"/>
      <c r="J3" s="1"/>
      <c r="K3" s="1"/>
      <c r="L3" s="1"/>
      <c r="M3" s="1"/>
      <c r="N3" s="1"/>
    </row>
    <row r="4" spans="1:14" x14ac:dyDescent="0.2">
      <c r="A4" s="9" t="s">
        <v>0</v>
      </c>
      <c r="B4" s="10">
        <v>132</v>
      </c>
      <c r="C4" s="1"/>
      <c r="D4" s="1" t="s">
        <v>1</v>
      </c>
      <c r="E4" s="1"/>
      <c r="F4" s="1"/>
      <c r="G4" s="1"/>
      <c r="H4" s="1"/>
      <c r="I4" s="1"/>
      <c r="J4" s="1"/>
      <c r="K4" s="1"/>
      <c r="L4" s="1"/>
      <c r="M4" s="1"/>
      <c r="N4" s="1"/>
    </row>
    <row r="5" spans="1:14" x14ac:dyDescent="0.2">
      <c r="A5" s="1" t="s">
        <v>2</v>
      </c>
      <c r="B5" s="8">
        <v>1</v>
      </c>
      <c r="C5" s="1"/>
      <c r="D5" s="1" t="s">
        <v>3</v>
      </c>
      <c r="E5" s="1"/>
      <c r="F5" s="1"/>
      <c r="G5" s="1"/>
      <c r="H5" s="1"/>
      <c r="I5" s="1"/>
      <c r="J5" s="1"/>
      <c r="K5" s="1"/>
      <c r="L5" s="1"/>
      <c r="M5" s="1"/>
      <c r="N5" s="1"/>
    </row>
    <row r="6" spans="1:14" x14ac:dyDescent="0.2">
      <c r="A6" s="1"/>
      <c r="B6" s="1"/>
      <c r="C6" s="1"/>
      <c r="D6" s="1"/>
      <c r="E6" s="1"/>
      <c r="F6" s="1"/>
      <c r="G6" s="1"/>
      <c r="H6" s="1"/>
      <c r="I6" s="1"/>
      <c r="J6" s="1"/>
      <c r="K6" s="1"/>
      <c r="L6" s="1"/>
      <c r="M6" s="1"/>
      <c r="N6" s="1"/>
    </row>
    <row r="7" spans="1:14" ht="48" customHeight="1" x14ac:dyDescent="0.2">
      <c r="A7" s="2" t="s">
        <v>4</v>
      </c>
      <c r="B7" s="2" t="s">
        <v>5</v>
      </c>
      <c r="C7" s="2" t="s">
        <v>6</v>
      </c>
      <c r="D7" s="2" t="s">
        <v>1068</v>
      </c>
      <c r="E7" s="1"/>
      <c r="F7" s="2" t="s">
        <v>7</v>
      </c>
      <c r="G7" s="2" t="s">
        <v>8</v>
      </c>
      <c r="H7" s="2" t="s">
        <v>9</v>
      </c>
      <c r="I7" s="1"/>
      <c r="J7" s="2" t="s">
        <v>10</v>
      </c>
      <c r="K7" s="2" t="s">
        <v>8</v>
      </c>
      <c r="L7" s="2" t="s">
        <v>9</v>
      </c>
      <c r="M7" s="1"/>
      <c r="N7" s="1"/>
    </row>
    <row r="8" spans="1:14" x14ac:dyDescent="0.2">
      <c r="A8" s="1" t="s">
        <v>11</v>
      </c>
      <c r="B8" s="8">
        <f>COUNTIFS(Coding!$E$2:$E$133,A8)</f>
        <v>7</v>
      </c>
      <c r="C8" s="8">
        <f>SUM(Coding!P2:P133)</f>
        <v>7</v>
      </c>
      <c r="D8" s="6">
        <f t="shared" ref="D8:D15" si="0">C8/$B$4</f>
        <v>5.3030303030303032E-2</v>
      </c>
      <c r="E8" s="1"/>
      <c r="F8" s="1" t="s">
        <v>12</v>
      </c>
      <c r="G8" s="8">
        <f>COUNTIFS(Coding!$G$2:$G$133,F8)</f>
        <v>7</v>
      </c>
      <c r="H8" s="6">
        <f>G8/$B$4</f>
        <v>5.3030303030303032E-2</v>
      </c>
      <c r="I8" s="1"/>
      <c r="J8" s="3" t="s">
        <v>13</v>
      </c>
      <c r="K8" s="8">
        <f>SUM(Coding!Y2:Y133)</f>
        <v>4</v>
      </c>
      <c r="L8" s="6">
        <f t="shared" ref="L8:L14" si="1">K8/$B$4</f>
        <v>3.0303030303030304E-2</v>
      </c>
      <c r="M8" s="1"/>
      <c r="N8" s="1"/>
    </row>
    <row r="9" spans="1:14" x14ac:dyDescent="0.2">
      <c r="A9" s="1" t="s">
        <v>14</v>
      </c>
      <c r="B9" s="8">
        <f>COUNTIFS(Coding!$E$2:$E$133,A9)</f>
        <v>42</v>
      </c>
      <c r="C9" s="8">
        <f>SUM(Coding!Q2:Q133)</f>
        <v>80</v>
      </c>
      <c r="D9" s="6">
        <f t="shared" si="0"/>
        <v>0.60606060606060608</v>
      </c>
      <c r="E9" s="1"/>
      <c r="F9" s="1" t="s">
        <v>15</v>
      </c>
      <c r="G9" s="8">
        <f>COUNTIFS(Coding!$G$2:$G$133,F9)</f>
        <v>90</v>
      </c>
      <c r="H9" s="6">
        <f>G9/$B$4</f>
        <v>0.68181818181818177</v>
      </c>
      <c r="I9" s="1"/>
      <c r="J9" s="3" t="s">
        <v>16</v>
      </c>
      <c r="K9" s="8">
        <f>SUM(Coding!Z2:Z133)</f>
        <v>15</v>
      </c>
      <c r="L9" s="6">
        <f t="shared" si="1"/>
        <v>0.11363636363636363</v>
      </c>
      <c r="M9" s="1"/>
      <c r="N9" s="1"/>
    </row>
    <row r="10" spans="1:14" x14ac:dyDescent="0.2">
      <c r="A10" s="1" t="s">
        <v>17</v>
      </c>
      <c r="B10" s="8">
        <f>COUNTIFS(Coding!$E$2:$E$133,A10)</f>
        <v>6</v>
      </c>
      <c r="C10" s="8">
        <f>SUM(Coding!R2:R133)</f>
        <v>16</v>
      </c>
      <c r="D10" s="6">
        <f t="shared" si="0"/>
        <v>0.12121212121212122</v>
      </c>
      <c r="E10" s="1"/>
      <c r="F10" s="1" t="s">
        <v>18</v>
      </c>
      <c r="G10" s="8">
        <f>COUNTIFS(Coding!$G$2:$G$133,F10)</f>
        <v>5</v>
      </c>
      <c r="H10" s="6">
        <f>G10/$B$4</f>
        <v>3.787878787878788E-2</v>
      </c>
      <c r="I10" s="1"/>
      <c r="J10" s="3" t="s">
        <v>19</v>
      </c>
      <c r="K10" s="8">
        <f>SUM(Coding!AA2:AA133)</f>
        <v>23</v>
      </c>
      <c r="L10" s="6">
        <f t="shared" si="1"/>
        <v>0.17424242424242425</v>
      </c>
      <c r="M10" s="1"/>
      <c r="N10" s="1"/>
    </row>
    <row r="11" spans="1:14" x14ac:dyDescent="0.2">
      <c r="A11" s="1" t="s">
        <v>20</v>
      </c>
      <c r="B11" s="8">
        <f>COUNTIFS(Coding!$E$2:$E$133,A11)</f>
        <v>20</v>
      </c>
      <c r="C11" s="8">
        <f>SUM(Coding!S2:S133)</f>
        <v>23</v>
      </c>
      <c r="D11" s="6">
        <f t="shared" si="0"/>
        <v>0.17424242424242425</v>
      </c>
      <c r="E11" s="1"/>
      <c r="F11" s="1" t="s">
        <v>21</v>
      </c>
      <c r="G11" s="8">
        <f>COUNTIFS(Coding!$G$2:$G$133,F11)</f>
        <v>21</v>
      </c>
      <c r="H11" s="6">
        <f>G11/$B$4</f>
        <v>0.15909090909090909</v>
      </c>
      <c r="I11" s="1"/>
      <c r="J11" s="3" t="s">
        <v>22</v>
      </c>
      <c r="K11" s="8">
        <f>SUM(Coding!AB2:AB133)</f>
        <v>39</v>
      </c>
      <c r="L11" s="6">
        <f t="shared" si="1"/>
        <v>0.29545454545454547</v>
      </c>
      <c r="M11" s="1"/>
      <c r="N11" s="1"/>
    </row>
    <row r="12" spans="1:14" x14ac:dyDescent="0.2">
      <c r="A12" s="1" t="s">
        <v>23</v>
      </c>
      <c r="B12" s="8">
        <f>COUNTIFS(Coding!$E$2:$E$133,A12)</f>
        <v>5</v>
      </c>
      <c r="C12" s="8">
        <f>SUM(Coding!T2:T133)</f>
        <v>23</v>
      </c>
      <c r="D12" s="6">
        <f t="shared" si="0"/>
        <v>0.17424242424242425</v>
      </c>
      <c r="E12" s="1"/>
      <c r="F12" s="1" t="s">
        <v>24</v>
      </c>
      <c r="G12" s="8">
        <f>COUNTIFS(Coding!$G$2:$G$133,F12)</f>
        <v>9</v>
      </c>
      <c r="H12" s="6">
        <f>G12/$B$4</f>
        <v>6.8181818181818177E-2</v>
      </c>
      <c r="I12" s="1"/>
      <c r="J12" s="3" t="s">
        <v>25</v>
      </c>
      <c r="K12" s="8">
        <f>SUM(Coding!AC2:AC133)</f>
        <v>33</v>
      </c>
      <c r="L12" s="6">
        <f t="shared" si="1"/>
        <v>0.25</v>
      </c>
      <c r="M12" s="1"/>
      <c r="N12" s="1"/>
    </row>
    <row r="13" spans="1:14" x14ac:dyDescent="0.2">
      <c r="A13" s="1" t="s">
        <v>26</v>
      </c>
      <c r="B13" s="8">
        <f>COUNTIFS(Coding!$E$2:$E$133,A13)</f>
        <v>12</v>
      </c>
      <c r="C13" s="8">
        <f>SUM(Coding!U2:U133)</f>
        <v>46</v>
      </c>
      <c r="D13" s="6">
        <f t="shared" si="0"/>
        <v>0.34848484848484851</v>
      </c>
      <c r="E13" s="1"/>
      <c r="F13" s="1"/>
      <c r="G13" s="1"/>
      <c r="H13" s="1"/>
      <c r="I13" s="1"/>
      <c r="J13" s="3" t="s">
        <v>27</v>
      </c>
      <c r="K13" s="8">
        <f>SUM(Coding!AD2:AD133)</f>
        <v>49</v>
      </c>
      <c r="L13" s="6">
        <f t="shared" si="1"/>
        <v>0.37121212121212122</v>
      </c>
      <c r="M13" s="1"/>
      <c r="N13" s="1"/>
    </row>
    <row r="14" spans="1:14" x14ac:dyDescent="0.2">
      <c r="A14" s="1" t="s">
        <v>28</v>
      </c>
      <c r="B14" s="8">
        <f>COUNTIFS(Coding!$E$2:$E$133,A14)</f>
        <v>32</v>
      </c>
      <c r="C14" s="8">
        <f>SUM(Coding!V2:V133)</f>
        <v>40</v>
      </c>
      <c r="D14" s="6">
        <f t="shared" si="0"/>
        <v>0.30303030303030304</v>
      </c>
      <c r="E14" s="1"/>
      <c r="F14" s="1"/>
      <c r="G14" s="1"/>
      <c r="H14" s="1"/>
      <c r="I14" s="1"/>
      <c r="J14" s="3" t="s">
        <v>29</v>
      </c>
      <c r="K14" s="8">
        <f>SUM(Coding!AE2:AE133)</f>
        <v>40</v>
      </c>
      <c r="L14" s="6">
        <f t="shared" si="1"/>
        <v>0.30303030303030304</v>
      </c>
      <c r="M14" s="1"/>
      <c r="N14" s="1"/>
    </row>
    <row r="15" spans="1:14" x14ac:dyDescent="0.2">
      <c r="A15" s="1" t="s">
        <v>30</v>
      </c>
      <c r="B15" s="8">
        <f>COUNTIFS(Coding!$E$2:$E$133,A15)</f>
        <v>8</v>
      </c>
      <c r="C15" s="8">
        <f>SUM(Coding!W2:W133)</f>
        <v>9</v>
      </c>
      <c r="D15" s="6">
        <f t="shared" si="0"/>
        <v>6.8181818181818177E-2</v>
      </c>
      <c r="E15" s="1"/>
      <c r="F15" s="1"/>
      <c r="G15" s="1"/>
      <c r="H15" s="1"/>
      <c r="I15" s="1"/>
      <c r="J15" s="1"/>
      <c r="K15" s="1"/>
      <c r="L15" s="1"/>
      <c r="M15" s="1"/>
      <c r="N15" s="1"/>
    </row>
    <row r="16" spans="1:14" x14ac:dyDescent="0.2">
      <c r="A16" s="1"/>
      <c r="B16" s="1"/>
      <c r="C16" s="1"/>
      <c r="D16" s="1"/>
      <c r="E16" s="1"/>
      <c r="F16" s="1"/>
      <c r="G16" s="1"/>
      <c r="H16" s="1"/>
      <c r="I16" s="1"/>
      <c r="J16" s="1"/>
      <c r="K16" s="1"/>
      <c r="L16" s="1"/>
      <c r="M16" s="1"/>
      <c r="N16" s="1"/>
    </row>
    <row r="17" spans="1:14" x14ac:dyDescent="0.2">
      <c r="A17" s="1"/>
      <c r="B17" s="1"/>
      <c r="C17" s="1"/>
      <c r="D17" s="1"/>
      <c r="E17" s="1"/>
      <c r="F17" s="1"/>
      <c r="G17" s="1"/>
      <c r="H17" s="1"/>
      <c r="I17" s="1"/>
      <c r="J17" s="1"/>
      <c r="K17" s="1"/>
      <c r="L17" s="1"/>
      <c r="M17" s="1"/>
      <c r="N17" s="1"/>
    </row>
    <row r="18" spans="1:14" ht="48" customHeight="1" x14ac:dyDescent="0.2">
      <c r="A18" s="2" t="s">
        <v>31</v>
      </c>
      <c r="B18" s="2" t="s">
        <v>32</v>
      </c>
      <c r="C18" s="2" t="s">
        <v>33</v>
      </c>
      <c r="D18" s="2" t="s">
        <v>8</v>
      </c>
      <c r="E18" s="2" t="s">
        <v>12</v>
      </c>
      <c r="F18" s="2" t="s">
        <v>15</v>
      </c>
      <c r="G18" s="2" t="s">
        <v>18</v>
      </c>
      <c r="H18" s="2" t="s">
        <v>21</v>
      </c>
      <c r="I18" s="2" t="s">
        <v>24</v>
      </c>
      <c r="J18" s="1"/>
      <c r="K18" s="1"/>
      <c r="L18" s="1"/>
      <c r="M18" s="1"/>
      <c r="N18" s="1"/>
    </row>
    <row r="19" spans="1:14" ht="30" customHeight="1" x14ac:dyDescent="0.2">
      <c r="A19" s="1" t="s">
        <v>34</v>
      </c>
      <c r="B19" s="8">
        <v>1</v>
      </c>
      <c r="C19" s="8">
        <v>65</v>
      </c>
      <c r="D19" s="8">
        <f>COUNTIFS(Coding!$C$2:$C$133,A19)</f>
        <v>65</v>
      </c>
      <c r="E19" s="8">
        <f>COUNTIFS(Coding!$C$2:$C$133,$A19,Coding!$G$2:$G$133,"Delegative")</f>
        <v>4</v>
      </c>
      <c r="F19" s="8">
        <f>COUNTIFS(Coding!$C$2:$C$133,$A19,Coding!$G$2:$G$133,"Directive")</f>
        <v>43</v>
      </c>
      <c r="G19" s="8">
        <f>COUNTIFS(Coding!$C$2:$C$133,$A19,Coding!$G$2:$G$133,"Evaluative")</f>
        <v>4</v>
      </c>
      <c r="H19" s="8">
        <f>COUNTIFS(Coding!$C$2:$C$133,$A19,Coding!$G$2:$G$133,"Critical")</f>
        <v>8</v>
      </c>
      <c r="I19" s="8">
        <f>COUNTIFS(Coding!$C$2:$C$133,$A19,Coding!$G$2:$G$133,"Deliberative")</f>
        <v>6</v>
      </c>
      <c r="J19" s="1"/>
      <c r="K19" s="1"/>
      <c r="L19" s="1"/>
      <c r="M19" s="1"/>
      <c r="N19" s="1"/>
    </row>
    <row r="20" spans="1:14" ht="30" customHeight="1" x14ac:dyDescent="0.2">
      <c r="A20" s="1" t="s">
        <v>35</v>
      </c>
      <c r="B20" s="8">
        <v>66</v>
      </c>
      <c r="C20" s="8">
        <v>114</v>
      </c>
      <c r="D20" s="8">
        <f>COUNTIFS(Coding!$C$2:$C$133,A20)</f>
        <v>49</v>
      </c>
      <c r="E20" s="8">
        <f>COUNTIFS(Coding!$C$2:$C$133,$A20,Coding!$G$2:$G$133,"Delegative")</f>
        <v>2</v>
      </c>
      <c r="F20" s="8">
        <f>COUNTIFS(Coding!$C$2:$C$133,$A20,Coding!$G$2:$G$133,"Directive")</f>
        <v>35</v>
      </c>
      <c r="G20" s="8">
        <f>COUNTIFS(Coding!$C$2:$C$133,$A20,Coding!$G$2:$G$133,"Evaluative")</f>
        <v>1</v>
      </c>
      <c r="H20" s="8">
        <f>COUNTIFS(Coding!$C$2:$C$133,$A20,Coding!$G$2:$G$133,"Critical")</f>
        <v>9</v>
      </c>
      <c r="I20" s="8">
        <f>COUNTIFS(Coding!$C$2:$C$133,$A20,Coding!$G$2:$G$133,"Deliberative")</f>
        <v>2</v>
      </c>
      <c r="J20" s="1"/>
      <c r="K20" s="1"/>
      <c r="L20" s="1"/>
      <c r="M20" s="1"/>
      <c r="N20" s="1"/>
    </row>
    <row r="21" spans="1:14" ht="30" customHeight="1" x14ac:dyDescent="0.2">
      <c r="A21" s="1" t="s">
        <v>36</v>
      </c>
      <c r="B21" s="8">
        <v>115</v>
      </c>
      <c r="C21" s="8">
        <v>132</v>
      </c>
      <c r="D21" s="8">
        <f>COUNTIFS(Coding!$C$2:$C$133,A21)</f>
        <v>18</v>
      </c>
      <c r="E21" s="8">
        <f>COUNTIFS(Coding!$C$2:$C$133,$A21,Coding!$G$2:$G$133,"Delegative")</f>
        <v>1</v>
      </c>
      <c r="F21" s="8">
        <f>COUNTIFS(Coding!$C$2:$C$133,$A21,Coding!$G$2:$G$133,"Directive")</f>
        <v>12</v>
      </c>
      <c r="G21" s="8">
        <f>COUNTIFS(Coding!$C$2:$C$133,$A21,Coding!$G$2:$G$133,"Evaluative")</f>
        <v>0</v>
      </c>
      <c r="H21" s="8">
        <f>COUNTIFS(Coding!$C$2:$C$133,$A21,Coding!$G$2:$G$133,"Critical")</f>
        <v>4</v>
      </c>
      <c r="I21" s="8">
        <f>COUNTIFS(Coding!$C$2:$C$133,$A21,Coding!$G$2:$G$133,"Deliberative")</f>
        <v>1</v>
      </c>
      <c r="J21" s="1"/>
      <c r="K21" s="1"/>
      <c r="L21" s="1"/>
      <c r="M21" s="1"/>
      <c r="N21" s="1"/>
    </row>
    <row r="22" spans="1:14" x14ac:dyDescent="0.2">
      <c r="A22" s="1"/>
      <c r="B22" s="1"/>
      <c r="C22" s="1"/>
      <c r="D22" s="1"/>
      <c r="E22" s="1"/>
      <c r="F22" s="1"/>
      <c r="G22" s="1"/>
      <c r="H22" s="1"/>
      <c r="I22" s="1"/>
      <c r="J22" s="1"/>
      <c r="K22" s="1"/>
      <c r="L22" s="1"/>
      <c r="M22" s="1"/>
      <c r="N22" s="1"/>
    </row>
    <row r="23" spans="1:14" x14ac:dyDescent="0.2">
      <c r="A23" s="1"/>
      <c r="B23" s="1"/>
      <c r="C23" s="1"/>
      <c r="D23" s="1"/>
      <c r="E23" s="1"/>
      <c r="F23" s="1"/>
      <c r="G23" s="1"/>
      <c r="H23" s="1"/>
      <c r="I23" s="1"/>
      <c r="J23" s="1"/>
      <c r="K23" s="1"/>
      <c r="L23" s="1"/>
      <c r="M23" s="1"/>
      <c r="N23" s="1"/>
    </row>
    <row r="24" spans="1:14" x14ac:dyDescent="0.2">
      <c r="A24" s="1"/>
      <c r="B24" s="1"/>
      <c r="C24" s="1"/>
      <c r="D24" s="1"/>
      <c r="E24" s="1"/>
      <c r="F24" s="1"/>
      <c r="G24" s="1"/>
      <c r="H24" s="1"/>
      <c r="I24" s="1"/>
      <c r="J24" s="1"/>
      <c r="K24" s="1"/>
      <c r="L24" s="1"/>
      <c r="M24" s="1"/>
      <c r="N24" s="1"/>
    </row>
    <row r="25" spans="1:14" ht="48" customHeight="1" x14ac:dyDescent="0.2">
      <c r="A25" s="2" t="s">
        <v>31</v>
      </c>
      <c r="B25" s="2" t="s">
        <v>37</v>
      </c>
      <c r="C25" s="2" t="s">
        <v>38</v>
      </c>
      <c r="D25" s="2" t="s">
        <v>39</v>
      </c>
      <c r="E25" s="1"/>
      <c r="F25" s="1"/>
      <c r="G25" s="1"/>
      <c r="H25" s="1"/>
      <c r="I25" s="1"/>
      <c r="J25" s="1"/>
      <c r="K25" s="1"/>
      <c r="L25" s="1"/>
      <c r="M25" s="1"/>
      <c r="N25" s="1"/>
    </row>
    <row r="26" spans="1:14" ht="30" customHeight="1" x14ac:dyDescent="0.2">
      <c r="A26" s="1" t="s">
        <v>34</v>
      </c>
      <c r="B26" s="8">
        <f>D19-C26</f>
        <v>50</v>
      </c>
      <c r="C26" s="8">
        <f>SUMIFS(Coding!$AE$2:$AE$133,Coding!$C$2:$C$133,A26)</f>
        <v>15</v>
      </c>
      <c r="D26" s="6">
        <f>B26/D19</f>
        <v>0.76923076923076927</v>
      </c>
      <c r="E26" s="1"/>
      <c r="F26" s="1"/>
      <c r="G26" s="1"/>
      <c r="H26" s="1"/>
      <c r="I26" s="1"/>
      <c r="J26" s="1"/>
      <c r="K26" s="1"/>
      <c r="L26" s="1"/>
      <c r="M26" s="1"/>
      <c r="N26" s="1"/>
    </row>
    <row r="27" spans="1:14" ht="30" customHeight="1" x14ac:dyDescent="0.2">
      <c r="A27" s="1" t="s">
        <v>35</v>
      </c>
      <c r="B27" s="8">
        <f>D20-C27</f>
        <v>28</v>
      </c>
      <c r="C27" s="8">
        <f>SUMIFS(Coding!$AE$2:$AE$133,Coding!$C$2:$C$133,A27)</f>
        <v>21</v>
      </c>
      <c r="D27" s="6">
        <f>B27/D20</f>
        <v>0.5714285714285714</v>
      </c>
      <c r="E27" s="1"/>
      <c r="F27" s="1"/>
      <c r="G27" s="1"/>
      <c r="H27" s="1"/>
      <c r="I27" s="1"/>
      <c r="J27" s="1"/>
      <c r="K27" s="1"/>
      <c r="L27" s="1"/>
      <c r="M27" s="1"/>
      <c r="N27" s="1"/>
    </row>
    <row r="28" spans="1:14" ht="30" customHeight="1" x14ac:dyDescent="0.2">
      <c r="A28" s="1" t="s">
        <v>36</v>
      </c>
      <c r="B28" s="8">
        <f>D21-C28</f>
        <v>14</v>
      </c>
      <c r="C28" s="8">
        <f>SUMIFS(Coding!$AE$2:$AE$133,Coding!$C$2:$C$133,A28)</f>
        <v>4</v>
      </c>
      <c r="D28" s="6">
        <f>B28/D21</f>
        <v>0.77777777777777779</v>
      </c>
      <c r="E28" s="1"/>
      <c r="F28" s="1"/>
      <c r="G28" s="1"/>
      <c r="H28" s="1"/>
      <c r="I28" s="1"/>
      <c r="J28" s="1"/>
      <c r="K28" s="1"/>
      <c r="L28" s="1"/>
      <c r="M28" s="1"/>
      <c r="N28" s="1"/>
    </row>
    <row r="29" spans="1:14" x14ac:dyDescent="0.2">
      <c r="A29" s="1"/>
      <c r="B29" s="1"/>
      <c r="C29" s="1"/>
      <c r="D29" s="1"/>
      <c r="E29" s="1"/>
      <c r="F29" s="1"/>
      <c r="G29" s="1"/>
      <c r="H29" s="1"/>
      <c r="I29" s="1"/>
      <c r="J29" s="1"/>
      <c r="K29" s="1"/>
      <c r="L29" s="1"/>
      <c r="M29" s="1"/>
      <c r="N29" s="1"/>
    </row>
    <row r="30" spans="1:14" x14ac:dyDescent="0.2">
      <c r="A30" s="1"/>
      <c r="B30" s="1"/>
      <c r="C30" s="1"/>
      <c r="D30" s="1"/>
      <c r="E30" s="1"/>
      <c r="F30" s="1"/>
      <c r="G30" s="1"/>
      <c r="H30" s="1"/>
      <c r="I30" s="1"/>
      <c r="J30" s="1"/>
      <c r="K30" s="1"/>
      <c r="L30" s="1"/>
      <c r="M30" s="1"/>
      <c r="N30" s="1"/>
    </row>
    <row r="31" spans="1:14" x14ac:dyDescent="0.2">
      <c r="A31" s="7" t="s">
        <v>40</v>
      </c>
      <c r="B31" s="1"/>
      <c r="C31" s="1"/>
      <c r="D31" s="1"/>
      <c r="E31" s="1"/>
      <c r="F31" s="1"/>
      <c r="G31" s="1"/>
      <c r="H31" s="1"/>
      <c r="I31" s="1"/>
      <c r="J31" s="1"/>
      <c r="K31" s="1"/>
      <c r="L31" s="1"/>
      <c r="M31" s="1"/>
      <c r="N31" s="1"/>
    </row>
    <row r="32" spans="1:14" ht="27.95" customHeight="1" x14ac:dyDescent="0.2">
      <c r="A32" s="1" t="s">
        <v>41</v>
      </c>
      <c r="B32" s="1"/>
      <c r="C32" s="1"/>
      <c r="D32" s="1"/>
      <c r="E32" s="1"/>
      <c r="F32" s="1"/>
      <c r="G32" s="1"/>
      <c r="H32" s="1"/>
      <c r="I32" s="1"/>
      <c r="J32" s="1"/>
      <c r="K32" s="1"/>
      <c r="L32" s="1"/>
      <c r="M32" s="1"/>
      <c r="N32" s="1"/>
    </row>
    <row r="33" spans="1:14" ht="27.95" customHeight="1" x14ac:dyDescent="0.2">
      <c r="A33" s="1" t="s">
        <v>42</v>
      </c>
      <c r="B33" s="1"/>
      <c r="C33" s="1"/>
      <c r="D33" s="1"/>
      <c r="E33" s="1"/>
      <c r="F33" s="1"/>
      <c r="G33" s="1"/>
      <c r="H33" s="1"/>
      <c r="I33" s="1"/>
      <c r="J33" s="1"/>
      <c r="K33" s="1"/>
      <c r="L33" s="1"/>
      <c r="M33" s="1"/>
      <c r="N33" s="1"/>
    </row>
    <row r="34" spans="1:14" ht="27.95" customHeight="1" x14ac:dyDescent="0.2">
      <c r="A34" s="1" t="s">
        <v>43</v>
      </c>
      <c r="B34" s="1"/>
      <c r="C34" s="1"/>
      <c r="D34" s="1"/>
      <c r="E34" s="1"/>
      <c r="F34" s="1"/>
      <c r="G34" s="1"/>
      <c r="H34" s="1"/>
      <c r="I34" s="1"/>
      <c r="J34" s="1"/>
      <c r="K34" s="1"/>
      <c r="L34" s="1"/>
      <c r="M34" s="1"/>
      <c r="N34" s="1"/>
    </row>
    <row r="35" spans="1:14" ht="27.95" customHeight="1" x14ac:dyDescent="0.2">
      <c r="A35" s="1" t="s">
        <v>44</v>
      </c>
      <c r="B35" s="1"/>
      <c r="C35" s="1"/>
      <c r="D35" s="1"/>
      <c r="E35" s="1"/>
      <c r="F35" s="1"/>
      <c r="G35" s="1"/>
      <c r="H35" s="1"/>
      <c r="I35" s="1"/>
      <c r="J35" s="1"/>
      <c r="K35" s="1"/>
      <c r="L35" s="1"/>
      <c r="M35" s="1"/>
      <c r="N35" s="1"/>
    </row>
    <row r="36" spans="1:14" ht="27.95" customHeight="1" x14ac:dyDescent="0.2">
      <c r="A36" s="1" t="s">
        <v>45</v>
      </c>
      <c r="B36" s="1"/>
      <c r="C36" s="1"/>
      <c r="D36" s="1"/>
      <c r="E36" s="1"/>
      <c r="F36" s="1"/>
      <c r="G36" s="1"/>
      <c r="H36" s="1"/>
      <c r="I36" s="1"/>
      <c r="J36" s="1"/>
      <c r="K36" s="1"/>
      <c r="L36" s="1"/>
      <c r="M36" s="1"/>
      <c r="N36" s="1"/>
    </row>
    <row r="37" spans="1:14" ht="27.95" customHeight="1" x14ac:dyDescent="0.2">
      <c r="A37" s="1" t="s">
        <v>46</v>
      </c>
      <c r="B37" s="1"/>
      <c r="C37" s="1"/>
      <c r="D37" s="1"/>
      <c r="E37" s="1"/>
      <c r="F37" s="1"/>
      <c r="G37" s="1"/>
      <c r="H37" s="1"/>
      <c r="I37" s="1"/>
      <c r="J37" s="1"/>
      <c r="K37" s="1"/>
      <c r="L37" s="1"/>
      <c r="M37" s="1"/>
      <c r="N37" s="1"/>
    </row>
    <row r="38" spans="1:14" ht="27.95" customHeight="1" x14ac:dyDescent="0.2">
      <c r="A38" s="1" t="s">
        <v>47</v>
      </c>
      <c r="B38" s="1"/>
      <c r="C38" s="1"/>
      <c r="D38" s="1"/>
      <c r="E38" s="1"/>
      <c r="F38" s="1"/>
      <c r="G38" s="1"/>
      <c r="H38" s="1"/>
      <c r="I38" s="1"/>
      <c r="J38" s="1"/>
      <c r="K38" s="1"/>
      <c r="L38" s="1"/>
      <c r="M38" s="1"/>
      <c r="N38" s="1"/>
    </row>
    <row r="39" spans="1:14" ht="27.95" customHeight="1" x14ac:dyDescent="0.2">
      <c r="A39" s="1" t="s">
        <v>48</v>
      </c>
      <c r="B39" s="1"/>
      <c r="C39" s="1"/>
      <c r="D39" s="1"/>
      <c r="E39" s="1"/>
      <c r="F39" s="1"/>
      <c r="G39" s="1"/>
      <c r="H39" s="1"/>
      <c r="I39" s="1"/>
      <c r="J39" s="1"/>
      <c r="K39" s="1"/>
      <c r="L39" s="1"/>
      <c r="M39" s="1"/>
      <c r="N39" s="1"/>
    </row>
    <row r="40" spans="1:14" ht="27.95" customHeight="1" x14ac:dyDescent="0.2">
      <c r="A40" s="1" t="s">
        <v>49</v>
      </c>
      <c r="B40" s="1"/>
      <c r="C40" s="1"/>
      <c r="D40" s="1"/>
      <c r="E40" s="1"/>
      <c r="F40" s="1"/>
      <c r="G40" s="1"/>
      <c r="H40" s="1"/>
      <c r="I40" s="1"/>
      <c r="J40" s="1"/>
      <c r="K40" s="1"/>
      <c r="L40" s="1"/>
      <c r="M40" s="1"/>
      <c r="N40" s="1"/>
    </row>
    <row r="41" spans="1:14" ht="27.95" customHeight="1" x14ac:dyDescent="0.2">
      <c r="A41" s="1" t="s">
        <v>50</v>
      </c>
      <c r="B41" s="1"/>
      <c r="C41" s="1"/>
      <c r="D41" s="1"/>
      <c r="E41" s="1"/>
      <c r="F41" s="1"/>
      <c r="G41" s="1"/>
      <c r="H41" s="1"/>
      <c r="I41" s="1"/>
      <c r="J41" s="1"/>
      <c r="K41" s="1"/>
      <c r="L41" s="1"/>
      <c r="M41" s="1"/>
      <c r="N41" s="1"/>
    </row>
    <row r="42" spans="1:14" ht="27.95" customHeight="1" x14ac:dyDescent="0.2">
      <c r="A42" s="1" t="s">
        <v>51</v>
      </c>
      <c r="B42" s="1"/>
      <c r="C42" s="1"/>
      <c r="D42" s="1"/>
      <c r="E42" s="1"/>
      <c r="F42" s="1"/>
      <c r="G42" s="1"/>
      <c r="H42" s="1"/>
      <c r="I42" s="1"/>
      <c r="J42" s="1"/>
      <c r="K42" s="1"/>
      <c r="L42" s="1"/>
      <c r="M42" s="1"/>
      <c r="N42" s="1"/>
    </row>
    <row r="43" spans="1:14" x14ac:dyDescent="0.2">
      <c r="A43" s="1"/>
      <c r="B43" s="1"/>
      <c r="C43" s="1"/>
      <c r="D43" s="1"/>
      <c r="E43" s="1"/>
      <c r="F43" s="1"/>
      <c r="G43" s="1"/>
      <c r="H43" s="1"/>
      <c r="I43" s="1"/>
      <c r="J43" s="1"/>
      <c r="K43" s="1"/>
      <c r="L43" s="1"/>
      <c r="M43" s="1"/>
      <c r="N43" s="1"/>
    </row>
    <row r="44" spans="1:14" x14ac:dyDescent="0.2">
      <c r="A44" s="1"/>
      <c r="B44" s="1"/>
      <c r="C44" s="1"/>
      <c r="D44" s="1"/>
      <c r="E44" s="1"/>
      <c r="F44" s="1"/>
      <c r="G44" s="1"/>
      <c r="H44" s="1"/>
      <c r="I44" s="1"/>
      <c r="J44" s="1"/>
      <c r="K44" s="1"/>
      <c r="L44" s="1"/>
      <c r="M44" s="1"/>
      <c r="N44" s="1"/>
    </row>
    <row r="45" spans="1:14" x14ac:dyDescent="0.2">
      <c r="A45" s="1"/>
      <c r="B45" s="1"/>
      <c r="C45" s="1"/>
      <c r="D45" s="1"/>
      <c r="E45" s="1"/>
      <c r="F45" s="1"/>
      <c r="G45" s="1"/>
      <c r="H45" s="1"/>
      <c r="I45" s="1"/>
      <c r="J45" s="1"/>
      <c r="K45" s="1"/>
      <c r="L45" s="1"/>
      <c r="M45" s="1"/>
      <c r="N45" s="1"/>
    </row>
    <row r="46" spans="1:14" x14ac:dyDescent="0.2">
      <c r="A46" s="1"/>
      <c r="B46" s="1"/>
      <c r="C46" s="1"/>
      <c r="D46" s="1"/>
      <c r="E46" s="1"/>
      <c r="F46" s="1"/>
      <c r="G46" s="1"/>
      <c r="H46" s="1"/>
      <c r="I46" s="1"/>
      <c r="J46" s="1"/>
      <c r="K46" s="1"/>
      <c r="L46" s="1"/>
      <c r="M46" s="1"/>
      <c r="N46" s="1"/>
    </row>
    <row r="47" spans="1:14" x14ac:dyDescent="0.2">
      <c r="A47" s="1"/>
      <c r="B47" s="1"/>
      <c r="C47" s="1"/>
      <c r="D47" s="1"/>
      <c r="E47" s="1"/>
      <c r="F47" s="1"/>
      <c r="G47" s="1"/>
      <c r="H47" s="1"/>
      <c r="I47" s="1"/>
      <c r="J47" s="1"/>
      <c r="K47" s="1"/>
      <c r="L47" s="1"/>
      <c r="M47" s="1"/>
      <c r="N47" s="1"/>
    </row>
    <row r="48" spans="1:14" x14ac:dyDescent="0.2">
      <c r="A48" s="1"/>
      <c r="B48" s="1"/>
      <c r="C48" s="1"/>
      <c r="D48" s="1"/>
      <c r="E48" s="1"/>
      <c r="F48" s="1"/>
      <c r="G48" s="1"/>
      <c r="H48" s="1"/>
      <c r="I48" s="1"/>
      <c r="J48" s="1"/>
      <c r="K48" s="1"/>
      <c r="L48" s="1"/>
      <c r="M48" s="1"/>
      <c r="N4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33"/>
  <sheetViews>
    <sheetView showGridLines="0" zoomScale="85" zoomScaleNormal="85" workbookViewId="0">
      <pane xSplit="2" ySplit="1" topLeftCell="P2" activePane="bottomRight" state="frozen"/>
      <selection pane="topRight"/>
      <selection pane="bottomLeft"/>
      <selection pane="bottomRight" activeCell="Y1" sqref="Y1:Z1"/>
    </sheetView>
  </sheetViews>
  <sheetFormatPr defaultRowHeight="14.25" x14ac:dyDescent="0.2"/>
  <cols>
    <col min="1" max="1" width="17" customWidth="1"/>
    <col min="2" max="2" width="9" customWidth="1"/>
    <col min="3" max="3" width="25" customWidth="1"/>
    <col min="4" max="4" width="65" customWidth="1"/>
    <col min="5" max="5" width="25" customWidth="1"/>
    <col min="6" max="6" width="45" customWidth="1"/>
    <col min="7" max="7" width="18" customWidth="1"/>
    <col min="8" max="8" width="45" customWidth="1"/>
    <col min="9" max="9" width="65" customWidth="1"/>
    <col min="10" max="10" width="75" customWidth="1"/>
    <col min="11" max="12" width="27" customWidth="1"/>
    <col min="13" max="13" width="55" customWidth="1"/>
    <col min="14" max="14" width="30" customWidth="1"/>
    <col min="15" max="15" width="70" customWidth="1"/>
    <col min="16" max="31" width="21" customWidth="1"/>
  </cols>
  <sheetData>
    <row r="1" spans="1:31" ht="48" customHeight="1" x14ac:dyDescent="0.2">
      <c r="A1" s="2" t="s">
        <v>52</v>
      </c>
      <c r="B1" s="2" t="s">
        <v>53</v>
      </c>
      <c r="C1" s="2" t="s">
        <v>54</v>
      </c>
      <c r="D1" s="2" t="s">
        <v>55</v>
      </c>
      <c r="E1" s="2" t="s">
        <v>56</v>
      </c>
      <c r="F1" s="2" t="s">
        <v>57</v>
      </c>
      <c r="G1" s="2" t="s">
        <v>7</v>
      </c>
      <c r="H1" s="2" t="s">
        <v>10</v>
      </c>
      <c r="I1" s="2" t="s">
        <v>58</v>
      </c>
      <c r="J1" s="2" t="s">
        <v>59</v>
      </c>
      <c r="K1" s="2" t="s">
        <v>60</v>
      </c>
      <c r="L1" s="2" t="s">
        <v>61</v>
      </c>
      <c r="M1" s="2" t="s">
        <v>62</v>
      </c>
      <c r="N1" s="2" t="s">
        <v>63</v>
      </c>
      <c r="O1" s="2" t="s">
        <v>64</v>
      </c>
      <c r="P1" s="12" t="s">
        <v>1076</v>
      </c>
      <c r="Q1" s="12" t="s">
        <v>14</v>
      </c>
      <c r="R1" s="12" t="s">
        <v>17</v>
      </c>
      <c r="S1" s="12" t="s">
        <v>20</v>
      </c>
      <c r="T1" s="12" t="s">
        <v>23</v>
      </c>
      <c r="U1" s="12" t="s">
        <v>26</v>
      </c>
      <c r="V1" s="12" t="s">
        <v>1077</v>
      </c>
      <c r="W1" s="12" t="s">
        <v>30</v>
      </c>
      <c r="X1" s="12" t="s">
        <v>1075</v>
      </c>
      <c r="Y1" s="14" t="s">
        <v>1078</v>
      </c>
      <c r="Z1" s="14" t="s">
        <v>1079</v>
      </c>
      <c r="AA1" s="11" t="s">
        <v>1071</v>
      </c>
      <c r="AB1" s="11" t="s">
        <v>1072</v>
      </c>
      <c r="AC1" s="11" t="s">
        <v>1073</v>
      </c>
      <c r="AD1" s="11" t="s">
        <v>1074</v>
      </c>
      <c r="AE1" s="2" t="s">
        <v>29</v>
      </c>
    </row>
    <row r="2" spans="1:31" ht="78" customHeight="1" x14ac:dyDescent="0.2">
      <c r="A2" s="3" t="s">
        <v>65</v>
      </c>
      <c r="B2" s="4">
        <v>1</v>
      </c>
      <c r="C2" s="3" t="s">
        <v>34</v>
      </c>
      <c r="D2" s="3" t="s">
        <v>66</v>
      </c>
      <c r="E2" s="3" t="s">
        <v>14</v>
      </c>
      <c r="F2" s="3" t="s">
        <v>26</v>
      </c>
      <c r="G2" s="3" t="s">
        <v>15</v>
      </c>
      <c r="H2" s="3" t="s">
        <v>29</v>
      </c>
      <c r="I2" s="3" t="s">
        <v>67</v>
      </c>
      <c r="J2" s="3" t="s">
        <v>68</v>
      </c>
      <c r="K2" s="3" t="s">
        <v>69</v>
      </c>
      <c r="L2" s="3" t="s">
        <v>70</v>
      </c>
      <c r="M2" s="3" t="s">
        <v>71</v>
      </c>
      <c r="N2" s="3" t="s">
        <v>72</v>
      </c>
      <c r="O2" s="3" t="s">
        <v>73</v>
      </c>
      <c r="P2" s="4">
        <f t="shared" ref="P2:P33" si="0">IF(OR(E2="Delegation",ISNUMBER(SEARCH("; Delegation; ","; "&amp;F2&amp;"; "))),1,0)</f>
        <v>0</v>
      </c>
      <c r="Q2" s="4">
        <f t="shared" ref="Q2:Q33" si="1">IF(OR(E2="Directed delegation",ISNUMBER(SEARCH("; Directed delegation; ","; "&amp;F2&amp;"; "))),1,0)</f>
        <v>1</v>
      </c>
      <c r="R2" s="4">
        <f t="shared" ref="R2:R33" si="2">IF(OR(E2="Evaluation",ISNUMBER(SEARCH("; Evaluation; ","; "&amp;F2&amp;"; "))),1,0)</f>
        <v>0</v>
      </c>
      <c r="S2" s="4">
        <f t="shared" ref="S2:S33" si="3">IF(OR(E2="Correction/Challenge",ISNUMBER(SEARCH("; Correction/Challenge; ","; "&amp;F2&amp;"; "))),1,0)</f>
        <v>0</v>
      </c>
      <c r="T2" s="4">
        <f t="shared" ref="T2:T33" si="4">IF(OR(E2="Redirection",ISNUMBER(SEARCH("; Redirection; ","; "&amp;F2&amp;"; "))),1,0)</f>
        <v>0</v>
      </c>
      <c r="U2" s="4">
        <f t="shared" ref="U2:U33" si="5">IF(OR(E2="Knowledge injection",ISNUMBER(SEARCH("; Knowledge injection; ","; "&amp;F2&amp;"; "))),1,0)</f>
        <v>1</v>
      </c>
      <c r="V2" s="4">
        <f t="shared" ref="V2:V33" si="6">IF(OR(E2="Selection/Rejection",ISNUMBER(SEARCH("; Selection/Rejection; ","; "&amp;F2&amp;"; "))),1,0)</f>
        <v>0</v>
      </c>
      <c r="W2" s="4">
        <f t="shared" ref="W2:W33" si="7">IF(OR(E2="Deliberation",ISNUMBER(SEARCH("; Deliberation; ","; "&amp;F2&amp;"; "))),1,0)</f>
        <v>0</v>
      </c>
      <c r="X2" s="13">
        <f>SUM(Paper7Coding[[#This Row],[Subject-matter correction]:[Genre/ writing expertise]])</f>
        <v>0</v>
      </c>
      <c r="Y2" s="4">
        <f t="shared" ref="Y2:Y33" si="8">IF(ISNUMBER(SEARCH("; domain correction; ","; "&amp;H2&amp;"; ")),1,0)</f>
        <v>0</v>
      </c>
      <c r="Z2" s="4">
        <f t="shared" ref="Z2:Z33" si="9">IF(ISNUMBER(SEARCH("; conceptual discrimination; ","; "&amp;H2&amp;"; ")),1,0)</f>
        <v>0</v>
      </c>
      <c r="AA2" s="4">
        <f t="shared" ref="AA2:AA33" si="10">IF(ISNUMBER(SEARCH("; evidence judgment; ","; "&amp;H2&amp;"; ")),1,0)</f>
        <v>0</v>
      </c>
      <c r="AB2" s="4">
        <f t="shared" ref="AB2:AB33" si="11">IF(ISNUMBER(SEARCH("; methodological judgment; ","; "&amp;H2&amp;"; ")),1,0)</f>
        <v>0</v>
      </c>
      <c r="AC2" s="4">
        <f t="shared" ref="AC2:AC33" si="12">IF(ISNUMBER(SEARCH("; argumentative judgment; ","; "&amp;H2&amp;"; ")),1,0)</f>
        <v>0</v>
      </c>
      <c r="AD2" s="4">
        <f t="shared" ref="AD2:AD33" si="13">IF(ISNUMBER(SEARCH("; genre/writing expertise; ","; "&amp;H2&amp;"; ")),1,0)</f>
        <v>0</v>
      </c>
      <c r="AE2" s="4">
        <f t="shared" ref="AE2:AE33" si="14">IF(ISNUMBER(SEARCH("; none; ","; "&amp;H2&amp;"; ")),1,0)</f>
        <v>1</v>
      </c>
    </row>
    <row r="3" spans="1:31" ht="60" customHeight="1" x14ac:dyDescent="0.2">
      <c r="A3" s="3" t="s">
        <v>74</v>
      </c>
      <c r="B3" s="4">
        <v>2</v>
      </c>
      <c r="C3" s="3" t="s">
        <v>34</v>
      </c>
      <c r="D3" s="3" t="s">
        <v>75</v>
      </c>
      <c r="E3" s="3" t="s">
        <v>20</v>
      </c>
      <c r="F3" s="3" t="s">
        <v>28</v>
      </c>
      <c r="G3" s="3" t="s">
        <v>21</v>
      </c>
      <c r="H3" s="3" t="s">
        <v>25</v>
      </c>
      <c r="I3" s="3" t="s">
        <v>76</v>
      </c>
      <c r="J3" s="3" t="s">
        <v>77</v>
      </c>
      <c r="K3" s="3" t="s">
        <v>78</v>
      </c>
      <c r="L3" s="3" t="s">
        <v>79</v>
      </c>
      <c r="M3" s="3"/>
      <c r="N3" s="3" t="s">
        <v>72</v>
      </c>
      <c r="O3" s="3"/>
      <c r="P3" s="4">
        <f t="shared" si="0"/>
        <v>0</v>
      </c>
      <c r="Q3" s="4">
        <f t="shared" si="1"/>
        <v>0</v>
      </c>
      <c r="R3" s="4">
        <f t="shared" si="2"/>
        <v>0</v>
      </c>
      <c r="S3" s="4">
        <f t="shared" si="3"/>
        <v>1</v>
      </c>
      <c r="T3" s="4">
        <f t="shared" si="4"/>
        <v>0</v>
      </c>
      <c r="U3" s="4">
        <f t="shared" si="5"/>
        <v>0</v>
      </c>
      <c r="V3" s="4">
        <f t="shared" si="6"/>
        <v>1</v>
      </c>
      <c r="W3" s="4">
        <f t="shared" si="7"/>
        <v>0</v>
      </c>
      <c r="X3" s="13">
        <f>SUM(Paper7Coding[[#This Row],[Subject-matter correction]:[Genre/ writing expertise]])</f>
        <v>1</v>
      </c>
      <c r="Y3" s="4">
        <f t="shared" si="8"/>
        <v>0</v>
      </c>
      <c r="Z3" s="4">
        <f t="shared" si="9"/>
        <v>0</v>
      </c>
      <c r="AA3" s="4">
        <f t="shared" si="10"/>
        <v>0</v>
      </c>
      <c r="AB3" s="4">
        <f t="shared" si="11"/>
        <v>0</v>
      </c>
      <c r="AC3" s="4">
        <f t="shared" si="12"/>
        <v>1</v>
      </c>
      <c r="AD3" s="4">
        <f t="shared" si="13"/>
        <v>0</v>
      </c>
      <c r="AE3" s="4">
        <f t="shared" si="14"/>
        <v>0</v>
      </c>
    </row>
    <row r="4" spans="1:31" ht="63.95" customHeight="1" x14ac:dyDescent="0.2">
      <c r="A4" s="3" t="s">
        <v>80</v>
      </c>
      <c r="B4" s="4">
        <v>3</v>
      </c>
      <c r="C4" s="3" t="s">
        <v>34</v>
      </c>
      <c r="D4" s="3" t="s">
        <v>81</v>
      </c>
      <c r="E4" s="3" t="s">
        <v>23</v>
      </c>
      <c r="F4" s="3" t="s">
        <v>82</v>
      </c>
      <c r="G4" s="3" t="s">
        <v>15</v>
      </c>
      <c r="H4" s="3" t="s">
        <v>83</v>
      </c>
      <c r="I4" s="3" t="s">
        <v>84</v>
      </c>
      <c r="J4" s="3" t="s">
        <v>85</v>
      </c>
      <c r="K4" s="3" t="s">
        <v>86</v>
      </c>
      <c r="L4" s="3" t="s">
        <v>87</v>
      </c>
      <c r="M4" s="3"/>
      <c r="N4" s="3" t="s">
        <v>72</v>
      </c>
      <c r="O4" s="3"/>
      <c r="P4" s="4">
        <f t="shared" si="0"/>
        <v>0</v>
      </c>
      <c r="Q4" s="4">
        <f t="shared" si="1"/>
        <v>1</v>
      </c>
      <c r="R4" s="4">
        <f t="shared" si="2"/>
        <v>0</v>
      </c>
      <c r="S4" s="4">
        <f t="shared" si="3"/>
        <v>0</v>
      </c>
      <c r="T4" s="4">
        <f t="shared" si="4"/>
        <v>1</v>
      </c>
      <c r="U4" s="4">
        <f t="shared" si="5"/>
        <v>1</v>
      </c>
      <c r="V4" s="4">
        <f t="shared" si="6"/>
        <v>0</v>
      </c>
      <c r="W4" s="4">
        <f t="shared" si="7"/>
        <v>0</v>
      </c>
      <c r="X4" s="13">
        <f>SUM(Paper7Coding[[#This Row],[Subject-matter correction]:[Genre/ writing expertise]])</f>
        <v>2</v>
      </c>
      <c r="Y4" s="4">
        <f t="shared" si="8"/>
        <v>0</v>
      </c>
      <c r="Z4" s="4">
        <f t="shared" si="9"/>
        <v>0</v>
      </c>
      <c r="AA4" s="4">
        <f t="shared" si="10"/>
        <v>0</v>
      </c>
      <c r="AB4" s="4">
        <f t="shared" si="11"/>
        <v>1</v>
      </c>
      <c r="AC4" s="4">
        <f t="shared" si="12"/>
        <v>1</v>
      </c>
      <c r="AD4" s="4">
        <f t="shared" si="13"/>
        <v>0</v>
      </c>
      <c r="AE4" s="4">
        <f t="shared" si="14"/>
        <v>0</v>
      </c>
    </row>
    <row r="5" spans="1:31" ht="60" customHeight="1" x14ac:dyDescent="0.2">
      <c r="A5" s="3" t="s">
        <v>88</v>
      </c>
      <c r="B5" s="4">
        <v>4</v>
      </c>
      <c r="C5" s="3" t="s">
        <v>34</v>
      </c>
      <c r="D5" s="3" t="s">
        <v>89</v>
      </c>
      <c r="E5" s="3" t="s">
        <v>14</v>
      </c>
      <c r="F5" s="3"/>
      <c r="G5" s="3" t="s">
        <v>15</v>
      </c>
      <c r="H5" s="3" t="s">
        <v>22</v>
      </c>
      <c r="I5" s="3" t="s">
        <v>90</v>
      </c>
      <c r="J5" s="3" t="s">
        <v>91</v>
      </c>
      <c r="K5" s="3" t="s">
        <v>92</v>
      </c>
      <c r="L5" s="3" t="s">
        <v>93</v>
      </c>
      <c r="M5" s="3"/>
      <c r="N5" s="3" t="s">
        <v>72</v>
      </c>
      <c r="O5" s="3"/>
      <c r="P5" s="4">
        <f t="shared" si="0"/>
        <v>0</v>
      </c>
      <c r="Q5" s="4">
        <f t="shared" si="1"/>
        <v>1</v>
      </c>
      <c r="R5" s="4">
        <f t="shared" si="2"/>
        <v>0</v>
      </c>
      <c r="S5" s="4">
        <f t="shared" si="3"/>
        <v>0</v>
      </c>
      <c r="T5" s="4">
        <f t="shared" si="4"/>
        <v>0</v>
      </c>
      <c r="U5" s="4">
        <f t="shared" si="5"/>
        <v>0</v>
      </c>
      <c r="V5" s="4">
        <f t="shared" si="6"/>
        <v>0</v>
      </c>
      <c r="W5" s="4">
        <f t="shared" si="7"/>
        <v>0</v>
      </c>
      <c r="X5" s="13">
        <f>SUM(Paper7Coding[[#This Row],[Subject-matter correction]:[Genre/ writing expertise]])</f>
        <v>1</v>
      </c>
      <c r="Y5" s="4">
        <f t="shared" si="8"/>
        <v>0</v>
      </c>
      <c r="Z5" s="4">
        <f t="shared" si="9"/>
        <v>0</v>
      </c>
      <c r="AA5" s="4">
        <f t="shared" si="10"/>
        <v>0</v>
      </c>
      <c r="AB5" s="4">
        <f t="shared" si="11"/>
        <v>1</v>
      </c>
      <c r="AC5" s="4">
        <f t="shared" si="12"/>
        <v>0</v>
      </c>
      <c r="AD5" s="4">
        <f t="shared" si="13"/>
        <v>0</v>
      </c>
      <c r="AE5" s="4">
        <f t="shared" si="14"/>
        <v>0</v>
      </c>
    </row>
    <row r="6" spans="1:31" ht="92.1" customHeight="1" x14ac:dyDescent="0.2">
      <c r="A6" s="3" t="s">
        <v>94</v>
      </c>
      <c r="B6" s="4">
        <v>5</v>
      </c>
      <c r="C6" s="3" t="s">
        <v>34</v>
      </c>
      <c r="D6" s="3" t="s">
        <v>95</v>
      </c>
      <c r="E6" s="3" t="s">
        <v>14</v>
      </c>
      <c r="F6" s="3" t="s">
        <v>28</v>
      </c>
      <c r="G6" s="3" t="s">
        <v>15</v>
      </c>
      <c r="H6" s="3" t="s">
        <v>22</v>
      </c>
      <c r="I6" s="3" t="s">
        <v>96</v>
      </c>
      <c r="J6" s="3" t="s">
        <v>97</v>
      </c>
      <c r="K6" s="3" t="s">
        <v>98</v>
      </c>
      <c r="L6" s="3" t="s">
        <v>99</v>
      </c>
      <c r="M6" s="3"/>
      <c r="N6" s="3" t="s">
        <v>72</v>
      </c>
      <c r="O6" s="3"/>
      <c r="P6" s="4">
        <f t="shared" si="0"/>
        <v>0</v>
      </c>
      <c r="Q6" s="4">
        <f t="shared" si="1"/>
        <v>1</v>
      </c>
      <c r="R6" s="4">
        <f t="shared" si="2"/>
        <v>0</v>
      </c>
      <c r="S6" s="4">
        <f t="shared" si="3"/>
        <v>0</v>
      </c>
      <c r="T6" s="4">
        <f t="shared" si="4"/>
        <v>0</v>
      </c>
      <c r="U6" s="4">
        <f t="shared" si="5"/>
        <v>0</v>
      </c>
      <c r="V6" s="4">
        <f t="shared" si="6"/>
        <v>1</v>
      </c>
      <c r="W6" s="4">
        <f t="shared" si="7"/>
        <v>0</v>
      </c>
      <c r="X6" s="13">
        <f>SUM(Paper7Coding[[#This Row],[Subject-matter correction]:[Genre/ writing expertise]])</f>
        <v>1</v>
      </c>
      <c r="Y6" s="4">
        <f t="shared" si="8"/>
        <v>0</v>
      </c>
      <c r="Z6" s="4">
        <f t="shared" si="9"/>
        <v>0</v>
      </c>
      <c r="AA6" s="4">
        <f t="shared" si="10"/>
        <v>0</v>
      </c>
      <c r="AB6" s="4">
        <f t="shared" si="11"/>
        <v>1</v>
      </c>
      <c r="AC6" s="4">
        <f t="shared" si="12"/>
        <v>0</v>
      </c>
      <c r="AD6" s="4">
        <f t="shared" si="13"/>
        <v>0</v>
      </c>
      <c r="AE6" s="4">
        <f t="shared" si="14"/>
        <v>0</v>
      </c>
    </row>
    <row r="7" spans="1:31" ht="60" customHeight="1" x14ac:dyDescent="0.2">
      <c r="A7" s="3" t="s">
        <v>100</v>
      </c>
      <c r="B7" s="4">
        <v>6</v>
      </c>
      <c r="C7" s="3" t="s">
        <v>34</v>
      </c>
      <c r="D7" s="3" t="s">
        <v>101</v>
      </c>
      <c r="E7" s="3" t="s">
        <v>28</v>
      </c>
      <c r="F7" s="3" t="s">
        <v>14</v>
      </c>
      <c r="G7" s="3" t="s">
        <v>15</v>
      </c>
      <c r="H7" s="3" t="s">
        <v>29</v>
      </c>
      <c r="I7" s="3" t="s">
        <v>102</v>
      </c>
      <c r="J7" s="3" t="s">
        <v>103</v>
      </c>
      <c r="K7" s="3" t="s">
        <v>104</v>
      </c>
      <c r="L7" s="3" t="s">
        <v>105</v>
      </c>
      <c r="M7" s="3"/>
      <c r="N7" s="3" t="s">
        <v>72</v>
      </c>
      <c r="O7" s="3"/>
      <c r="P7" s="4">
        <f t="shared" si="0"/>
        <v>0</v>
      </c>
      <c r="Q7" s="4">
        <f t="shared" si="1"/>
        <v>1</v>
      </c>
      <c r="R7" s="4">
        <f t="shared" si="2"/>
        <v>0</v>
      </c>
      <c r="S7" s="4">
        <f t="shared" si="3"/>
        <v>0</v>
      </c>
      <c r="T7" s="4">
        <f t="shared" si="4"/>
        <v>0</v>
      </c>
      <c r="U7" s="4">
        <f t="shared" si="5"/>
        <v>0</v>
      </c>
      <c r="V7" s="4">
        <f t="shared" si="6"/>
        <v>1</v>
      </c>
      <c r="W7" s="4">
        <f t="shared" si="7"/>
        <v>0</v>
      </c>
      <c r="X7" s="13">
        <f>SUM(Paper7Coding[[#This Row],[Subject-matter correction]:[Genre/ writing expertise]])</f>
        <v>0</v>
      </c>
      <c r="Y7" s="4">
        <f t="shared" si="8"/>
        <v>0</v>
      </c>
      <c r="Z7" s="4">
        <f t="shared" si="9"/>
        <v>0</v>
      </c>
      <c r="AA7" s="4">
        <f t="shared" si="10"/>
        <v>0</v>
      </c>
      <c r="AB7" s="4">
        <f t="shared" si="11"/>
        <v>0</v>
      </c>
      <c r="AC7" s="4">
        <f t="shared" si="12"/>
        <v>0</v>
      </c>
      <c r="AD7" s="4">
        <f t="shared" si="13"/>
        <v>0</v>
      </c>
      <c r="AE7" s="4">
        <f t="shared" si="14"/>
        <v>1</v>
      </c>
    </row>
    <row r="8" spans="1:31" ht="60" customHeight="1" x14ac:dyDescent="0.2">
      <c r="A8" s="3" t="s">
        <v>106</v>
      </c>
      <c r="B8" s="4">
        <v>7</v>
      </c>
      <c r="C8" s="3" t="s">
        <v>34</v>
      </c>
      <c r="D8" s="3" t="s">
        <v>107</v>
      </c>
      <c r="E8" s="3" t="s">
        <v>11</v>
      </c>
      <c r="F8" s="3"/>
      <c r="G8" s="3" t="s">
        <v>12</v>
      </c>
      <c r="H8" s="3" t="s">
        <v>29</v>
      </c>
      <c r="I8" s="3" t="s">
        <v>108</v>
      </c>
      <c r="J8" s="3" t="s">
        <v>109</v>
      </c>
      <c r="K8" s="3" t="s">
        <v>110</v>
      </c>
      <c r="L8" s="3" t="s">
        <v>111</v>
      </c>
      <c r="M8" s="3"/>
      <c r="N8" s="3" t="s">
        <v>72</v>
      </c>
      <c r="O8" s="3"/>
      <c r="P8" s="4">
        <f t="shared" si="0"/>
        <v>1</v>
      </c>
      <c r="Q8" s="4">
        <f t="shared" si="1"/>
        <v>0</v>
      </c>
      <c r="R8" s="4">
        <f t="shared" si="2"/>
        <v>0</v>
      </c>
      <c r="S8" s="4">
        <f t="shared" si="3"/>
        <v>0</v>
      </c>
      <c r="T8" s="4">
        <f t="shared" si="4"/>
        <v>0</v>
      </c>
      <c r="U8" s="4">
        <f t="shared" si="5"/>
        <v>0</v>
      </c>
      <c r="V8" s="4">
        <f t="shared" si="6"/>
        <v>0</v>
      </c>
      <c r="W8" s="4">
        <f t="shared" si="7"/>
        <v>0</v>
      </c>
      <c r="X8" s="13">
        <f>SUM(Paper7Coding[[#This Row],[Subject-matter correction]:[Genre/ writing expertise]])</f>
        <v>0</v>
      </c>
      <c r="Y8" s="4">
        <f t="shared" si="8"/>
        <v>0</v>
      </c>
      <c r="Z8" s="4">
        <f t="shared" si="9"/>
        <v>0</v>
      </c>
      <c r="AA8" s="4">
        <f t="shared" si="10"/>
        <v>0</v>
      </c>
      <c r="AB8" s="4">
        <f t="shared" si="11"/>
        <v>0</v>
      </c>
      <c r="AC8" s="4">
        <f t="shared" si="12"/>
        <v>0</v>
      </c>
      <c r="AD8" s="4">
        <f t="shared" si="13"/>
        <v>0</v>
      </c>
      <c r="AE8" s="4">
        <f t="shared" si="14"/>
        <v>1</v>
      </c>
    </row>
    <row r="9" spans="1:31" ht="60" customHeight="1" x14ac:dyDescent="0.2">
      <c r="A9" s="3" t="s">
        <v>112</v>
      </c>
      <c r="B9" s="4">
        <v>8</v>
      </c>
      <c r="C9" s="3" t="s">
        <v>34</v>
      </c>
      <c r="D9" s="3" t="s">
        <v>113</v>
      </c>
      <c r="E9" s="3" t="s">
        <v>28</v>
      </c>
      <c r="F9" s="3"/>
      <c r="G9" s="3" t="s">
        <v>15</v>
      </c>
      <c r="H9" s="3" t="s">
        <v>29</v>
      </c>
      <c r="I9" s="3" t="s">
        <v>114</v>
      </c>
      <c r="J9" s="3" t="s">
        <v>115</v>
      </c>
      <c r="K9" s="3" t="s">
        <v>116</v>
      </c>
      <c r="L9" s="3" t="s">
        <v>117</v>
      </c>
      <c r="M9" s="3"/>
      <c r="N9" s="3" t="s">
        <v>72</v>
      </c>
      <c r="O9" s="3"/>
      <c r="P9" s="4">
        <f t="shared" si="0"/>
        <v>0</v>
      </c>
      <c r="Q9" s="4">
        <f t="shared" si="1"/>
        <v>0</v>
      </c>
      <c r="R9" s="4">
        <f t="shared" si="2"/>
        <v>0</v>
      </c>
      <c r="S9" s="4">
        <f t="shared" si="3"/>
        <v>0</v>
      </c>
      <c r="T9" s="4">
        <f t="shared" si="4"/>
        <v>0</v>
      </c>
      <c r="U9" s="4">
        <f t="shared" si="5"/>
        <v>0</v>
      </c>
      <c r="V9" s="4">
        <f t="shared" si="6"/>
        <v>1</v>
      </c>
      <c r="W9" s="4">
        <f t="shared" si="7"/>
        <v>0</v>
      </c>
      <c r="X9" s="13">
        <f>SUM(Paper7Coding[[#This Row],[Subject-matter correction]:[Genre/ writing expertise]])</f>
        <v>0</v>
      </c>
      <c r="Y9" s="4">
        <f t="shared" si="8"/>
        <v>0</v>
      </c>
      <c r="Z9" s="4">
        <f t="shared" si="9"/>
        <v>0</v>
      </c>
      <c r="AA9" s="4">
        <f t="shared" si="10"/>
        <v>0</v>
      </c>
      <c r="AB9" s="4">
        <f t="shared" si="11"/>
        <v>0</v>
      </c>
      <c r="AC9" s="4">
        <f t="shared" si="12"/>
        <v>0</v>
      </c>
      <c r="AD9" s="4">
        <f t="shared" si="13"/>
        <v>0</v>
      </c>
      <c r="AE9" s="4">
        <f t="shared" si="14"/>
        <v>1</v>
      </c>
    </row>
    <row r="10" spans="1:31" ht="60" customHeight="1" x14ac:dyDescent="0.2">
      <c r="A10" s="3" t="s">
        <v>118</v>
      </c>
      <c r="B10" s="4">
        <v>9</v>
      </c>
      <c r="C10" s="3" t="s">
        <v>34</v>
      </c>
      <c r="D10" s="3" t="s">
        <v>119</v>
      </c>
      <c r="E10" s="3" t="s">
        <v>11</v>
      </c>
      <c r="F10" s="3"/>
      <c r="G10" s="3" t="s">
        <v>12</v>
      </c>
      <c r="H10" s="3" t="s">
        <v>29</v>
      </c>
      <c r="I10" s="3" t="s">
        <v>120</v>
      </c>
      <c r="J10" s="3" t="s">
        <v>121</v>
      </c>
      <c r="K10" s="3" t="s">
        <v>122</v>
      </c>
      <c r="L10" s="3" t="s">
        <v>123</v>
      </c>
      <c r="M10" s="3"/>
      <c r="N10" s="3" t="s">
        <v>72</v>
      </c>
      <c r="O10" s="3"/>
      <c r="P10" s="4">
        <f t="shared" si="0"/>
        <v>1</v>
      </c>
      <c r="Q10" s="4">
        <f t="shared" si="1"/>
        <v>0</v>
      </c>
      <c r="R10" s="4">
        <f t="shared" si="2"/>
        <v>0</v>
      </c>
      <c r="S10" s="4">
        <f t="shared" si="3"/>
        <v>0</v>
      </c>
      <c r="T10" s="4">
        <f t="shared" si="4"/>
        <v>0</v>
      </c>
      <c r="U10" s="4">
        <f t="shared" si="5"/>
        <v>0</v>
      </c>
      <c r="V10" s="4">
        <f t="shared" si="6"/>
        <v>0</v>
      </c>
      <c r="W10" s="4">
        <f t="shared" si="7"/>
        <v>0</v>
      </c>
      <c r="X10" s="13">
        <f>SUM(Paper7Coding[[#This Row],[Subject-matter correction]:[Genre/ writing expertise]])</f>
        <v>0</v>
      </c>
      <c r="Y10" s="4">
        <f t="shared" si="8"/>
        <v>0</v>
      </c>
      <c r="Z10" s="4">
        <f t="shared" si="9"/>
        <v>0</v>
      </c>
      <c r="AA10" s="4">
        <f t="shared" si="10"/>
        <v>0</v>
      </c>
      <c r="AB10" s="4">
        <f t="shared" si="11"/>
        <v>0</v>
      </c>
      <c r="AC10" s="4">
        <f t="shared" si="12"/>
        <v>0</v>
      </c>
      <c r="AD10" s="4">
        <f t="shared" si="13"/>
        <v>0</v>
      </c>
      <c r="AE10" s="4">
        <f t="shared" si="14"/>
        <v>1</v>
      </c>
    </row>
    <row r="11" spans="1:31" ht="60" customHeight="1" x14ac:dyDescent="0.2">
      <c r="A11" s="3" t="s">
        <v>124</v>
      </c>
      <c r="B11" s="4">
        <v>10</v>
      </c>
      <c r="C11" s="3" t="s">
        <v>34</v>
      </c>
      <c r="D11" s="3" t="s">
        <v>125</v>
      </c>
      <c r="E11" s="3" t="s">
        <v>14</v>
      </c>
      <c r="F11" s="3"/>
      <c r="G11" s="3" t="s">
        <v>15</v>
      </c>
      <c r="H11" s="3" t="s">
        <v>126</v>
      </c>
      <c r="I11" s="3" t="s">
        <v>127</v>
      </c>
      <c r="J11" s="3" t="s">
        <v>128</v>
      </c>
      <c r="K11" s="3" t="s">
        <v>129</v>
      </c>
      <c r="L11" s="3" t="s">
        <v>130</v>
      </c>
      <c r="M11" s="3"/>
      <c r="N11" s="3" t="s">
        <v>72</v>
      </c>
      <c r="O11" s="3"/>
      <c r="P11" s="4">
        <f t="shared" si="0"/>
        <v>0</v>
      </c>
      <c r="Q11" s="4">
        <f t="shared" si="1"/>
        <v>1</v>
      </c>
      <c r="R11" s="4">
        <f t="shared" si="2"/>
        <v>0</v>
      </c>
      <c r="S11" s="4">
        <f t="shared" si="3"/>
        <v>0</v>
      </c>
      <c r="T11" s="4">
        <f t="shared" si="4"/>
        <v>0</v>
      </c>
      <c r="U11" s="4">
        <f t="shared" si="5"/>
        <v>0</v>
      </c>
      <c r="V11" s="4">
        <f t="shared" si="6"/>
        <v>0</v>
      </c>
      <c r="W11" s="4">
        <f t="shared" si="7"/>
        <v>0</v>
      </c>
      <c r="X11" s="13">
        <f>SUM(Paper7Coding[[#This Row],[Subject-matter correction]:[Genre/ writing expertise]])</f>
        <v>2</v>
      </c>
      <c r="Y11" s="4">
        <f t="shared" si="8"/>
        <v>0</v>
      </c>
      <c r="Z11" s="4">
        <f t="shared" si="9"/>
        <v>1</v>
      </c>
      <c r="AA11" s="4">
        <f t="shared" si="10"/>
        <v>0</v>
      </c>
      <c r="AB11" s="4">
        <f t="shared" si="11"/>
        <v>0</v>
      </c>
      <c r="AC11" s="4">
        <f t="shared" si="12"/>
        <v>0</v>
      </c>
      <c r="AD11" s="4">
        <f t="shared" si="13"/>
        <v>1</v>
      </c>
      <c r="AE11" s="4">
        <f t="shared" si="14"/>
        <v>0</v>
      </c>
    </row>
    <row r="12" spans="1:31" ht="63.95" customHeight="1" x14ac:dyDescent="0.2">
      <c r="A12" s="3" t="s">
        <v>131</v>
      </c>
      <c r="B12" s="4">
        <v>11</v>
      </c>
      <c r="C12" s="3" t="s">
        <v>34</v>
      </c>
      <c r="D12" s="3" t="s">
        <v>132</v>
      </c>
      <c r="E12" s="3" t="s">
        <v>23</v>
      </c>
      <c r="F12" s="3" t="s">
        <v>133</v>
      </c>
      <c r="G12" s="3" t="s">
        <v>15</v>
      </c>
      <c r="H12" s="3" t="s">
        <v>134</v>
      </c>
      <c r="I12" s="3" t="s">
        <v>135</v>
      </c>
      <c r="J12" s="3" t="s">
        <v>136</v>
      </c>
      <c r="K12" s="3" t="s">
        <v>137</v>
      </c>
      <c r="L12" s="3" t="s">
        <v>138</v>
      </c>
      <c r="M12" s="3"/>
      <c r="N12" s="3" t="s">
        <v>72</v>
      </c>
      <c r="O12" s="3"/>
      <c r="P12" s="4">
        <f t="shared" si="0"/>
        <v>0</v>
      </c>
      <c r="Q12" s="4">
        <f t="shared" si="1"/>
        <v>1</v>
      </c>
      <c r="R12" s="4">
        <f t="shared" si="2"/>
        <v>0</v>
      </c>
      <c r="S12" s="4">
        <f t="shared" si="3"/>
        <v>0</v>
      </c>
      <c r="T12" s="4">
        <f t="shared" si="4"/>
        <v>1</v>
      </c>
      <c r="U12" s="4">
        <f t="shared" si="5"/>
        <v>0</v>
      </c>
      <c r="V12" s="4">
        <f t="shared" si="6"/>
        <v>1</v>
      </c>
      <c r="W12" s="4">
        <f t="shared" si="7"/>
        <v>0</v>
      </c>
      <c r="X12" s="13">
        <f>SUM(Paper7Coding[[#This Row],[Subject-matter correction]:[Genre/ writing expertise]])</f>
        <v>2</v>
      </c>
      <c r="Y12" s="4">
        <f t="shared" si="8"/>
        <v>0</v>
      </c>
      <c r="Z12" s="4">
        <f t="shared" si="9"/>
        <v>0</v>
      </c>
      <c r="AA12" s="4">
        <f t="shared" si="10"/>
        <v>0</v>
      </c>
      <c r="AB12" s="4">
        <f t="shared" si="11"/>
        <v>1</v>
      </c>
      <c r="AC12" s="4">
        <f t="shared" si="12"/>
        <v>0</v>
      </c>
      <c r="AD12" s="4">
        <f t="shared" si="13"/>
        <v>1</v>
      </c>
      <c r="AE12" s="4">
        <f t="shared" si="14"/>
        <v>0</v>
      </c>
    </row>
    <row r="13" spans="1:31" ht="60" customHeight="1" x14ac:dyDescent="0.2">
      <c r="A13" s="3" t="s">
        <v>139</v>
      </c>
      <c r="B13" s="4">
        <v>12</v>
      </c>
      <c r="C13" s="3" t="s">
        <v>34</v>
      </c>
      <c r="D13" s="3" t="s">
        <v>140</v>
      </c>
      <c r="E13" s="3" t="s">
        <v>30</v>
      </c>
      <c r="F13" s="3" t="s">
        <v>17</v>
      </c>
      <c r="G13" s="3" t="s">
        <v>24</v>
      </c>
      <c r="H13" s="3" t="s">
        <v>16</v>
      </c>
      <c r="I13" s="3" t="s">
        <v>141</v>
      </c>
      <c r="J13" s="3" t="s">
        <v>142</v>
      </c>
      <c r="K13" s="3" t="s">
        <v>143</v>
      </c>
      <c r="L13" s="3" t="s">
        <v>144</v>
      </c>
      <c r="M13" s="3"/>
      <c r="N13" s="3" t="s">
        <v>72</v>
      </c>
      <c r="O13" s="3"/>
      <c r="P13" s="4">
        <f t="shared" si="0"/>
        <v>0</v>
      </c>
      <c r="Q13" s="4">
        <f t="shared" si="1"/>
        <v>0</v>
      </c>
      <c r="R13" s="4">
        <f t="shared" si="2"/>
        <v>1</v>
      </c>
      <c r="S13" s="4">
        <f t="shared" si="3"/>
        <v>0</v>
      </c>
      <c r="T13" s="4">
        <f t="shared" si="4"/>
        <v>0</v>
      </c>
      <c r="U13" s="4">
        <f t="shared" si="5"/>
        <v>0</v>
      </c>
      <c r="V13" s="4">
        <f t="shared" si="6"/>
        <v>0</v>
      </c>
      <c r="W13" s="4">
        <f t="shared" si="7"/>
        <v>1</v>
      </c>
      <c r="X13" s="13">
        <f>SUM(Paper7Coding[[#This Row],[Subject-matter correction]:[Genre/ writing expertise]])</f>
        <v>1</v>
      </c>
      <c r="Y13" s="4">
        <f t="shared" si="8"/>
        <v>0</v>
      </c>
      <c r="Z13" s="4">
        <f t="shared" si="9"/>
        <v>1</v>
      </c>
      <c r="AA13" s="4">
        <f t="shared" si="10"/>
        <v>0</v>
      </c>
      <c r="AB13" s="4">
        <f t="shared" si="11"/>
        <v>0</v>
      </c>
      <c r="AC13" s="4">
        <f t="shared" si="12"/>
        <v>0</v>
      </c>
      <c r="AD13" s="4">
        <f t="shared" si="13"/>
        <v>0</v>
      </c>
      <c r="AE13" s="4">
        <f t="shared" si="14"/>
        <v>0</v>
      </c>
    </row>
    <row r="14" spans="1:31" ht="63.95" customHeight="1" x14ac:dyDescent="0.2">
      <c r="A14" s="3" t="s">
        <v>145</v>
      </c>
      <c r="B14" s="4">
        <v>13</v>
      </c>
      <c r="C14" s="3" t="s">
        <v>34</v>
      </c>
      <c r="D14" s="3" t="s">
        <v>146</v>
      </c>
      <c r="E14" s="3" t="s">
        <v>14</v>
      </c>
      <c r="F14" s="3"/>
      <c r="G14" s="3" t="s">
        <v>15</v>
      </c>
      <c r="H14" s="3" t="s">
        <v>22</v>
      </c>
      <c r="I14" s="3" t="s">
        <v>147</v>
      </c>
      <c r="J14" s="3" t="s">
        <v>148</v>
      </c>
      <c r="K14" s="3" t="s">
        <v>149</v>
      </c>
      <c r="L14" s="3" t="s">
        <v>150</v>
      </c>
      <c r="M14" s="3"/>
      <c r="N14" s="3" t="s">
        <v>72</v>
      </c>
      <c r="O14" s="3"/>
      <c r="P14" s="4">
        <f t="shared" si="0"/>
        <v>0</v>
      </c>
      <c r="Q14" s="4">
        <f t="shared" si="1"/>
        <v>1</v>
      </c>
      <c r="R14" s="4">
        <f t="shared" si="2"/>
        <v>0</v>
      </c>
      <c r="S14" s="4">
        <f t="shared" si="3"/>
        <v>0</v>
      </c>
      <c r="T14" s="4">
        <f t="shared" si="4"/>
        <v>0</v>
      </c>
      <c r="U14" s="4">
        <f t="shared" si="5"/>
        <v>0</v>
      </c>
      <c r="V14" s="4">
        <f t="shared" si="6"/>
        <v>0</v>
      </c>
      <c r="W14" s="4">
        <f t="shared" si="7"/>
        <v>0</v>
      </c>
      <c r="X14" s="13">
        <f>SUM(Paper7Coding[[#This Row],[Subject-matter correction]:[Genre/ writing expertise]])</f>
        <v>1</v>
      </c>
      <c r="Y14" s="4">
        <f t="shared" si="8"/>
        <v>0</v>
      </c>
      <c r="Z14" s="4">
        <f t="shared" si="9"/>
        <v>0</v>
      </c>
      <c r="AA14" s="4">
        <f t="shared" si="10"/>
        <v>0</v>
      </c>
      <c r="AB14" s="4">
        <f t="shared" si="11"/>
        <v>1</v>
      </c>
      <c r="AC14" s="4">
        <f t="shared" si="12"/>
        <v>0</v>
      </c>
      <c r="AD14" s="4">
        <f t="shared" si="13"/>
        <v>0</v>
      </c>
      <c r="AE14" s="4">
        <f t="shared" si="14"/>
        <v>0</v>
      </c>
    </row>
    <row r="15" spans="1:31" ht="60" customHeight="1" x14ac:dyDescent="0.2">
      <c r="A15" s="3" t="s">
        <v>151</v>
      </c>
      <c r="B15" s="4">
        <v>14</v>
      </c>
      <c r="C15" s="3" t="s">
        <v>34</v>
      </c>
      <c r="D15" s="3" t="s">
        <v>152</v>
      </c>
      <c r="E15" s="3" t="s">
        <v>17</v>
      </c>
      <c r="F15" s="3" t="s">
        <v>26</v>
      </c>
      <c r="G15" s="3" t="s">
        <v>18</v>
      </c>
      <c r="H15" s="3" t="s">
        <v>27</v>
      </c>
      <c r="I15" s="3" t="s">
        <v>153</v>
      </c>
      <c r="J15" s="3" t="s">
        <v>154</v>
      </c>
      <c r="K15" s="3" t="s">
        <v>155</v>
      </c>
      <c r="L15" s="3" t="s">
        <v>156</v>
      </c>
      <c r="M15" s="3"/>
      <c r="N15" s="3" t="s">
        <v>72</v>
      </c>
      <c r="O15" s="3"/>
      <c r="P15" s="4">
        <f t="shared" si="0"/>
        <v>0</v>
      </c>
      <c r="Q15" s="4">
        <f t="shared" si="1"/>
        <v>0</v>
      </c>
      <c r="R15" s="4">
        <f t="shared" si="2"/>
        <v>1</v>
      </c>
      <c r="S15" s="4">
        <f t="shared" si="3"/>
        <v>0</v>
      </c>
      <c r="T15" s="4">
        <f t="shared" si="4"/>
        <v>0</v>
      </c>
      <c r="U15" s="4">
        <f t="shared" si="5"/>
        <v>1</v>
      </c>
      <c r="V15" s="4">
        <f t="shared" si="6"/>
        <v>0</v>
      </c>
      <c r="W15" s="4">
        <f t="shared" si="7"/>
        <v>0</v>
      </c>
      <c r="X15" s="13">
        <f>SUM(Paper7Coding[[#This Row],[Subject-matter correction]:[Genre/ writing expertise]])</f>
        <v>1</v>
      </c>
      <c r="Y15" s="4">
        <f t="shared" si="8"/>
        <v>0</v>
      </c>
      <c r="Z15" s="4">
        <f t="shared" si="9"/>
        <v>0</v>
      </c>
      <c r="AA15" s="4">
        <f t="shared" si="10"/>
        <v>0</v>
      </c>
      <c r="AB15" s="4">
        <f t="shared" si="11"/>
        <v>0</v>
      </c>
      <c r="AC15" s="4">
        <f t="shared" si="12"/>
        <v>0</v>
      </c>
      <c r="AD15" s="4">
        <f t="shared" si="13"/>
        <v>1</v>
      </c>
      <c r="AE15" s="4">
        <f t="shared" si="14"/>
        <v>0</v>
      </c>
    </row>
    <row r="16" spans="1:31" ht="60" customHeight="1" x14ac:dyDescent="0.2">
      <c r="A16" s="3" t="s">
        <v>157</v>
      </c>
      <c r="B16" s="4">
        <v>15</v>
      </c>
      <c r="C16" s="3" t="s">
        <v>34</v>
      </c>
      <c r="D16" s="3" t="s">
        <v>158</v>
      </c>
      <c r="E16" s="3" t="s">
        <v>17</v>
      </c>
      <c r="F16" s="3" t="s">
        <v>26</v>
      </c>
      <c r="G16" s="3" t="s">
        <v>18</v>
      </c>
      <c r="H16" s="3" t="s">
        <v>27</v>
      </c>
      <c r="I16" s="3" t="s">
        <v>159</v>
      </c>
      <c r="J16" s="3" t="s">
        <v>160</v>
      </c>
      <c r="K16" s="3" t="s">
        <v>161</v>
      </c>
      <c r="L16" s="3" t="s">
        <v>162</v>
      </c>
      <c r="M16" s="3"/>
      <c r="N16" s="3" t="s">
        <v>72</v>
      </c>
      <c r="O16" s="3"/>
      <c r="P16" s="4">
        <f t="shared" si="0"/>
        <v>0</v>
      </c>
      <c r="Q16" s="4">
        <f t="shared" si="1"/>
        <v>0</v>
      </c>
      <c r="R16" s="4">
        <f t="shared" si="2"/>
        <v>1</v>
      </c>
      <c r="S16" s="4">
        <f t="shared" si="3"/>
        <v>0</v>
      </c>
      <c r="T16" s="4">
        <f t="shared" si="4"/>
        <v>0</v>
      </c>
      <c r="U16" s="4">
        <f t="shared" si="5"/>
        <v>1</v>
      </c>
      <c r="V16" s="4">
        <f t="shared" si="6"/>
        <v>0</v>
      </c>
      <c r="W16" s="4">
        <f t="shared" si="7"/>
        <v>0</v>
      </c>
      <c r="X16" s="13">
        <f>SUM(Paper7Coding[[#This Row],[Subject-matter correction]:[Genre/ writing expertise]])</f>
        <v>1</v>
      </c>
      <c r="Y16" s="4">
        <f t="shared" si="8"/>
        <v>0</v>
      </c>
      <c r="Z16" s="4">
        <f t="shared" si="9"/>
        <v>0</v>
      </c>
      <c r="AA16" s="4">
        <f t="shared" si="10"/>
        <v>0</v>
      </c>
      <c r="AB16" s="4">
        <f t="shared" si="11"/>
        <v>0</v>
      </c>
      <c r="AC16" s="4">
        <f t="shared" si="12"/>
        <v>0</v>
      </c>
      <c r="AD16" s="4">
        <f t="shared" si="13"/>
        <v>1</v>
      </c>
      <c r="AE16" s="4">
        <f t="shared" si="14"/>
        <v>0</v>
      </c>
    </row>
    <row r="17" spans="1:31" ht="78" customHeight="1" x14ac:dyDescent="0.2">
      <c r="A17" s="3" t="s">
        <v>163</v>
      </c>
      <c r="B17" s="4">
        <v>16</v>
      </c>
      <c r="C17" s="3" t="s">
        <v>34</v>
      </c>
      <c r="D17" s="3" t="s">
        <v>164</v>
      </c>
      <c r="E17" s="3" t="s">
        <v>30</v>
      </c>
      <c r="F17" s="3" t="s">
        <v>165</v>
      </c>
      <c r="G17" s="3" t="s">
        <v>24</v>
      </c>
      <c r="H17" s="3" t="s">
        <v>166</v>
      </c>
      <c r="I17" s="3" t="s">
        <v>167</v>
      </c>
      <c r="J17" s="3" t="s">
        <v>168</v>
      </c>
      <c r="K17" s="3" t="s">
        <v>169</v>
      </c>
      <c r="L17" s="3" t="s">
        <v>170</v>
      </c>
      <c r="M17" s="3"/>
      <c r="N17" s="3" t="s">
        <v>72</v>
      </c>
      <c r="O17" s="3"/>
      <c r="P17" s="4">
        <f t="shared" si="0"/>
        <v>0</v>
      </c>
      <c r="Q17" s="4">
        <f t="shared" si="1"/>
        <v>0</v>
      </c>
      <c r="R17" s="4">
        <f t="shared" si="2"/>
        <v>1</v>
      </c>
      <c r="S17" s="4">
        <f t="shared" si="3"/>
        <v>0</v>
      </c>
      <c r="T17" s="4">
        <f t="shared" si="4"/>
        <v>0</v>
      </c>
      <c r="U17" s="4">
        <f t="shared" si="5"/>
        <v>1</v>
      </c>
      <c r="V17" s="4">
        <f t="shared" si="6"/>
        <v>0</v>
      </c>
      <c r="W17" s="4">
        <f t="shared" si="7"/>
        <v>1</v>
      </c>
      <c r="X17" s="13">
        <f>SUM(Paper7Coding[[#This Row],[Subject-matter correction]:[Genre/ writing expertise]])</f>
        <v>3</v>
      </c>
      <c r="Y17" s="4">
        <f t="shared" si="8"/>
        <v>0</v>
      </c>
      <c r="Z17" s="4">
        <f t="shared" si="9"/>
        <v>1</v>
      </c>
      <c r="AA17" s="4">
        <f t="shared" si="10"/>
        <v>0</v>
      </c>
      <c r="AB17" s="4">
        <f t="shared" si="11"/>
        <v>0</v>
      </c>
      <c r="AC17" s="4">
        <f t="shared" si="12"/>
        <v>1</v>
      </c>
      <c r="AD17" s="4">
        <f t="shared" si="13"/>
        <v>1</v>
      </c>
      <c r="AE17" s="4">
        <f t="shared" si="14"/>
        <v>0</v>
      </c>
    </row>
    <row r="18" spans="1:31" ht="60" customHeight="1" x14ac:dyDescent="0.2">
      <c r="A18" s="3" t="s">
        <v>171</v>
      </c>
      <c r="B18" s="4">
        <v>17</v>
      </c>
      <c r="C18" s="3" t="s">
        <v>34</v>
      </c>
      <c r="D18" s="3" t="s">
        <v>172</v>
      </c>
      <c r="E18" s="3" t="s">
        <v>28</v>
      </c>
      <c r="F18" s="3"/>
      <c r="G18" s="3" t="s">
        <v>15</v>
      </c>
      <c r="H18" s="3" t="s">
        <v>29</v>
      </c>
      <c r="I18" s="3" t="s">
        <v>173</v>
      </c>
      <c r="J18" s="3" t="s">
        <v>174</v>
      </c>
      <c r="K18" s="3" t="s">
        <v>175</v>
      </c>
      <c r="L18" s="3" t="s">
        <v>176</v>
      </c>
      <c r="M18" s="3"/>
      <c r="N18" s="3" t="s">
        <v>72</v>
      </c>
      <c r="O18" s="3"/>
      <c r="P18" s="4">
        <f t="shared" si="0"/>
        <v>0</v>
      </c>
      <c r="Q18" s="4">
        <f t="shared" si="1"/>
        <v>0</v>
      </c>
      <c r="R18" s="4">
        <f t="shared" si="2"/>
        <v>0</v>
      </c>
      <c r="S18" s="4">
        <f t="shared" si="3"/>
        <v>0</v>
      </c>
      <c r="T18" s="4">
        <f t="shared" si="4"/>
        <v>0</v>
      </c>
      <c r="U18" s="4">
        <f t="shared" si="5"/>
        <v>0</v>
      </c>
      <c r="V18" s="4">
        <f t="shared" si="6"/>
        <v>1</v>
      </c>
      <c r="W18" s="4">
        <f t="shared" si="7"/>
        <v>0</v>
      </c>
      <c r="X18" s="13">
        <f>SUM(Paper7Coding[[#This Row],[Subject-matter correction]:[Genre/ writing expertise]])</f>
        <v>0</v>
      </c>
      <c r="Y18" s="4">
        <f t="shared" si="8"/>
        <v>0</v>
      </c>
      <c r="Z18" s="4">
        <f t="shared" si="9"/>
        <v>0</v>
      </c>
      <c r="AA18" s="4">
        <f t="shared" si="10"/>
        <v>0</v>
      </c>
      <c r="AB18" s="4">
        <f t="shared" si="11"/>
        <v>0</v>
      </c>
      <c r="AC18" s="4">
        <f t="shared" si="12"/>
        <v>0</v>
      </c>
      <c r="AD18" s="4">
        <f t="shared" si="13"/>
        <v>0</v>
      </c>
      <c r="AE18" s="4">
        <f t="shared" si="14"/>
        <v>1</v>
      </c>
    </row>
    <row r="19" spans="1:31" ht="60" customHeight="1" x14ac:dyDescent="0.2">
      <c r="A19" s="3" t="s">
        <v>177</v>
      </c>
      <c r="B19" s="4">
        <v>18</v>
      </c>
      <c r="C19" s="3" t="s">
        <v>34</v>
      </c>
      <c r="D19" s="3" t="s">
        <v>178</v>
      </c>
      <c r="E19" s="3" t="s">
        <v>30</v>
      </c>
      <c r="F19" s="3" t="s">
        <v>17</v>
      </c>
      <c r="G19" s="3" t="s">
        <v>24</v>
      </c>
      <c r="H19" s="3" t="s">
        <v>179</v>
      </c>
      <c r="I19" s="3" t="s">
        <v>180</v>
      </c>
      <c r="J19" s="3" t="s">
        <v>181</v>
      </c>
      <c r="K19" s="3" t="s">
        <v>182</v>
      </c>
      <c r="L19" s="3" t="s">
        <v>183</v>
      </c>
      <c r="M19" s="3"/>
      <c r="N19" s="3" t="s">
        <v>72</v>
      </c>
      <c r="O19" s="3"/>
      <c r="P19" s="4">
        <f t="shared" si="0"/>
        <v>0</v>
      </c>
      <c r="Q19" s="4">
        <f t="shared" si="1"/>
        <v>0</v>
      </c>
      <c r="R19" s="4">
        <f t="shared" si="2"/>
        <v>1</v>
      </c>
      <c r="S19" s="4">
        <f t="shared" si="3"/>
        <v>0</v>
      </c>
      <c r="T19" s="4">
        <f t="shared" si="4"/>
        <v>0</v>
      </c>
      <c r="U19" s="4">
        <f t="shared" si="5"/>
        <v>0</v>
      </c>
      <c r="V19" s="4">
        <f t="shared" si="6"/>
        <v>0</v>
      </c>
      <c r="W19" s="4">
        <f t="shared" si="7"/>
        <v>1</v>
      </c>
      <c r="X19" s="13">
        <f>SUM(Paper7Coding[[#This Row],[Subject-matter correction]:[Genre/ writing expertise]])</f>
        <v>2</v>
      </c>
      <c r="Y19" s="4">
        <f t="shared" si="8"/>
        <v>0</v>
      </c>
      <c r="Z19" s="4">
        <f t="shared" si="9"/>
        <v>1</v>
      </c>
      <c r="AA19" s="4">
        <f t="shared" si="10"/>
        <v>0</v>
      </c>
      <c r="AB19" s="4">
        <f t="shared" si="11"/>
        <v>0</v>
      </c>
      <c r="AC19" s="4">
        <f t="shared" si="12"/>
        <v>1</v>
      </c>
      <c r="AD19" s="4">
        <f t="shared" si="13"/>
        <v>0</v>
      </c>
      <c r="AE19" s="4">
        <f t="shared" si="14"/>
        <v>0</v>
      </c>
    </row>
    <row r="20" spans="1:31" ht="60" customHeight="1" x14ac:dyDescent="0.2">
      <c r="A20" s="3" t="s">
        <v>184</v>
      </c>
      <c r="B20" s="4">
        <v>19</v>
      </c>
      <c r="C20" s="3" t="s">
        <v>34</v>
      </c>
      <c r="D20" s="3" t="s">
        <v>185</v>
      </c>
      <c r="E20" s="3" t="s">
        <v>28</v>
      </c>
      <c r="F20" s="3" t="s">
        <v>23</v>
      </c>
      <c r="G20" s="3" t="s">
        <v>15</v>
      </c>
      <c r="H20" s="3" t="s">
        <v>186</v>
      </c>
      <c r="I20" s="3" t="s">
        <v>187</v>
      </c>
      <c r="J20" s="3" t="s">
        <v>188</v>
      </c>
      <c r="K20" s="3" t="s">
        <v>189</v>
      </c>
      <c r="L20" s="3" t="s">
        <v>190</v>
      </c>
      <c r="M20" s="3"/>
      <c r="N20" s="3" t="s">
        <v>72</v>
      </c>
      <c r="O20" s="3"/>
      <c r="P20" s="4">
        <f t="shared" si="0"/>
        <v>0</v>
      </c>
      <c r="Q20" s="4">
        <f t="shared" si="1"/>
        <v>0</v>
      </c>
      <c r="R20" s="4">
        <f t="shared" si="2"/>
        <v>0</v>
      </c>
      <c r="S20" s="4">
        <f t="shared" si="3"/>
        <v>0</v>
      </c>
      <c r="T20" s="4">
        <f t="shared" si="4"/>
        <v>1</v>
      </c>
      <c r="U20" s="4">
        <f t="shared" si="5"/>
        <v>0</v>
      </c>
      <c r="V20" s="4">
        <f t="shared" si="6"/>
        <v>1</v>
      </c>
      <c r="W20" s="4">
        <f t="shared" si="7"/>
        <v>0</v>
      </c>
      <c r="X20" s="13">
        <f>SUM(Paper7Coding[[#This Row],[Subject-matter correction]:[Genre/ writing expertise]])</f>
        <v>2</v>
      </c>
      <c r="Y20" s="4">
        <f t="shared" si="8"/>
        <v>0</v>
      </c>
      <c r="Z20" s="4">
        <f t="shared" si="9"/>
        <v>1</v>
      </c>
      <c r="AA20" s="4">
        <f t="shared" si="10"/>
        <v>0</v>
      </c>
      <c r="AB20" s="4">
        <f t="shared" si="11"/>
        <v>1</v>
      </c>
      <c r="AC20" s="4">
        <f t="shared" si="12"/>
        <v>0</v>
      </c>
      <c r="AD20" s="4">
        <f t="shared" si="13"/>
        <v>0</v>
      </c>
      <c r="AE20" s="4">
        <f t="shared" si="14"/>
        <v>0</v>
      </c>
    </row>
    <row r="21" spans="1:31" ht="60" customHeight="1" x14ac:dyDescent="0.2">
      <c r="A21" s="3" t="s">
        <v>191</v>
      </c>
      <c r="B21" s="4">
        <v>20</v>
      </c>
      <c r="C21" s="3" t="s">
        <v>34</v>
      </c>
      <c r="D21" s="3" t="s">
        <v>192</v>
      </c>
      <c r="E21" s="3" t="s">
        <v>14</v>
      </c>
      <c r="F21" s="3"/>
      <c r="G21" s="3" t="s">
        <v>15</v>
      </c>
      <c r="H21" s="3" t="s">
        <v>193</v>
      </c>
      <c r="I21" s="3" t="s">
        <v>194</v>
      </c>
      <c r="J21" s="3" t="s">
        <v>195</v>
      </c>
      <c r="K21" s="3" t="s">
        <v>196</v>
      </c>
      <c r="L21" s="3" t="s">
        <v>197</v>
      </c>
      <c r="M21" s="3"/>
      <c r="N21" s="3" t="s">
        <v>72</v>
      </c>
      <c r="O21" s="3"/>
      <c r="P21" s="4">
        <f t="shared" si="0"/>
        <v>0</v>
      </c>
      <c r="Q21" s="4">
        <f t="shared" si="1"/>
        <v>1</v>
      </c>
      <c r="R21" s="4">
        <f t="shared" si="2"/>
        <v>0</v>
      </c>
      <c r="S21" s="4">
        <f t="shared" si="3"/>
        <v>0</v>
      </c>
      <c r="T21" s="4">
        <f t="shared" si="4"/>
        <v>0</v>
      </c>
      <c r="U21" s="4">
        <f t="shared" si="5"/>
        <v>0</v>
      </c>
      <c r="V21" s="4">
        <f t="shared" si="6"/>
        <v>0</v>
      </c>
      <c r="W21" s="4">
        <f t="shared" si="7"/>
        <v>0</v>
      </c>
      <c r="X21" s="13">
        <f>SUM(Paper7Coding[[#This Row],[Subject-matter correction]:[Genre/ writing expertise]])</f>
        <v>2</v>
      </c>
      <c r="Y21" s="4">
        <f t="shared" si="8"/>
        <v>0</v>
      </c>
      <c r="Z21" s="4">
        <f t="shared" si="9"/>
        <v>0</v>
      </c>
      <c r="AA21" s="4">
        <f t="shared" si="10"/>
        <v>0</v>
      </c>
      <c r="AB21" s="4">
        <f t="shared" si="11"/>
        <v>0</v>
      </c>
      <c r="AC21" s="4">
        <f t="shared" si="12"/>
        <v>1</v>
      </c>
      <c r="AD21" s="4">
        <f t="shared" si="13"/>
        <v>1</v>
      </c>
      <c r="AE21" s="4">
        <f t="shared" si="14"/>
        <v>0</v>
      </c>
    </row>
    <row r="22" spans="1:31" ht="92.1" customHeight="1" x14ac:dyDescent="0.2">
      <c r="A22" s="3" t="s">
        <v>198</v>
      </c>
      <c r="B22" s="4">
        <v>21</v>
      </c>
      <c r="C22" s="3" t="s">
        <v>34</v>
      </c>
      <c r="D22" s="3" t="s">
        <v>199</v>
      </c>
      <c r="E22" s="3" t="s">
        <v>26</v>
      </c>
      <c r="F22" s="3" t="s">
        <v>14</v>
      </c>
      <c r="G22" s="3" t="s">
        <v>15</v>
      </c>
      <c r="H22" s="3" t="s">
        <v>22</v>
      </c>
      <c r="I22" s="3" t="s">
        <v>200</v>
      </c>
      <c r="J22" s="3" t="s">
        <v>201</v>
      </c>
      <c r="K22" s="3" t="s">
        <v>202</v>
      </c>
      <c r="L22" s="3" t="s">
        <v>203</v>
      </c>
      <c r="M22" s="3"/>
      <c r="N22" s="3" t="s">
        <v>72</v>
      </c>
      <c r="O22" s="3"/>
      <c r="P22" s="4">
        <f t="shared" si="0"/>
        <v>0</v>
      </c>
      <c r="Q22" s="4">
        <f t="shared" si="1"/>
        <v>1</v>
      </c>
      <c r="R22" s="4">
        <f t="shared" si="2"/>
        <v>0</v>
      </c>
      <c r="S22" s="4">
        <f t="shared" si="3"/>
        <v>0</v>
      </c>
      <c r="T22" s="4">
        <f t="shared" si="4"/>
        <v>0</v>
      </c>
      <c r="U22" s="4">
        <f t="shared" si="5"/>
        <v>1</v>
      </c>
      <c r="V22" s="4">
        <f t="shared" si="6"/>
        <v>0</v>
      </c>
      <c r="W22" s="4">
        <f t="shared" si="7"/>
        <v>0</v>
      </c>
      <c r="X22" s="13">
        <f>SUM(Paper7Coding[[#This Row],[Subject-matter correction]:[Genre/ writing expertise]])</f>
        <v>1</v>
      </c>
      <c r="Y22" s="4">
        <f t="shared" si="8"/>
        <v>0</v>
      </c>
      <c r="Z22" s="4">
        <f t="shared" si="9"/>
        <v>0</v>
      </c>
      <c r="AA22" s="4">
        <f t="shared" si="10"/>
        <v>0</v>
      </c>
      <c r="AB22" s="4">
        <f t="shared" si="11"/>
        <v>1</v>
      </c>
      <c r="AC22" s="4">
        <f t="shared" si="12"/>
        <v>0</v>
      </c>
      <c r="AD22" s="4">
        <f t="shared" si="13"/>
        <v>0</v>
      </c>
      <c r="AE22" s="4">
        <f t="shared" si="14"/>
        <v>0</v>
      </c>
    </row>
    <row r="23" spans="1:31" ht="92.1" customHeight="1" x14ac:dyDescent="0.2">
      <c r="A23" s="3" t="s">
        <v>204</v>
      </c>
      <c r="B23" s="4">
        <v>22</v>
      </c>
      <c r="C23" s="3" t="s">
        <v>34</v>
      </c>
      <c r="D23" s="3" t="s">
        <v>205</v>
      </c>
      <c r="E23" s="3" t="s">
        <v>14</v>
      </c>
      <c r="F23" s="3" t="s">
        <v>26</v>
      </c>
      <c r="G23" s="3" t="s">
        <v>15</v>
      </c>
      <c r="H23" s="3" t="s">
        <v>134</v>
      </c>
      <c r="I23" s="3" t="s">
        <v>206</v>
      </c>
      <c r="J23" s="3" t="s">
        <v>207</v>
      </c>
      <c r="K23" s="3" t="s">
        <v>208</v>
      </c>
      <c r="L23" s="3" t="s">
        <v>209</v>
      </c>
      <c r="M23" s="3" t="s">
        <v>210</v>
      </c>
      <c r="N23" s="3" t="s">
        <v>72</v>
      </c>
      <c r="O23" s="3"/>
      <c r="P23" s="4">
        <f t="shared" si="0"/>
        <v>0</v>
      </c>
      <c r="Q23" s="4">
        <f t="shared" si="1"/>
        <v>1</v>
      </c>
      <c r="R23" s="4">
        <f t="shared" si="2"/>
        <v>0</v>
      </c>
      <c r="S23" s="4">
        <f t="shared" si="3"/>
        <v>0</v>
      </c>
      <c r="T23" s="4">
        <f t="shared" si="4"/>
        <v>0</v>
      </c>
      <c r="U23" s="4">
        <f t="shared" si="5"/>
        <v>1</v>
      </c>
      <c r="V23" s="4">
        <f t="shared" si="6"/>
        <v>0</v>
      </c>
      <c r="W23" s="4">
        <f t="shared" si="7"/>
        <v>0</v>
      </c>
      <c r="X23" s="13">
        <f>SUM(Paper7Coding[[#This Row],[Subject-matter correction]:[Genre/ writing expertise]])</f>
        <v>2</v>
      </c>
      <c r="Y23" s="4">
        <f t="shared" si="8"/>
        <v>0</v>
      </c>
      <c r="Z23" s="4">
        <f t="shared" si="9"/>
        <v>0</v>
      </c>
      <c r="AA23" s="4">
        <f t="shared" si="10"/>
        <v>0</v>
      </c>
      <c r="AB23" s="4">
        <f t="shared" si="11"/>
        <v>1</v>
      </c>
      <c r="AC23" s="4">
        <f t="shared" si="12"/>
        <v>0</v>
      </c>
      <c r="AD23" s="4">
        <f t="shared" si="13"/>
        <v>1</v>
      </c>
      <c r="AE23" s="4">
        <f t="shared" si="14"/>
        <v>0</v>
      </c>
    </row>
    <row r="24" spans="1:31" ht="60" customHeight="1" x14ac:dyDescent="0.2">
      <c r="A24" s="3" t="s">
        <v>211</v>
      </c>
      <c r="B24" s="4">
        <v>23</v>
      </c>
      <c r="C24" s="3" t="s">
        <v>34</v>
      </c>
      <c r="D24" s="3" t="s">
        <v>212</v>
      </c>
      <c r="E24" s="3" t="s">
        <v>14</v>
      </c>
      <c r="F24" s="3"/>
      <c r="G24" s="3" t="s">
        <v>15</v>
      </c>
      <c r="H24" s="3" t="s">
        <v>25</v>
      </c>
      <c r="I24" s="3" t="s">
        <v>213</v>
      </c>
      <c r="J24" s="3" t="s">
        <v>214</v>
      </c>
      <c r="K24" s="3" t="s">
        <v>215</v>
      </c>
      <c r="L24" s="3" t="s">
        <v>216</v>
      </c>
      <c r="M24" s="3"/>
      <c r="N24" s="3" t="s">
        <v>72</v>
      </c>
      <c r="O24" s="3"/>
      <c r="P24" s="4">
        <f t="shared" si="0"/>
        <v>0</v>
      </c>
      <c r="Q24" s="4">
        <f t="shared" si="1"/>
        <v>1</v>
      </c>
      <c r="R24" s="4">
        <f t="shared" si="2"/>
        <v>0</v>
      </c>
      <c r="S24" s="4">
        <f t="shared" si="3"/>
        <v>0</v>
      </c>
      <c r="T24" s="4">
        <f t="shared" si="4"/>
        <v>0</v>
      </c>
      <c r="U24" s="4">
        <f t="shared" si="5"/>
        <v>0</v>
      </c>
      <c r="V24" s="4">
        <f t="shared" si="6"/>
        <v>0</v>
      </c>
      <c r="W24" s="4">
        <f t="shared" si="7"/>
        <v>0</v>
      </c>
      <c r="X24" s="13">
        <f>SUM(Paper7Coding[[#This Row],[Subject-matter correction]:[Genre/ writing expertise]])</f>
        <v>1</v>
      </c>
      <c r="Y24" s="4">
        <f t="shared" si="8"/>
        <v>0</v>
      </c>
      <c r="Z24" s="4">
        <f t="shared" si="9"/>
        <v>0</v>
      </c>
      <c r="AA24" s="4">
        <f t="shared" si="10"/>
        <v>0</v>
      </c>
      <c r="AB24" s="4">
        <f t="shared" si="11"/>
        <v>0</v>
      </c>
      <c r="AC24" s="4">
        <f t="shared" si="12"/>
        <v>1</v>
      </c>
      <c r="AD24" s="4">
        <f t="shared" si="13"/>
        <v>0</v>
      </c>
      <c r="AE24" s="4">
        <f t="shared" si="14"/>
        <v>0</v>
      </c>
    </row>
    <row r="25" spans="1:31" ht="60" customHeight="1" x14ac:dyDescent="0.2">
      <c r="A25" s="3" t="s">
        <v>217</v>
      </c>
      <c r="B25" s="4">
        <v>24</v>
      </c>
      <c r="C25" s="3" t="s">
        <v>34</v>
      </c>
      <c r="D25" s="3" t="s">
        <v>218</v>
      </c>
      <c r="E25" s="3" t="s">
        <v>23</v>
      </c>
      <c r="F25" s="3" t="s">
        <v>14</v>
      </c>
      <c r="G25" s="3" t="s">
        <v>15</v>
      </c>
      <c r="H25" s="3" t="s">
        <v>27</v>
      </c>
      <c r="I25" s="3" t="s">
        <v>219</v>
      </c>
      <c r="J25" s="3" t="s">
        <v>220</v>
      </c>
      <c r="K25" s="3" t="s">
        <v>221</v>
      </c>
      <c r="L25" s="3" t="s">
        <v>222</v>
      </c>
      <c r="M25" s="3"/>
      <c r="N25" s="3" t="s">
        <v>72</v>
      </c>
      <c r="O25" s="3"/>
      <c r="P25" s="4">
        <f t="shared" si="0"/>
        <v>0</v>
      </c>
      <c r="Q25" s="4">
        <f t="shared" si="1"/>
        <v>1</v>
      </c>
      <c r="R25" s="4">
        <f t="shared" si="2"/>
        <v>0</v>
      </c>
      <c r="S25" s="4">
        <f t="shared" si="3"/>
        <v>0</v>
      </c>
      <c r="T25" s="4">
        <f t="shared" si="4"/>
        <v>1</v>
      </c>
      <c r="U25" s="4">
        <f t="shared" si="5"/>
        <v>0</v>
      </c>
      <c r="V25" s="4">
        <f t="shared" si="6"/>
        <v>0</v>
      </c>
      <c r="W25" s="4">
        <f t="shared" si="7"/>
        <v>0</v>
      </c>
      <c r="X25" s="13">
        <f>SUM(Paper7Coding[[#This Row],[Subject-matter correction]:[Genre/ writing expertise]])</f>
        <v>1</v>
      </c>
      <c r="Y25" s="4">
        <f t="shared" si="8"/>
        <v>0</v>
      </c>
      <c r="Z25" s="4">
        <f t="shared" si="9"/>
        <v>0</v>
      </c>
      <c r="AA25" s="4">
        <f t="shared" si="10"/>
        <v>0</v>
      </c>
      <c r="AB25" s="4">
        <f t="shared" si="11"/>
        <v>0</v>
      </c>
      <c r="AC25" s="4">
        <f t="shared" si="12"/>
        <v>0</v>
      </c>
      <c r="AD25" s="4">
        <f t="shared" si="13"/>
        <v>1</v>
      </c>
      <c r="AE25" s="4">
        <f t="shared" si="14"/>
        <v>0</v>
      </c>
    </row>
    <row r="26" spans="1:31" ht="60" customHeight="1" x14ac:dyDescent="0.2">
      <c r="A26" s="3" t="s">
        <v>223</v>
      </c>
      <c r="B26" s="4">
        <v>25</v>
      </c>
      <c r="C26" s="3" t="s">
        <v>34</v>
      </c>
      <c r="D26" s="3" t="s">
        <v>224</v>
      </c>
      <c r="E26" s="3" t="s">
        <v>17</v>
      </c>
      <c r="F26" s="3" t="s">
        <v>225</v>
      </c>
      <c r="G26" s="3" t="s">
        <v>21</v>
      </c>
      <c r="H26" s="3" t="s">
        <v>193</v>
      </c>
      <c r="I26" s="3" t="s">
        <v>226</v>
      </c>
      <c r="J26" s="3" t="s">
        <v>227</v>
      </c>
      <c r="K26" s="3" t="s">
        <v>228</v>
      </c>
      <c r="L26" s="3" t="s">
        <v>229</v>
      </c>
      <c r="M26" s="3" t="s">
        <v>210</v>
      </c>
      <c r="N26" s="3" t="s">
        <v>72</v>
      </c>
      <c r="O26" s="3"/>
      <c r="P26" s="4">
        <f t="shared" si="0"/>
        <v>0</v>
      </c>
      <c r="Q26" s="4">
        <f t="shared" si="1"/>
        <v>1</v>
      </c>
      <c r="R26" s="4">
        <f t="shared" si="2"/>
        <v>1</v>
      </c>
      <c r="S26" s="4">
        <f t="shared" si="3"/>
        <v>1</v>
      </c>
      <c r="T26" s="4">
        <f t="shared" si="4"/>
        <v>0</v>
      </c>
      <c r="U26" s="4">
        <f t="shared" si="5"/>
        <v>1</v>
      </c>
      <c r="V26" s="4">
        <f t="shared" si="6"/>
        <v>0</v>
      </c>
      <c r="W26" s="4">
        <f t="shared" si="7"/>
        <v>0</v>
      </c>
      <c r="X26" s="13">
        <f>SUM(Paper7Coding[[#This Row],[Subject-matter correction]:[Genre/ writing expertise]])</f>
        <v>2</v>
      </c>
      <c r="Y26" s="4">
        <f t="shared" si="8"/>
        <v>0</v>
      </c>
      <c r="Z26" s="4">
        <f t="shared" si="9"/>
        <v>0</v>
      </c>
      <c r="AA26" s="4">
        <f t="shared" si="10"/>
        <v>0</v>
      </c>
      <c r="AB26" s="4">
        <f t="shared" si="11"/>
        <v>0</v>
      </c>
      <c r="AC26" s="4">
        <f t="shared" si="12"/>
        <v>1</v>
      </c>
      <c r="AD26" s="4">
        <f t="shared" si="13"/>
        <v>1</v>
      </c>
      <c r="AE26" s="4">
        <f t="shared" si="14"/>
        <v>0</v>
      </c>
    </row>
    <row r="27" spans="1:31" ht="60" customHeight="1" x14ac:dyDescent="0.2">
      <c r="A27" s="3" t="s">
        <v>230</v>
      </c>
      <c r="B27" s="4">
        <v>26</v>
      </c>
      <c r="C27" s="3" t="s">
        <v>34</v>
      </c>
      <c r="D27" s="3" t="s">
        <v>231</v>
      </c>
      <c r="E27" s="3" t="s">
        <v>17</v>
      </c>
      <c r="F27" s="3"/>
      <c r="G27" s="3" t="s">
        <v>18</v>
      </c>
      <c r="H27" s="3" t="s">
        <v>29</v>
      </c>
      <c r="I27" s="3" t="s">
        <v>232</v>
      </c>
      <c r="J27" s="3" t="s">
        <v>233</v>
      </c>
      <c r="K27" s="3" t="s">
        <v>234</v>
      </c>
      <c r="L27" s="3" t="s">
        <v>235</v>
      </c>
      <c r="M27" s="3"/>
      <c r="N27" s="3" t="s">
        <v>72</v>
      </c>
      <c r="O27" s="3"/>
      <c r="P27" s="4">
        <f t="shared" si="0"/>
        <v>0</v>
      </c>
      <c r="Q27" s="4">
        <f t="shared" si="1"/>
        <v>0</v>
      </c>
      <c r="R27" s="4">
        <f t="shared" si="2"/>
        <v>1</v>
      </c>
      <c r="S27" s="4">
        <f t="shared" si="3"/>
        <v>0</v>
      </c>
      <c r="T27" s="4">
        <f t="shared" si="4"/>
        <v>0</v>
      </c>
      <c r="U27" s="4">
        <f t="shared" si="5"/>
        <v>0</v>
      </c>
      <c r="V27" s="4">
        <f t="shared" si="6"/>
        <v>0</v>
      </c>
      <c r="W27" s="4">
        <f t="shared" si="7"/>
        <v>0</v>
      </c>
      <c r="X27" s="13">
        <f>SUM(Paper7Coding[[#This Row],[Subject-matter correction]:[Genre/ writing expertise]])</f>
        <v>0</v>
      </c>
      <c r="Y27" s="4">
        <f t="shared" si="8"/>
        <v>0</v>
      </c>
      <c r="Z27" s="4">
        <f t="shared" si="9"/>
        <v>0</v>
      </c>
      <c r="AA27" s="4">
        <f t="shared" si="10"/>
        <v>0</v>
      </c>
      <c r="AB27" s="4">
        <f t="shared" si="11"/>
        <v>0</v>
      </c>
      <c r="AC27" s="4">
        <f t="shared" si="12"/>
        <v>0</v>
      </c>
      <c r="AD27" s="4">
        <f t="shared" si="13"/>
        <v>0</v>
      </c>
      <c r="AE27" s="4">
        <f t="shared" si="14"/>
        <v>1</v>
      </c>
    </row>
    <row r="28" spans="1:31" ht="63.95" customHeight="1" x14ac:dyDescent="0.2">
      <c r="A28" s="3" t="s">
        <v>236</v>
      </c>
      <c r="B28" s="4">
        <v>27</v>
      </c>
      <c r="C28" s="3" t="s">
        <v>34</v>
      </c>
      <c r="D28" s="3" t="s">
        <v>237</v>
      </c>
      <c r="E28" s="3" t="s">
        <v>17</v>
      </c>
      <c r="F28" s="3" t="s">
        <v>238</v>
      </c>
      <c r="G28" s="3" t="s">
        <v>18</v>
      </c>
      <c r="H28" s="3" t="s">
        <v>239</v>
      </c>
      <c r="I28" s="3" t="s">
        <v>240</v>
      </c>
      <c r="J28" s="3" t="s">
        <v>241</v>
      </c>
      <c r="K28" s="3" t="s">
        <v>242</v>
      </c>
      <c r="L28" s="3" t="s">
        <v>243</v>
      </c>
      <c r="M28" s="3" t="s">
        <v>71</v>
      </c>
      <c r="N28" s="3" t="s">
        <v>72</v>
      </c>
      <c r="O28" s="3" t="s">
        <v>244</v>
      </c>
      <c r="P28" s="4">
        <f t="shared" si="0"/>
        <v>0</v>
      </c>
      <c r="Q28" s="4">
        <f t="shared" si="1"/>
        <v>1</v>
      </c>
      <c r="R28" s="4">
        <f t="shared" si="2"/>
        <v>1</v>
      </c>
      <c r="S28" s="4">
        <f t="shared" si="3"/>
        <v>0</v>
      </c>
      <c r="T28" s="4">
        <f t="shared" si="4"/>
        <v>0</v>
      </c>
      <c r="U28" s="4">
        <f t="shared" si="5"/>
        <v>1</v>
      </c>
      <c r="V28" s="4">
        <f t="shared" si="6"/>
        <v>0</v>
      </c>
      <c r="W28" s="4">
        <f t="shared" si="7"/>
        <v>0</v>
      </c>
      <c r="X28" s="13">
        <f>SUM(Paper7Coding[[#This Row],[Subject-matter correction]:[Genre/ writing expertise]])</f>
        <v>2</v>
      </c>
      <c r="Y28" s="4">
        <f t="shared" si="8"/>
        <v>0</v>
      </c>
      <c r="Z28" s="4">
        <f t="shared" si="9"/>
        <v>0</v>
      </c>
      <c r="AA28" s="4">
        <f t="shared" si="10"/>
        <v>1</v>
      </c>
      <c r="AB28" s="4">
        <f t="shared" si="11"/>
        <v>0</v>
      </c>
      <c r="AC28" s="4">
        <f t="shared" si="12"/>
        <v>1</v>
      </c>
      <c r="AD28" s="4">
        <f t="shared" si="13"/>
        <v>0</v>
      </c>
      <c r="AE28" s="4">
        <f t="shared" si="14"/>
        <v>0</v>
      </c>
    </row>
    <row r="29" spans="1:31" ht="78" customHeight="1" x14ac:dyDescent="0.2">
      <c r="A29" s="3" t="s">
        <v>245</v>
      </c>
      <c r="B29" s="4">
        <v>28</v>
      </c>
      <c r="C29" s="3" t="s">
        <v>34</v>
      </c>
      <c r="D29" s="3" t="s">
        <v>246</v>
      </c>
      <c r="E29" s="3" t="s">
        <v>26</v>
      </c>
      <c r="F29" s="3" t="s">
        <v>247</v>
      </c>
      <c r="G29" s="3" t="s">
        <v>24</v>
      </c>
      <c r="H29" s="3" t="s">
        <v>25</v>
      </c>
      <c r="I29" s="3" t="s">
        <v>248</v>
      </c>
      <c r="J29" s="3" t="s">
        <v>249</v>
      </c>
      <c r="K29" s="3" t="s">
        <v>250</v>
      </c>
      <c r="L29" s="3" t="s">
        <v>251</v>
      </c>
      <c r="M29" s="3"/>
      <c r="N29" s="3" t="s">
        <v>72</v>
      </c>
      <c r="O29" s="3"/>
      <c r="P29" s="4">
        <f t="shared" si="0"/>
        <v>0</v>
      </c>
      <c r="Q29" s="4">
        <f t="shared" si="1"/>
        <v>0</v>
      </c>
      <c r="R29" s="4">
        <f t="shared" si="2"/>
        <v>0</v>
      </c>
      <c r="S29" s="4">
        <f t="shared" si="3"/>
        <v>0</v>
      </c>
      <c r="T29" s="4">
        <f t="shared" si="4"/>
        <v>1</v>
      </c>
      <c r="U29" s="4">
        <f t="shared" si="5"/>
        <v>1</v>
      </c>
      <c r="V29" s="4">
        <f t="shared" si="6"/>
        <v>0</v>
      </c>
      <c r="W29" s="4">
        <f t="shared" si="7"/>
        <v>1</v>
      </c>
      <c r="X29" s="13">
        <f>SUM(Paper7Coding[[#This Row],[Subject-matter correction]:[Genre/ writing expertise]])</f>
        <v>1</v>
      </c>
      <c r="Y29" s="4">
        <f t="shared" si="8"/>
        <v>0</v>
      </c>
      <c r="Z29" s="4">
        <f t="shared" si="9"/>
        <v>0</v>
      </c>
      <c r="AA29" s="4">
        <f t="shared" si="10"/>
        <v>0</v>
      </c>
      <c r="AB29" s="4">
        <f t="shared" si="11"/>
        <v>0</v>
      </c>
      <c r="AC29" s="4">
        <f t="shared" si="12"/>
        <v>1</v>
      </c>
      <c r="AD29" s="4">
        <f t="shared" si="13"/>
        <v>0</v>
      </c>
      <c r="AE29" s="4">
        <f t="shared" si="14"/>
        <v>0</v>
      </c>
    </row>
    <row r="30" spans="1:31" ht="78" customHeight="1" x14ac:dyDescent="0.2">
      <c r="A30" s="3" t="s">
        <v>252</v>
      </c>
      <c r="B30" s="4">
        <v>29</v>
      </c>
      <c r="C30" s="3" t="s">
        <v>34</v>
      </c>
      <c r="D30" s="3" t="s">
        <v>253</v>
      </c>
      <c r="E30" s="3" t="s">
        <v>28</v>
      </c>
      <c r="F30" s="3" t="s">
        <v>254</v>
      </c>
      <c r="G30" s="3" t="s">
        <v>15</v>
      </c>
      <c r="H30" s="3" t="s">
        <v>193</v>
      </c>
      <c r="I30" s="3" t="s">
        <v>255</v>
      </c>
      <c r="J30" s="3" t="s">
        <v>256</v>
      </c>
      <c r="K30" s="3" t="s">
        <v>257</v>
      </c>
      <c r="L30" s="3" t="s">
        <v>258</v>
      </c>
      <c r="M30" s="3"/>
      <c r="N30" s="3" t="s">
        <v>72</v>
      </c>
      <c r="O30" s="3"/>
      <c r="P30" s="4">
        <f t="shared" si="0"/>
        <v>0</v>
      </c>
      <c r="Q30" s="4">
        <f t="shared" si="1"/>
        <v>1</v>
      </c>
      <c r="R30" s="4">
        <f t="shared" si="2"/>
        <v>0</v>
      </c>
      <c r="S30" s="4">
        <f t="shared" si="3"/>
        <v>0</v>
      </c>
      <c r="T30" s="4">
        <f t="shared" si="4"/>
        <v>1</v>
      </c>
      <c r="U30" s="4">
        <f t="shared" si="5"/>
        <v>0</v>
      </c>
      <c r="V30" s="4">
        <f t="shared" si="6"/>
        <v>1</v>
      </c>
      <c r="W30" s="4">
        <f t="shared" si="7"/>
        <v>0</v>
      </c>
      <c r="X30" s="13">
        <f>SUM(Paper7Coding[[#This Row],[Subject-matter correction]:[Genre/ writing expertise]])</f>
        <v>2</v>
      </c>
      <c r="Y30" s="4">
        <f t="shared" si="8"/>
        <v>0</v>
      </c>
      <c r="Z30" s="4">
        <f t="shared" si="9"/>
        <v>0</v>
      </c>
      <c r="AA30" s="4">
        <f t="shared" si="10"/>
        <v>0</v>
      </c>
      <c r="AB30" s="4">
        <f t="shared" si="11"/>
        <v>0</v>
      </c>
      <c r="AC30" s="4">
        <f t="shared" si="12"/>
        <v>1</v>
      </c>
      <c r="AD30" s="4">
        <f t="shared" si="13"/>
        <v>1</v>
      </c>
      <c r="AE30" s="4">
        <f t="shared" si="14"/>
        <v>0</v>
      </c>
    </row>
    <row r="31" spans="1:31" ht="60" customHeight="1" x14ac:dyDescent="0.2">
      <c r="A31" s="3" t="s">
        <v>259</v>
      </c>
      <c r="B31" s="4">
        <v>30</v>
      </c>
      <c r="C31" s="3" t="s">
        <v>34</v>
      </c>
      <c r="D31" s="3" t="s">
        <v>260</v>
      </c>
      <c r="E31" s="3" t="s">
        <v>14</v>
      </c>
      <c r="F31" s="3"/>
      <c r="G31" s="3" t="s">
        <v>15</v>
      </c>
      <c r="H31" s="3" t="s">
        <v>27</v>
      </c>
      <c r="I31" s="3" t="s">
        <v>261</v>
      </c>
      <c r="J31" s="3" t="s">
        <v>262</v>
      </c>
      <c r="K31" s="3" t="s">
        <v>263</v>
      </c>
      <c r="L31" s="3" t="s">
        <v>264</v>
      </c>
      <c r="M31" s="3"/>
      <c r="N31" s="3" t="s">
        <v>72</v>
      </c>
      <c r="O31" s="3"/>
      <c r="P31" s="4">
        <f t="shared" si="0"/>
        <v>0</v>
      </c>
      <c r="Q31" s="4">
        <f t="shared" si="1"/>
        <v>1</v>
      </c>
      <c r="R31" s="4">
        <f t="shared" si="2"/>
        <v>0</v>
      </c>
      <c r="S31" s="4">
        <f t="shared" si="3"/>
        <v>0</v>
      </c>
      <c r="T31" s="4">
        <f t="shared" si="4"/>
        <v>0</v>
      </c>
      <c r="U31" s="4">
        <f t="shared" si="5"/>
        <v>0</v>
      </c>
      <c r="V31" s="4">
        <f t="shared" si="6"/>
        <v>0</v>
      </c>
      <c r="W31" s="4">
        <f t="shared" si="7"/>
        <v>0</v>
      </c>
      <c r="X31" s="13">
        <f>SUM(Paper7Coding[[#This Row],[Subject-matter correction]:[Genre/ writing expertise]])</f>
        <v>1</v>
      </c>
      <c r="Y31" s="4">
        <f t="shared" si="8"/>
        <v>0</v>
      </c>
      <c r="Z31" s="4">
        <f t="shared" si="9"/>
        <v>0</v>
      </c>
      <c r="AA31" s="4">
        <f t="shared" si="10"/>
        <v>0</v>
      </c>
      <c r="AB31" s="4">
        <f t="shared" si="11"/>
        <v>0</v>
      </c>
      <c r="AC31" s="4">
        <f t="shared" si="12"/>
        <v>0</v>
      </c>
      <c r="AD31" s="4">
        <f t="shared" si="13"/>
        <v>1</v>
      </c>
      <c r="AE31" s="4">
        <f t="shared" si="14"/>
        <v>0</v>
      </c>
    </row>
    <row r="32" spans="1:31" ht="63.95" customHeight="1" x14ac:dyDescent="0.2">
      <c r="A32" s="3" t="s">
        <v>265</v>
      </c>
      <c r="B32" s="4">
        <v>31</v>
      </c>
      <c r="C32" s="3" t="s">
        <v>34</v>
      </c>
      <c r="D32" s="3" t="s">
        <v>266</v>
      </c>
      <c r="E32" s="3" t="s">
        <v>30</v>
      </c>
      <c r="F32" s="3" t="s">
        <v>14</v>
      </c>
      <c r="G32" s="3" t="s">
        <v>24</v>
      </c>
      <c r="H32" s="3" t="s">
        <v>193</v>
      </c>
      <c r="I32" s="3" t="s">
        <v>267</v>
      </c>
      <c r="J32" s="3" t="s">
        <v>268</v>
      </c>
      <c r="K32" s="3" t="s">
        <v>269</v>
      </c>
      <c r="L32" s="3" t="s">
        <v>270</v>
      </c>
      <c r="M32" s="3"/>
      <c r="N32" s="3" t="s">
        <v>72</v>
      </c>
      <c r="O32" s="3"/>
      <c r="P32" s="4">
        <f t="shared" si="0"/>
        <v>0</v>
      </c>
      <c r="Q32" s="4">
        <f t="shared" si="1"/>
        <v>1</v>
      </c>
      <c r="R32" s="4">
        <f t="shared" si="2"/>
        <v>0</v>
      </c>
      <c r="S32" s="4">
        <f t="shared" si="3"/>
        <v>0</v>
      </c>
      <c r="T32" s="4">
        <f t="shared" si="4"/>
        <v>0</v>
      </c>
      <c r="U32" s="4">
        <f t="shared" si="5"/>
        <v>0</v>
      </c>
      <c r="V32" s="4">
        <f t="shared" si="6"/>
        <v>0</v>
      </c>
      <c r="W32" s="4">
        <f t="shared" si="7"/>
        <v>1</v>
      </c>
      <c r="X32" s="13">
        <f>SUM(Paper7Coding[[#This Row],[Subject-matter correction]:[Genre/ writing expertise]])</f>
        <v>2</v>
      </c>
      <c r="Y32" s="4">
        <f t="shared" si="8"/>
        <v>0</v>
      </c>
      <c r="Z32" s="4">
        <f t="shared" si="9"/>
        <v>0</v>
      </c>
      <c r="AA32" s="4">
        <f t="shared" si="10"/>
        <v>0</v>
      </c>
      <c r="AB32" s="4">
        <f t="shared" si="11"/>
        <v>0</v>
      </c>
      <c r="AC32" s="4">
        <f t="shared" si="12"/>
        <v>1</v>
      </c>
      <c r="AD32" s="4">
        <f t="shared" si="13"/>
        <v>1</v>
      </c>
      <c r="AE32" s="4">
        <f t="shared" si="14"/>
        <v>0</v>
      </c>
    </row>
    <row r="33" spans="1:31" ht="60" customHeight="1" x14ac:dyDescent="0.2">
      <c r="A33" s="3" t="s">
        <v>271</v>
      </c>
      <c r="B33" s="4">
        <v>32</v>
      </c>
      <c r="C33" s="3" t="s">
        <v>34</v>
      </c>
      <c r="D33" s="3" t="s">
        <v>272</v>
      </c>
      <c r="E33" s="3" t="s">
        <v>28</v>
      </c>
      <c r="F33" s="3"/>
      <c r="G33" s="3" t="s">
        <v>15</v>
      </c>
      <c r="H33" s="3" t="s">
        <v>29</v>
      </c>
      <c r="I33" s="3" t="s">
        <v>273</v>
      </c>
      <c r="J33" s="3" t="s">
        <v>274</v>
      </c>
      <c r="K33" s="3" t="s">
        <v>275</v>
      </c>
      <c r="L33" s="3" t="s">
        <v>276</v>
      </c>
      <c r="M33" s="3"/>
      <c r="N33" s="3" t="s">
        <v>72</v>
      </c>
      <c r="O33" s="3"/>
      <c r="P33" s="4">
        <f t="shared" si="0"/>
        <v>0</v>
      </c>
      <c r="Q33" s="4">
        <f t="shared" si="1"/>
        <v>0</v>
      </c>
      <c r="R33" s="4">
        <f t="shared" si="2"/>
        <v>0</v>
      </c>
      <c r="S33" s="4">
        <f t="shared" si="3"/>
        <v>0</v>
      </c>
      <c r="T33" s="4">
        <f t="shared" si="4"/>
        <v>0</v>
      </c>
      <c r="U33" s="4">
        <f t="shared" si="5"/>
        <v>0</v>
      </c>
      <c r="V33" s="4">
        <f t="shared" si="6"/>
        <v>1</v>
      </c>
      <c r="W33" s="4">
        <f t="shared" si="7"/>
        <v>0</v>
      </c>
      <c r="X33" s="13">
        <f>SUM(Paper7Coding[[#This Row],[Subject-matter correction]:[Genre/ writing expertise]])</f>
        <v>0</v>
      </c>
      <c r="Y33" s="4">
        <f t="shared" si="8"/>
        <v>0</v>
      </c>
      <c r="Z33" s="4">
        <f t="shared" si="9"/>
        <v>0</v>
      </c>
      <c r="AA33" s="4">
        <f t="shared" si="10"/>
        <v>0</v>
      </c>
      <c r="AB33" s="4">
        <f t="shared" si="11"/>
        <v>0</v>
      </c>
      <c r="AC33" s="4">
        <f t="shared" si="12"/>
        <v>0</v>
      </c>
      <c r="AD33" s="4">
        <f t="shared" si="13"/>
        <v>0</v>
      </c>
      <c r="AE33" s="4">
        <f t="shared" si="14"/>
        <v>1</v>
      </c>
    </row>
    <row r="34" spans="1:31" ht="60" customHeight="1" x14ac:dyDescent="0.2">
      <c r="A34" s="3" t="s">
        <v>277</v>
      </c>
      <c r="B34" s="4">
        <v>33</v>
      </c>
      <c r="C34" s="3" t="s">
        <v>34</v>
      </c>
      <c r="D34" s="3" t="s">
        <v>278</v>
      </c>
      <c r="E34" s="3" t="s">
        <v>14</v>
      </c>
      <c r="F34" s="3"/>
      <c r="G34" s="3" t="s">
        <v>15</v>
      </c>
      <c r="H34" s="3" t="s">
        <v>193</v>
      </c>
      <c r="I34" s="3" t="s">
        <v>279</v>
      </c>
      <c r="J34" s="3" t="s">
        <v>280</v>
      </c>
      <c r="K34" s="3" t="s">
        <v>281</v>
      </c>
      <c r="L34" s="3" t="s">
        <v>282</v>
      </c>
      <c r="M34" s="3"/>
      <c r="N34" s="3" t="s">
        <v>72</v>
      </c>
      <c r="O34" s="3"/>
      <c r="P34" s="4">
        <f t="shared" ref="P34:P65" si="15">IF(OR(E34="Delegation",ISNUMBER(SEARCH("; Delegation; ","; "&amp;F34&amp;"; "))),1,0)</f>
        <v>0</v>
      </c>
      <c r="Q34" s="4">
        <f t="shared" ref="Q34:Q65" si="16">IF(OR(E34="Directed delegation",ISNUMBER(SEARCH("; Directed delegation; ","; "&amp;F34&amp;"; "))),1,0)</f>
        <v>1</v>
      </c>
      <c r="R34" s="4">
        <f t="shared" ref="R34:R65" si="17">IF(OR(E34="Evaluation",ISNUMBER(SEARCH("; Evaluation; ","; "&amp;F34&amp;"; "))),1,0)</f>
        <v>0</v>
      </c>
      <c r="S34" s="4">
        <f t="shared" ref="S34:S65" si="18">IF(OR(E34="Correction/Challenge",ISNUMBER(SEARCH("; Correction/Challenge; ","; "&amp;F34&amp;"; "))),1,0)</f>
        <v>0</v>
      </c>
      <c r="T34" s="4">
        <f t="shared" ref="T34:T65" si="19">IF(OR(E34="Redirection",ISNUMBER(SEARCH("; Redirection; ","; "&amp;F34&amp;"; "))),1,0)</f>
        <v>0</v>
      </c>
      <c r="U34" s="4">
        <f t="shared" ref="U34:U65" si="20">IF(OR(E34="Knowledge injection",ISNUMBER(SEARCH("; Knowledge injection; ","; "&amp;F34&amp;"; "))),1,0)</f>
        <v>0</v>
      </c>
      <c r="V34" s="4">
        <f t="shared" ref="V34:V65" si="21">IF(OR(E34="Selection/Rejection",ISNUMBER(SEARCH("; Selection/Rejection; ","; "&amp;F34&amp;"; "))),1,0)</f>
        <v>0</v>
      </c>
      <c r="W34" s="4">
        <f t="shared" ref="W34:W65" si="22">IF(OR(E34="Deliberation",ISNUMBER(SEARCH("; Deliberation; ","; "&amp;F34&amp;"; "))),1,0)</f>
        <v>0</v>
      </c>
      <c r="X34" s="13">
        <f>SUM(Paper7Coding[[#This Row],[Subject-matter correction]:[Genre/ writing expertise]])</f>
        <v>2</v>
      </c>
      <c r="Y34" s="4">
        <f t="shared" ref="Y34:Y65" si="23">IF(ISNUMBER(SEARCH("; domain correction; ","; "&amp;H34&amp;"; ")),1,0)</f>
        <v>0</v>
      </c>
      <c r="Z34" s="4">
        <f t="shared" ref="Z34:Z65" si="24">IF(ISNUMBER(SEARCH("; conceptual discrimination; ","; "&amp;H34&amp;"; ")),1,0)</f>
        <v>0</v>
      </c>
      <c r="AA34" s="4">
        <f t="shared" ref="AA34:AA65" si="25">IF(ISNUMBER(SEARCH("; evidence judgment; ","; "&amp;H34&amp;"; ")),1,0)</f>
        <v>0</v>
      </c>
      <c r="AB34" s="4">
        <f t="shared" ref="AB34:AB65" si="26">IF(ISNUMBER(SEARCH("; methodological judgment; ","; "&amp;H34&amp;"; ")),1,0)</f>
        <v>0</v>
      </c>
      <c r="AC34" s="4">
        <f t="shared" ref="AC34:AC65" si="27">IF(ISNUMBER(SEARCH("; argumentative judgment; ","; "&amp;H34&amp;"; ")),1,0)</f>
        <v>1</v>
      </c>
      <c r="AD34" s="4">
        <f t="shared" ref="AD34:AD65" si="28">IF(ISNUMBER(SEARCH("; genre/writing expertise; ","; "&amp;H34&amp;"; ")),1,0)</f>
        <v>1</v>
      </c>
      <c r="AE34" s="4">
        <f t="shared" ref="AE34:AE65" si="29">IF(ISNUMBER(SEARCH("; none; ","; "&amp;H34&amp;"; ")),1,0)</f>
        <v>0</v>
      </c>
    </row>
    <row r="35" spans="1:31" ht="60" customHeight="1" x14ac:dyDescent="0.2">
      <c r="A35" s="3" t="s">
        <v>283</v>
      </c>
      <c r="B35" s="4">
        <v>34</v>
      </c>
      <c r="C35" s="3" t="s">
        <v>34</v>
      </c>
      <c r="D35" s="3" t="s">
        <v>284</v>
      </c>
      <c r="E35" s="3" t="s">
        <v>23</v>
      </c>
      <c r="F35" s="3" t="s">
        <v>14</v>
      </c>
      <c r="G35" s="3" t="s">
        <v>15</v>
      </c>
      <c r="H35" s="3" t="s">
        <v>27</v>
      </c>
      <c r="I35" s="3" t="s">
        <v>285</v>
      </c>
      <c r="J35" s="3" t="s">
        <v>286</v>
      </c>
      <c r="K35" s="3" t="s">
        <v>287</v>
      </c>
      <c r="L35" s="3" t="s">
        <v>288</v>
      </c>
      <c r="M35" s="3"/>
      <c r="N35" s="3" t="s">
        <v>72</v>
      </c>
      <c r="O35" s="3"/>
      <c r="P35" s="4">
        <f t="shared" si="15"/>
        <v>0</v>
      </c>
      <c r="Q35" s="4">
        <f t="shared" si="16"/>
        <v>1</v>
      </c>
      <c r="R35" s="4">
        <f t="shared" si="17"/>
        <v>0</v>
      </c>
      <c r="S35" s="4">
        <f t="shared" si="18"/>
        <v>0</v>
      </c>
      <c r="T35" s="4">
        <f t="shared" si="19"/>
        <v>1</v>
      </c>
      <c r="U35" s="4">
        <f t="shared" si="20"/>
        <v>0</v>
      </c>
      <c r="V35" s="4">
        <f t="shared" si="21"/>
        <v>0</v>
      </c>
      <c r="W35" s="4">
        <f t="shared" si="22"/>
        <v>0</v>
      </c>
      <c r="X35" s="13">
        <f>SUM(Paper7Coding[[#This Row],[Subject-matter correction]:[Genre/ writing expertise]])</f>
        <v>1</v>
      </c>
      <c r="Y35" s="4">
        <f t="shared" si="23"/>
        <v>0</v>
      </c>
      <c r="Z35" s="4">
        <f t="shared" si="24"/>
        <v>0</v>
      </c>
      <c r="AA35" s="4">
        <f t="shared" si="25"/>
        <v>0</v>
      </c>
      <c r="AB35" s="4">
        <f t="shared" si="26"/>
        <v>0</v>
      </c>
      <c r="AC35" s="4">
        <f t="shared" si="27"/>
        <v>0</v>
      </c>
      <c r="AD35" s="4">
        <f t="shared" si="28"/>
        <v>1</v>
      </c>
      <c r="AE35" s="4">
        <f t="shared" si="29"/>
        <v>0</v>
      </c>
    </row>
    <row r="36" spans="1:31" ht="60" customHeight="1" x14ac:dyDescent="0.2">
      <c r="A36" s="3" t="s">
        <v>289</v>
      </c>
      <c r="B36" s="4">
        <v>35</v>
      </c>
      <c r="C36" s="3" t="s">
        <v>34</v>
      </c>
      <c r="D36" s="3" t="s">
        <v>290</v>
      </c>
      <c r="E36" s="3" t="s">
        <v>20</v>
      </c>
      <c r="F36" s="3" t="s">
        <v>14</v>
      </c>
      <c r="G36" s="3" t="s">
        <v>21</v>
      </c>
      <c r="H36" s="3" t="s">
        <v>27</v>
      </c>
      <c r="I36" s="3" t="s">
        <v>291</v>
      </c>
      <c r="J36" s="3" t="s">
        <v>292</v>
      </c>
      <c r="K36" s="3" t="s">
        <v>293</v>
      </c>
      <c r="L36" s="3" t="s">
        <v>294</v>
      </c>
      <c r="M36" s="3"/>
      <c r="N36" s="3" t="s">
        <v>72</v>
      </c>
      <c r="O36" s="3"/>
      <c r="P36" s="4">
        <f t="shared" si="15"/>
        <v>0</v>
      </c>
      <c r="Q36" s="4">
        <f t="shared" si="16"/>
        <v>1</v>
      </c>
      <c r="R36" s="4">
        <f t="shared" si="17"/>
        <v>0</v>
      </c>
      <c r="S36" s="4">
        <f t="shared" si="18"/>
        <v>1</v>
      </c>
      <c r="T36" s="4">
        <f t="shared" si="19"/>
        <v>0</v>
      </c>
      <c r="U36" s="4">
        <f t="shared" si="20"/>
        <v>0</v>
      </c>
      <c r="V36" s="4">
        <f t="shared" si="21"/>
        <v>0</v>
      </c>
      <c r="W36" s="4">
        <f t="shared" si="22"/>
        <v>0</v>
      </c>
      <c r="X36" s="13">
        <f>SUM(Paper7Coding[[#This Row],[Subject-matter correction]:[Genre/ writing expertise]])</f>
        <v>1</v>
      </c>
      <c r="Y36" s="4">
        <f t="shared" si="23"/>
        <v>0</v>
      </c>
      <c r="Z36" s="4">
        <f t="shared" si="24"/>
        <v>0</v>
      </c>
      <c r="AA36" s="4">
        <f t="shared" si="25"/>
        <v>0</v>
      </c>
      <c r="AB36" s="4">
        <f t="shared" si="26"/>
        <v>0</v>
      </c>
      <c r="AC36" s="4">
        <f t="shared" si="27"/>
        <v>0</v>
      </c>
      <c r="AD36" s="4">
        <f t="shared" si="28"/>
        <v>1</v>
      </c>
      <c r="AE36" s="4">
        <f t="shared" si="29"/>
        <v>0</v>
      </c>
    </row>
    <row r="37" spans="1:31" ht="60" customHeight="1" x14ac:dyDescent="0.2">
      <c r="A37" s="3" t="s">
        <v>295</v>
      </c>
      <c r="B37" s="4">
        <v>36</v>
      </c>
      <c r="C37" s="3" t="s">
        <v>34</v>
      </c>
      <c r="D37" s="3" t="s">
        <v>296</v>
      </c>
      <c r="E37" s="3" t="s">
        <v>28</v>
      </c>
      <c r="F37" s="3" t="s">
        <v>14</v>
      </c>
      <c r="G37" s="3" t="s">
        <v>15</v>
      </c>
      <c r="H37" s="3" t="s">
        <v>27</v>
      </c>
      <c r="I37" s="3" t="s">
        <v>297</v>
      </c>
      <c r="J37" s="3" t="s">
        <v>298</v>
      </c>
      <c r="K37" s="3" t="s">
        <v>299</v>
      </c>
      <c r="L37" s="3" t="s">
        <v>300</v>
      </c>
      <c r="M37" s="3"/>
      <c r="N37" s="3" t="s">
        <v>72</v>
      </c>
      <c r="O37" s="3"/>
      <c r="P37" s="4">
        <f t="shared" si="15"/>
        <v>0</v>
      </c>
      <c r="Q37" s="4">
        <f t="shared" si="16"/>
        <v>1</v>
      </c>
      <c r="R37" s="4">
        <f t="shared" si="17"/>
        <v>0</v>
      </c>
      <c r="S37" s="4">
        <f t="shared" si="18"/>
        <v>0</v>
      </c>
      <c r="T37" s="4">
        <f t="shared" si="19"/>
        <v>0</v>
      </c>
      <c r="U37" s="4">
        <f t="shared" si="20"/>
        <v>0</v>
      </c>
      <c r="V37" s="4">
        <f t="shared" si="21"/>
        <v>1</v>
      </c>
      <c r="W37" s="4">
        <f t="shared" si="22"/>
        <v>0</v>
      </c>
      <c r="X37" s="13">
        <f>SUM(Paper7Coding[[#This Row],[Subject-matter correction]:[Genre/ writing expertise]])</f>
        <v>1</v>
      </c>
      <c r="Y37" s="4">
        <f t="shared" si="23"/>
        <v>0</v>
      </c>
      <c r="Z37" s="4">
        <f t="shared" si="24"/>
        <v>0</v>
      </c>
      <c r="AA37" s="4">
        <f t="shared" si="25"/>
        <v>0</v>
      </c>
      <c r="AB37" s="4">
        <f t="shared" si="26"/>
        <v>0</v>
      </c>
      <c r="AC37" s="4">
        <f t="shared" si="27"/>
        <v>0</v>
      </c>
      <c r="AD37" s="4">
        <f t="shared" si="28"/>
        <v>1</v>
      </c>
      <c r="AE37" s="4">
        <f t="shared" si="29"/>
        <v>0</v>
      </c>
    </row>
    <row r="38" spans="1:31" ht="60" customHeight="1" x14ac:dyDescent="0.2">
      <c r="A38" s="3" t="s">
        <v>301</v>
      </c>
      <c r="B38" s="4">
        <v>37</v>
      </c>
      <c r="C38" s="3" t="s">
        <v>34</v>
      </c>
      <c r="D38" s="3" t="s">
        <v>302</v>
      </c>
      <c r="E38" s="3" t="s">
        <v>28</v>
      </c>
      <c r="F38" s="3" t="s">
        <v>14</v>
      </c>
      <c r="G38" s="3" t="s">
        <v>15</v>
      </c>
      <c r="H38" s="3" t="s">
        <v>27</v>
      </c>
      <c r="I38" s="3" t="s">
        <v>303</v>
      </c>
      <c r="J38" s="3" t="s">
        <v>304</v>
      </c>
      <c r="K38" s="3" t="s">
        <v>305</v>
      </c>
      <c r="L38" s="3" t="s">
        <v>306</v>
      </c>
      <c r="M38" s="3"/>
      <c r="N38" s="3" t="s">
        <v>72</v>
      </c>
      <c r="O38" s="3"/>
      <c r="P38" s="4">
        <f t="shared" si="15"/>
        <v>0</v>
      </c>
      <c r="Q38" s="4">
        <f t="shared" si="16"/>
        <v>1</v>
      </c>
      <c r="R38" s="4">
        <f t="shared" si="17"/>
        <v>0</v>
      </c>
      <c r="S38" s="4">
        <f t="shared" si="18"/>
        <v>0</v>
      </c>
      <c r="T38" s="4">
        <f t="shared" si="19"/>
        <v>0</v>
      </c>
      <c r="U38" s="4">
        <f t="shared" si="20"/>
        <v>0</v>
      </c>
      <c r="V38" s="4">
        <f t="shared" si="21"/>
        <v>1</v>
      </c>
      <c r="W38" s="4">
        <f t="shared" si="22"/>
        <v>0</v>
      </c>
      <c r="X38" s="13">
        <f>SUM(Paper7Coding[[#This Row],[Subject-matter correction]:[Genre/ writing expertise]])</f>
        <v>1</v>
      </c>
      <c r="Y38" s="4">
        <f t="shared" si="23"/>
        <v>0</v>
      </c>
      <c r="Z38" s="4">
        <f t="shared" si="24"/>
        <v>0</v>
      </c>
      <c r="AA38" s="4">
        <f t="shared" si="25"/>
        <v>0</v>
      </c>
      <c r="AB38" s="4">
        <f t="shared" si="26"/>
        <v>0</v>
      </c>
      <c r="AC38" s="4">
        <f t="shared" si="27"/>
        <v>0</v>
      </c>
      <c r="AD38" s="4">
        <f t="shared" si="28"/>
        <v>1</v>
      </c>
      <c r="AE38" s="4">
        <f t="shared" si="29"/>
        <v>0</v>
      </c>
    </row>
    <row r="39" spans="1:31" ht="63.95" customHeight="1" x14ac:dyDescent="0.2">
      <c r="A39" s="3" t="s">
        <v>307</v>
      </c>
      <c r="B39" s="4">
        <v>38</v>
      </c>
      <c r="C39" s="3" t="s">
        <v>34</v>
      </c>
      <c r="D39" s="3" t="s">
        <v>308</v>
      </c>
      <c r="E39" s="3" t="s">
        <v>28</v>
      </c>
      <c r="F39" s="3"/>
      <c r="G39" s="3" t="s">
        <v>15</v>
      </c>
      <c r="H39" s="3" t="s">
        <v>29</v>
      </c>
      <c r="I39" s="3" t="s">
        <v>309</v>
      </c>
      <c r="J39" s="3" t="s">
        <v>310</v>
      </c>
      <c r="K39" s="3" t="s">
        <v>311</v>
      </c>
      <c r="L39" s="3" t="s">
        <v>312</v>
      </c>
      <c r="M39" s="3"/>
      <c r="N39" s="3" t="s">
        <v>72</v>
      </c>
      <c r="O39" s="3"/>
      <c r="P39" s="4">
        <f t="shared" si="15"/>
        <v>0</v>
      </c>
      <c r="Q39" s="4">
        <f t="shared" si="16"/>
        <v>0</v>
      </c>
      <c r="R39" s="4">
        <f t="shared" si="17"/>
        <v>0</v>
      </c>
      <c r="S39" s="4">
        <f t="shared" si="18"/>
        <v>0</v>
      </c>
      <c r="T39" s="4">
        <f t="shared" si="19"/>
        <v>0</v>
      </c>
      <c r="U39" s="4">
        <f t="shared" si="20"/>
        <v>0</v>
      </c>
      <c r="V39" s="4">
        <f t="shared" si="21"/>
        <v>1</v>
      </c>
      <c r="W39" s="4">
        <f t="shared" si="22"/>
        <v>0</v>
      </c>
      <c r="X39" s="13">
        <f>SUM(Paper7Coding[[#This Row],[Subject-matter correction]:[Genre/ writing expertise]])</f>
        <v>0</v>
      </c>
      <c r="Y39" s="4">
        <f t="shared" si="23"/>
        <v>0</v>
      </c>
      <c r="Z39" s="4">
        <f t="shared" si="24"/>
        <v>0</v>
      </c>
      <c r="AA39" s="4">
        <f t="shared" si="25"/>
        <v>0</v>
      </c>
      <c r="AB39" s="4">
        <f t="shared" si="26"/>
        <v>0</v>
      </c>
      <c r="AC39" s="4">
        <f t="shared" si="27"/>
        <v>0</v>
      </c>
      <c r="AD39" s="4">
        <f t="shared" si="28"/>
        <v>0</v>
      </c>
      <c r="AE39" s="4">
        <f t="shared" si="29"/>
        <v>1</v>
      </c>
    </row>
    <row r="40" spans="1:31" ht="60" customHeight="1" x14ac:dyDescent="0.2">
      <c r="A40" s="3" t="s">
        <v>313</v>
      </c>
      <c r="B40" s="4">
        <v>39</v>
      </c>
      <c r="C40" s="3" t="s">
        <v>34</v>
      </c>
      <c r="D40" s="3" t="s">
        <v>314</v>
      </c>
      <c r="E40" s="3" t="s">
        <v>14</v>
      </c>
      <c r="F40" s="3"/>
      <c r="G40" s="3" t="s">
        <v>15</v>
      </c>
      <c r="H40" s="3" t="s">
        <v>27</v>
      </c>
      <c r="I40" s="3" t="s">
        <v>315</v>
      </c>
      <c r="J40" s="3" t="s">
        <v>316</v>
      </c>
      <c r="K40" s="3" t="s">
        <v>317</v>
      </c>
      <c r="L40" s="3" t="s">
        <v>318</v>
      </c>
      <c r="M40" s="3"/>
      <c r="N40" s="3" t="s">
        <v>72</v>
      </c>
      <c r="O40" s="3"/>
      <c r="P40" s="4">
        <f t="shared" si="15"/>
        <v>0</v>
      </c>
      <c r="Q40" s="4">
        <f t="shared" si="16"/>
        <v>1</v>
      </c>
      <c r="R40" s="4">
        <f t="shared" si="17"/>
        <v>0</v>
      </c>
      <c r="S40" s="4">
        <f t="shared" si="18"/>
        <v>0</v>
      </c>
      <c r="T40" s="4">
        <f t="shared" si="19"/>
        <v>0</v>
      </c>
      <c r="U40" s="4">
        <f t="shared" si="20"/>
        <v>0</v>
      </c>
      <c r="V40" s="4">
        <f t="shared" si="21"/>
        <v>0</v>
      </c>
      <c r="W40" s="4">
        <f t="shared" si="22"/>
        <v>0</v>
      </c>
      <c r="X40" s="13">
        <f>SUM(Paper7Coding[[#This Row],[Subject-matter correction]:[Genre/ writing expertise]])</f>
        <v>1</v>
      </c>
      <c r="Y40" s="4">
        <f t="shared" si="23"/>
        <v>0</v>
      </c>
      <c r="Z40" s="4">
        <f t="shared" si="24"/>
        <v>0</v>
      </c>
      <c r="AA40" s="4">
        <f t="shared" si="25"/>
        <v>0</v>
      </c>
      <c r="AB40" s="4">
        <f t="shared" si="26"/>
        <v>0</v>
      </c>
      <c r="AC40" s="4">
        <f t="shared" si="27"/>
        <v>0</v>
      </c>
      <c r="AD40" s="4">
        <f t="shared" si="28"/>
        <v>1</v>
      </c>
      <c r="AE40" s="4">
        <f t="shared" si="29"/>
        <v>0</v>
      </c>
    </row>
    <row r="41" spans="1:31" ht="63.95" customHeight="1" x14ac:dyDescent="0.2">
      <c r="A41" s="3" t="s">
        <v>319</v>
      </c>
      <c r="B41" s="4">
        <v>40</v>
      </c>
      <c r="C41" s="3" t="s">
        <v>34</v>
      </c>
      <c r="D41" s="3" t="s">
        <v>320</v>
      </c>
      <c r="E41" s="3" t="s">
        <v>26</v>
      </c>
      <c r="F41" s="3" t="s">
        <v>14</v>
      </c>
      <c r="G41" s="3" t="s">
        <v>15</v>
      </c>
      <c r="H41" s="3" t="s">
        <v>25</v>
      </c>
      <c r="I41" s="3" t="s">
        <v>321</v>
      </c>
      <c r="J41" s="3" t="s">
        <v>322</v>
      </c>
      <c r="K41" s="3" t="s">
        <v>323</v>
      </c>
      <c r="L41" s="3" t="s">
        <v>324</v>
      </c>
      <c r="M41" s="3"/>
      <c r="N41" s="3" t="s">
        <v>72</v>
      </c>
      <c r="O41" s="3"/>
      <c r="P41" s="4">
        <f t="shared" si="15"/>
        <v>0</v>
      </c>
      <c r="Q41" s="4">
        <f t="shared" si="16"/>
        <v>1</v>
      </c>
      <c r="R41" s="4">
        <f t="shared" si="17"/>
        <v>0</v>
      </c>
      <c r="S41" s="4">
        <f t="shared" si="18"/>
        <v>0</v>
      </c>
      <c r="T41" s="4">
        <f t="shared" si="19"/>
        <v>0</v>
      </c>
      <c r="U41" s="4">
        <f t="shared" si="20"/>
        <v>1</v>
      </c>
      <c r="V41" s="4">
        <f t="shared" si="21"/>
        <v>0</v>
      </c>
      <c r="W41" s="4">
        <f t="shared" si="22"/>
        <v>0</v>
      </c>
      <c r="X41" s="13">
        <f>SUM(Paper7Coding[[#This Row],[Subject-matter correction]:[Genre/ writing expertise]])</f>
        <v>1</v>
      </c>
      <c r="Y41" s="4">
        <f t="shared" si="23"/>
        <v>0</v>
      </c>
      <c r="Z41" s="4">
        <f t="shared" si="24"/>
        <v>0</v>
      </c>
      <c r="AA41" s="4">
        <f t="shared" si="25"/>
        <v>0</v>
      </c>
      <c r="AB41" s="4">
        <f t="shared" si="26"/>
        <v>0</v>
      </c>
      <c r="AC41" s="4">
        <f t="shared" si="27"/>
        <v>1</v>
      </c>
      <c r="AD41" s="4">
        <f t="shared" si="28"/>
        <v>0</v>
      </c>
      <c r="AE41" s="4">
        <f t="shared" si="29"/>
        <v>0</v>
      </c>
    </row>
    <row r="42" spans="1:31" ht="60" customHeight="1" x14ac:dyDescent="0.2">
      <c r="A42" s="3" t="s">
        <v>325</v>
      </c>
      <c r="B42" s="4">
        <v>41</v>
      </c>
      <c r="C42" s="3" t="s">
        <v>34</v>
      </c>
      <c r="D42" s="3" t="s">
        <v>326</v>
      </c>
      <c r="E42" s="3" t="s">
        <v>28</v>
      </c>
      <c r="F42" s="3" t="s">
        <v>327</v>
      </c>
      <c r="G42" s="3" t="s">
        <v>15</v>
      </c>
      <c r="H42" s="3" t="s">
        <v>193</v>
      </c>
      <c r="I42" s="3" t="s">
        <v>328</v>
      </c>
      <c r="J42" s="3" t="s">
        <v>329</v>
      </c>
      <c r="K42" s="3" t="s">
        <v>330</v>
      </c>
      <c r="L42" s="3" t="s">
        <v>331</v>
      </c>
      <c r="M42" s="3"/>
      <c r="N42" s="3" t="s">
        <v>72</v>
      </c>
      <c r="O42" s="3"/>
      <c r="P42" s="4">
        <f t="shared" si="15"/>
        <v>0</v>
      </c>
      <c r="Q42" s="4">
        <f t="shared" si="16"/>
        <v>1</v>
      </c>
      <c r="R42" s="4">
        <f t="shared" si="17"/>
        <v>0</v>
      </c>
      <c r="S42" s="4">
        <f t="shared" si="18"/>
        <v>0</v>
      </c>
      <c r="T42" s="4">
        <f t="shared" si="19"/>
        <v>1</v>
      </c>
      <c r="U42" s="4">
        <f t="shared" si="20"/>
        <v>0</v>
      </c>
      <c r="V42" s="4">
        <f t="shared" si="21"/>
        <v>1</v>
      </c>
      <c r="W42" s="4">
        <f t="shared" si="22"/>
        <v>0</v>
      </c>
      <c r="X42" s="13">
        <f>SUM(Paper7Coding[[#This Row],[Subject-matter correction]:[Genre/ writing expertise]])</f>
        <v>2</v>
      </c>
      <c r="Y42" s="4">
        <f t="shared" si="23"/>
        <v>0</v>
      </c>
      <c r="Z42" s="4">
        <f t="shared" si="24"/>
        <v>0</v>
      </c>
      <c r="AA42" s="4">
        <f t="shared" si="25"/>
        <v>0</v>
      </c>
      <c r="AB42" s="4">
        <f t="shared" si="26"/>
        <v>0</v>
      </c>
      <c r="AC42" s="4">
        <f t="shared" si="27"/>
        <v>1</v>
      </c>
      <c r="AD42" s="4">
        <f t="shared" si="28"/>
        <v>1</v>
      </c>
      <c r="AE42" s="4">
        <f t="shared" si="29"/>
        <v>0</v>
      </c>
    </row>
    <row r="43" spans="1:31" ht="60" customHeight="1" x14ac:dyDescent="0.2">
      <c r="A43" s="3" t="s">
        <v>332</v>
      </c>
      <c r="B43" s="4">
        <v>42</v>
      </c>
      <c r="C43" s="3" t="s">
        <v>34</v>
      </c>
      <c r="D43" s="3" t="s">
        <v>333</v>
      </c>
      <c r="E43" s="3" t="s">
        <v>30</v>
      </c>
      <c r="F43" s="3" t="s">
        <v>17</v>
      </c>
      <c r="G43" s="3" t="s">
        <v>24</v>
      </c>
      <c r="H43" s="3" t="s">
        <v>22</v>
      </c>
      <c r="I43" s="3" t="s">
        <v>334</v>
      </c>
      <c r="J43" s="3" t="s">
        <v>335</v>
      </c>
      <c r="K43" s="3" t="s">
        <v>336</v>
      </c>
      <c r="L43" s="3" t="s">
        <v>337</v>
      </c>
      <c r="M43" s="3"/>
      <c r="N43" s="3" t="s">
        <v>72</v>
      </c>
      <c r="O43" s="3"/>
      <c r="P43" s="4">
        <f t="shared" si="15"/>
        <v>0</v>
      </c>
      <c r="Q43" s="4">
        <f t="shared" si="16"/>
        <v>0</v>
      </c>
      <c r="R43" s="4">
        <f t="shared" si="17"/>
        <v>1</v>
      </c>
      <c r="S43" s="4">
        <f t="shared" si="18"/>
        <v>0</v>
      </c>
      <c r="T43" s="4">
        <f t="shared" si="19"/>
        <v>0</v>
      </c>
      <c r="U43" s="4">
        <f t="shared" si="20"/>
        <v>0</v>
      </c>
      <c r="V43" s="4">
        <f t="shared" si="21"/>
        <v>0</v>
      </c>
      <c r="W43" s="4">
        <f t="shared" si="22"/>
        <v>1</v>
      </c>
      <c r="X43" s="13">
        <f>SUM(Paper7Coding[[#This Row],[Subject-matter correction]:[Genre/ writing expertise]])</f>
        <v>1</v>
      </c>
      <c r="Y43" s="4">
        <f t="shared" si="23"/>
        <v>0</v>
      </c>
      <c r="Z43" s="4">
        <f t="shared" si="24"/>
        <v>0</v>
      </c>
      <c r="AA43" s="4">
        <f t="shared" si="25"/>
        <v>0</v>
      </c>
      <c r="AB43" s="4">
        <f t="shared" si="26"/>
        <v>1</v>
      </c>
      <c r="AC43" s="4">
        <f t="shared" si="27"/>
        <v>0</v>
      </c>
      <c r="AD43" s="4">
        <f t="shared" si="28"/>
        <v>0</v>
      </c>
      <c r="AE43" s="4">
        <f t="shared" si="29"/>
        <v>0</v>
      </c>
    </row>
    <row r="44" spans="1:31" ht="78" customHeight="1" x14ac:dyDescent="0.2">
      <c r="A44" s="3" t="s">
        <v>338</v>
      </c>
      <c r="B44" s="4">
        <v>43</v>
      </c>
      <c r="C44" s="3" t="s">
        <v>34</v>
      </c>
      <c r="D44" s="3" t="s">
        <v>339</v>
      </c>
      <c r="E44" s="3" t="s">
        <v>26</v>
      </c>
      <c r="F44" s="3"/>
      <c r="G44" s="3" t="s">
        <v>15</v>
      </c>
      <c r="H44" s="3" t="s">
        <v>22</v>
      </c>
      <c r="I44" s="3" t="s">
        <v>340</v>
      </c>
      <c r="J44" s="3" t="s">
        <v>341</v>
      </c>
      <c r="K44" s="3" t="s">
        <v>342</v>
      </c>
      <c r="L44" s="3" t="s">
        <v>343</v>
      </c>
      <c r="M44" s="3"/>
      <c r="N44" s="3" t="s">
        <v>72</v>
      </c>
      <c r="O44" s="3" t="s">
        <v>344</v>
      </c>
      <c r="P44" s="4">
        <f t="shared" si="15"/>
        <v>0</v>
      </c>
      <c r="Q44" s="4">
        <f t="shared" si="16"/>
        <v>0</v>
      </c>
      <c r="R44" s="4">
        <f t="shared" si="17"/>
        <v>0</v>
      </c>
      <c r="S44" s="4">
        <f t="shared" si="18"/>
        <v>0</v>
      </c>
      <c r="T44" s="4">
        <f t="shared" si="19"/>
        <v>0</v>
      </c>
      <c r="U44" s="4">
        <f t="shared" si="20"/>
        <v>1</v>
      </c>
      <c r="V44" s="4">
        <f t="shared" si="21"/>
        <v>0</v>
      </c>
      <c r="W44" s="4">
        <f t="shared" si="22"/>
        <v>0</v>
      </c>
      <c r="X44" s="13">
        <f>SUM(Paper7Coding[[#This Row],[Subject-matter correction]:[Genre/ writing expertise]])</f>
        <v>1</v>
      </c>
      <c r="Y44" s="4">
        <f t="shared" si="23"/>
        <v>0</v>
      </c>
      <c r="Z44" s="4">
        <f t="shared" si="24"/>
        <v>0</v>
      </c>
      <c r="AA44" s="4">
        <f t="shared" si="25"/>
        <v>0</v>
      </c>
      <c r="AB44" s="4">
        <f t="shared" si="26"/>
        <v>1</v>
      </c>
      <c r="AC44" s="4">
        <f t="shared" si="27"/>
        <v>0</v>
      </c>
      <c r="AD44" s="4">
        <f t="shared" si="28"/>
        <v>0</v>
      </c>
      <c r="AE44" s="4">
        <f t="shared" si="29"/>
        <v>0</v>
      </c>
    </row>
    <row r="45" spans="1:31" ht="92.1" customHeight="1" x14ac:dyDescent="0.2">
      <c r="A45" s="3" t="s">
        <v>345</v>
      </c>
      <c r="B45" s="4">
        <v>44</v>
      </c>
      <c r="C45" s="3" t="s">
        <v>34</v>
      </c>
      <c r="D45" s="3" t="s">
        <v>346</v>
      </c>
      <c r="E45" s="3" t="s">
        <v>14</v>
      </c>
      <c r="F45" s="3" t="s">
        <v>26</v>
      </c>
      <c r="G45" s="3" t="s">
        <v>15</v>
      </c>
      <c r="H45" s="3" t="s">
        <v>193</v>
      </c>
      <c r="I45" s="3" t="s">
        <v>347</v>
      </c>
      <c r="J45" s="3" t="s">
        <v>348</v>
      </c>
      <c r="K45" s="3" t="s">
        <v>349</v>
      </c>
      <c r="L45" s="3" t="s">
        <v>350</v>
      </c>
      <c r="M45" s="3" t="s">
        <v>210</v>
      </c>
      <c r="N45" s="3" t="s">
        <v>72</v>
      </c>
      <c r="O45" s="3"/>
      <c r="P45" s="4">
        <f t="shared" si="15"/>
        <v>0</v>
      </c>
      <c r="Q45" s="4">
        <f t="shared" si="16"/>
        <v>1</v>
      </c>
      <c r="R45" s="4">
        <f t="shared" si="17"/>
        <v>0</v>
      </c>
      <c r="S45" s="4">
        <f t="shared" si="18"/>
        <v>0</v>
      </c>
      <c r="T45" s="4">
        <f t="shared" si="19"/>
        <v>0</v>
      </c>
      <c r="U45" s="4">
        <f t="shared" si="20"/>
        <v>1</v>
      </c>
      <c r="V45" s="4">
        <f t="shared" si="21"/>
        <v>0</v>
      </c>
      <c r="W45" s="4">
        <f t="shared" si="22"/>
        <v>0</v>
      </c>
      <c r="X45" s="13">
        <f>SUM(Paper7Coding[[#This Row],[Subject-matter correction]:[Genre/ writing expertise]])</f>
        <v>2</v>
      </c>
      <c r="Y45" s="4">
        <f t="shared" si="23"/>
        <v>0</v>
      </c>
      <c r="Z45" s="4">
        <f t="shared" si="24"/>
        <v>0</v>
      </c>
      <c r="AA45" s="4">
        <f t="shared" si="25"/>
        <v>0</v>
      </c>
      <c r="AB45" s="4">
        <f t="shared" si="26"/>
        <v>0</v>
      </c>
      <c r="AC45" s="4">
        <f t="shared" si="27"/>
        <v>1</v>
      </c>
      <c r="AD45" s="4">
        <f t="shared" si="28"/>
        <v>1</v>
      </c>
      <c r="AE45" s="4">
        <f t="shared" si="29"/>
        <v>0</v>
      </c>
    </row>
    <row r="46" spans="1:31" ht="60" customHeight="1" x14ac:dyDescent="0.2">
      <c r="A46" s="3" t="s">
        <v>351</v>
      </c>
      <c r="B46" s="4">
        <v>45</v>
      </c>
      <c r="C46" s="3" t="s">
        <v>34</v>
      </c>
      <c r="D46" s="3" t="s">
        <v>352</v>
      </c>
      <c r="E46" s="3" t="s">
        <v>26</v>
      </c>
      <c r="F46" s="3" t="s">
        <v>14</v>
      </c>
      <c r="G46" s="3" t="s">
        <v>15</v>
      </c>
      <c r="H46" s="3" t="s">
        <v>193</v>
      </c>
      <c r="I46" s="3" t="s">
        <v>353</v>
      </c>
      <c r="J46" s="3" t="s">
        <v>354</v>
      </c>
      <c r="K46" s="3" t="s">
        <v>355</v>
      </c>
      <c r="L46" s="3" t="s">
        <v>356</v>
      </c>
      <c r="M46" s="3"/>
      <c r="N46" s="3" t="s">
        <v>72</v>
      </c>
      <c r="O46" s="3"/>
      <c r="P46" s="4">
        <f t="shared" si="15"/>
        <v>0</v>
      </c>
      <c r="Q46" s="4">
        <f t="shared" si="16"/>
        <v>1</v>
      </c>
      <c r="R46" s="4">
        <f t="shared" si="17"/>
        <v>0</v>
      </c>
      <c r="S46" s="4">
        <f t="shared" si="18"/>
        <v>0</v>
      </c>
      <c r="T46" s="4">
        <f t="shared" si="19"/>
        <v>0</v>
      </c>
      <c r="U46" s="4">
        <f t="shared" si="20"/>
        <v>1</v>
      </c>
      <c r="V46" s="4">
        <f t="shared" si="21"/>
        <v>0</v>
      </c>
      <c r="W46" s="4">
        <f t="shared" si="22"/>
        <v>0</v>
      </c>
      <c r="X46" s="13">
        <f>SUM(Paper7Coding[[#This Row],[Subject-matter correction]:[Genre/ writing expertise]])</f>
        <v>2</v>
      </c>
      <c r="Y46" s="4">
        <f t="shared" si="23"/>
        <v>0</v>
      </c>
      <c r="Z46" s="4">
        <f t="shared" si="24"/>
        <v>0</v>
      </c>
      <c r="AA46" s="4">
        <f t="shared" si="25"/>
        <v>0</v>
      </c>
      <c r="AB46" s="4">
        <f t="shared" si="26"/>
        <v>0</v>
      </c>
      <c r="AC46" s="4">
        <f t="shared" si="27"/>
        <v>1</v>
      </c>
      <c r="AD46" s="4">
        <f t="shared" si="28"/>
        <v>1</v>
      </c>
      <c r="AE46" s="4">
        <f t="shared" si="29"/>
        <v>0</v>
      </c>
    </row>
    <row r="47" spans="1:31" ht="60" customHeight="1" x14ac:dyDescent="0.2">
      <c r="A47" s="3" t="s">
        <v>357</v>
      </c>
      <c r="B47" s="4">
        <v>46</v>
      </c>
      <c r="C47" s="3" t="s">
        <v>34</v>
      </c>
      <c r="D47" s="3" t="s">
        <v>358</v>
      </c>
      <c r="E47" s="3" t="s">
        <v>11</v>
      </c>
      <c r="F47" s="3"/>
      <c r="G47" s="3" t="s">
        <v>12</v>
      </c>
      <c r="H47" s="3" t="s">
        <v>29</v>
      </c>
      <c r="I47" s="3" t="s">
        <v>359</v>
      </c>
      <c r="J47" s="3" t="s">
        <v>360</v>
      </c>
      <c r="K47" s="3" t="s">
        <v>361</v>
      </c>
      <c r="L47" s="3" t="s">
        <v>362</v>
      </c>
      <c r="M47" s="3"/>
      <c r="N47" s="3" t="s">
        <v>72</v>
      </c>
      <c r="O47" s="3"/>
      <c r="P47" s="4">
        <f t="shared" si="15"/>
        <v>1</v>
      </c>
      <c r="Q47" s="4">
        <f t="shared" si="16"/>
        <v>0</v>
      </c>
      <c r="R47" s="4">
        <f t="shared" si="17"/>
        <v>0</v>
      </c>
      <c r="S47" s="4">
        <f t="shared" si="18"/>
        <v>0</v>
      </c>
      <c r="T47" s="4">
        <f t="shared" si="19"/>
        <v>0</v>
      </c>
      <c r="U47" s="4">
        <f t="shared" si="20"/>
        <v>0</v>
      </c>
      <c r="V47" s="4">
        <f t="shared" si="21"/>
        <v>0</v>
      </c>
      <c r="W47" s="4">
        <f t="shared" si="22"/>
        <v>0</v>
      </c>
      <c r="X47" s="13">
        <f>SUM(Paper7Coding[[#This Row],[Subject-matter correction]:[Genre/ writing expertise]])</f>
        <v>0</v>
      </c>
      <c r="Y47" s="4">
        <f t="shared" si="23"/>
        <v>0</v>
      </c>
      <c r="Z47" s="4">
        <f t="shared" si="24"/>
        <v>0</v>
      </c>
      <c r="AA47" s="4">
        <f t="shared" si="25"/>
        <v>0</v>
      </c>
      <c r="AB47" s="4">
        <f t="shared" si="26"/>
        <v>0</v>
      </c>
      <c r="AC47" s="4">
        <f t="shared" si="27"/>
        <v>0</v>
      </c>
      <c r="AD47" s="4">
        <f t="shared" si="28"/>
        <v>0</v>
      </c>
      <c r="AE47" s="4">
        <f t="shared" si="29"/>
        <v>1</v>
      </c>
    </row>
    <row r="48" spans="1:31" ht="60" customHeight="1" x14ac:dyDescent="0.2">
      <c r="A48" s="3" t="s">
        <v>363</v>
      </c>
      <c r="B48" s="4">
        <v>47</v>
      </c>
      <c r="C48" s="3" t="s">
        <v>34</v>
      </c>
      <c r="D48" s="3" t="s">
        <v>364</v>
      </c>
      <c r="E48" s="3" t="s">
        <v>14</v>
      </c>
      <c r="F48" s="3"/>
      <c r="G48" s="3" t="s">
        <v>15</v>
      </c>
      <c r="H48" s="3" t="s">
        <v>27</v>
      </c>
      <c r="I48" s="3" t="s">
        <v>365</v>
      </c>
      <c r="J48" s="3" t="s">
        <v>366</v>
      </c>
      <c r="K48" s="3" t="s">
        <v>367</v>
      </c>
      <c r="L48" s="3" t="s">
        <v>368</v>
      </c>
      <c r="M48" s="3"/>
      <c r="N48" s="3" t="s">
        <v>72</v>
      </c>
      <c r="O48" s="3"/>
      <c r="P48" s="4">
        <f t="shared" si="15"/>
        <v>0</v>
      </c>
      <c r="Q48" s="4">
        <f t="shared" si="16"/>
        <v>1</v>
      </c>
      <c r="R48" s="4">
        <f t="shared" si="17"/>
        <v>0</v>
      </c>
      <c r="S48" s="4">
        <f t="shared" si="18"/>
        <v>0</v>
      </c>
      <c r="T48" s="4">
        <f t="shared" si="19"/>
        <v>0</v>
      </c>
      <c r="U48" s="4">
        <f t="shared" si="20"/>
        <v>0</v>
      </c>
      <c r="V48" s="4">
        <f t="shared" si="21"/>
        <v>0</v>
      </c>
      <c r="W48" s="4">
        <f t="shared" si="22"/>
        <v>0</v>
      </c>
      <c r="X48" s="13">
        <f>SUM(Paper7Coding[[#This Row],[Subject-matter correction]:[Genre/ writing expertise]])</f>
        <v>1</v>
      </c>
      <c r="Y48" s="4">
        <f t="shared" si="23"/>
        <v>0</v>
      </c>
      <c r="Z48" s="4">
        <f t="shared" si="24"/>
        <v>0</v>
      </c>
      <c r="AA48" s="4">
        <f t="shared" si="25"/>
        <v>0</v>
      </c>
      <c r="AB48" s="4">
        <f t="shared" si="26"/>
        <v>0</v>
      </c>
      <c r="AC48" s="4">
        <f t="shared" si="27"/>
        <v>0</v>
      </c>
      <c r="AD48" s="4">
        <f t="shared" si="28"/>
        <v>1</v>
      </c>
      <c r="AE48" s="4">
        <f t="shared" si="29"/>
        <v>0</v>
      </c>
    </row>
    <row r="49" spans="1:31" ht="60" customHeight="1" x14ac:dyDescent="0.2">
      <c r="A49" s="3" t="s">
        <v>369</v>
      </c>
      <c r="B49" s="4">
        <v>48</v>
      </c>
      <c r="C49" s="3" t="s">
        <v>34</v>
      </c>
      <c r="D49" s="3" t="s">
        <v>370</v>
      </c>
      <c r="E49" s="3" t="s">
        <v>11</v>
      </c>
      <c r="F49" s="3"/>
      <c r="G49" s="3" t="s">
        <v>12</v>
      </c>
      <c r="H49" s="3" t="s">
        <v>29</v>
      </c>
      <c r="I49" s="3" t="s">
        <v>371</v>
      </c>
      <c r="J49" s="3" t="s">
        <v>372</v>
      </c>
      <c r="K49" s="3" t="s">
        <v>373</v>
      </c>
      <c r="L49" s="3" t="s">
        <v>374</v>
      </c>
      <c r="M49" s="3"/>
      <c r="N49" s="3" t="s">
        <v>72</v>
      </c>
      <c r="O49" s="3"/>
      <c r="P49" s="4">
        <f t="shared" si="15"/>
        <v>1</v>
      </c>
      <c r="Q49" s="4">
        <f t="shared" si="16"/>
        <v>0</v>
      </c>
      <c r="R49" s="4">
        <f t="shared" si="17"/>
        <v>0</v>
      </c>
      <c r="S49" s="4">
        <f t="shared" si="18"/>
        <v>0</v>
      </c>
      <c r="T49" s="4">
        <f t="shared" si="19"/>
        <v>0</v>
      </c>
      <c r="U49" s="4">
        <f t="shared" si="20"/>
        <v>0</v>
      </c>
      <c r="V49" s="4">
        <f t="shared" si="21"/>
        <v>0</v>
      </c>
      <c r="W49" s="4">
        <f t="shared" si="22"/>
        <v>0</v>
      </c>
      <c r="X49" s="13">
        <f>SUM(Paper7Coding[[#This Row],[Subject-matter correction]:[Genre/ writing expertise]])</f>
        <v>0</v>
      </c>
      <c r="Y49" s="4">
        <f t="shared" si="23"/>
        <v>0</v>
      </c>
      <c r="Z49" s="4">
        <f t="shared" si="24"/>
        <v>0</v>
      </c>
      <c r="AA49" s="4">
        <f t="shared" si="25"/>
        <v>0</v>
      </c>
      <c r="AB49" s="4">
        <f t="shared" si="26"/>
        <v>0</v>
      </c>
      <c r="AC49" s="4">
        <f t="shared" si="27"/>
        <v>0</v>
      </c>
      <c r="AD49" s="4">
        <f t="shared" si="28"/>
        <v>0</v>
      </c>
      <c r="AE49" s="4">
        <f t="shared" si="29"/>
        <v>1</v>
      </c>
    </row>
    <row r="50" spans="1:31" ht="78" customHeight="1" x14ac:dyDescent="0.2">
      <c r="A50" s="3" t="s">
        <v>375</v>
      </c>
      <c r="B50" s="4">
        <v>49</v>
      </c>
      <c r="C50" s="3" t="s">
        <v>34</v>
      </c>
      <c r="D50" s="3" t="s">
        <v>376</v>
      </c>
      <c r="E50" s="3" t="s">
        <v>20</v>
      </c>
      <c r="F50" s="3" t="s">
        <v>377</v>
      </c>
      <c r="G50" s="3" t="s">
        <v>21</v>
      </c>
      <c r="H50" s="3" t="s">
        <v>378</v>
      </c>
      <c r="I50" s="3" t="s">
        <v>379</v>
      </c>
      <c r="J50" s="3" t="s">
        <v>380</v>
      </c>
      <c r="K50" s="3" t="s">
        <v>381</v>
      </c>
      <c r="L50" s="3" t="s">
        <v>382</v>
      </c>
      <c r="M50" s="3"/>
      <c r="N50" s="3" t="s">
        <v>72</v>
      </c>
      <c r="O50" s="3"/>
      <c r="P50" s="4">
        <f t="shared" si="15"/>
        <v>0</v>
      </c>
      <c r="Q50" s="4">
        <f t="shared" si="16"/>
        <v>1</v>
      </c>
      <c r="R50" s="4">
        <f t="shared" si="17"/>
        <v>0</v>
      </c>
      <c r="S50" s="4">
        <f t="shared" si="18"/>
        <v>1</v>
      </c>
      <c r="T50" s="4">
        <f t="shared" si="19"/>
        <v>1</v>
      </c>
      <c r="U50" s="4">
        <f t="shared" si="20"/>
        <v>1</v>
      </c>
      <c r="V50" s="4">
        <f t="shared" si="21"/>
        <v>0</v>
      </c>
      <c r="W50" s="4">
        <f t="shared" si="22"/>
        <v>0</v>
      </c>
      <c r="X50" s="13">
        <f>SUM(Paper7Coding[[#This Row],[Subject-matter correction]:[Genre/ writing expertise]])</f>
        <v>3</v>
      </c>
      <c r="Y50" s="4">
        <f t="shared" si="23"/>
        <v>1</v>
      </c>
      <c r="Z50" s="4">
        <f t="shared" si="24"/>
        <v>0</v>
      </c>
      <c r="AA50" s="4">
        <f t="shared" si="25"/>
        <v>0</v>
      </c>
      <c r="AB50" s="4">
        <f t="shared" si="26"/>
        <v>0</v>
      </c>
      <c r="AC50" s="4">
        <f t="shared" si="27"/>
        <v>1</v>
      </c>
      <c r="AD50" s="4">
        <f t="shared" si="28"/>
        <v>1</v>
      </c>
      <c r="AE50" s="4">
        <f t="shared" si="29"/>
        <v>0</v>
      </c>
    </row>
    <row r="51" spans="1:31" ht="78" customHeight="1" x14ac:dyDescent="0.2">
      <c r="A51" s="3" t="s">
        <v>383</v>
      </c>
      <c r="B51" s="4">
        <v>50</v>
      </c>
      <c r="C51" s="3" t="s">
        <v>34</v>
      </c>
      <c r="D51" s="3" t="s">
        <v>384</v>
      </c>
      <c r="E51" s="3" t="s">
        <v>20</v>
      </c>
      <c r="F51" s="3" t="s">
        <v>26</v>
      </c>
      <c r="G51" s="3" t="s">
        <v>21</v>
      </c>
      <c r="H51" s="3" t="s">
        <v>385</v>
      </c>
      <c r="I51" s="3" t="s">
        <v>386</v>
      </c>
      <c r="J51" s="3" t="s">
        <v>387</v>
      </c>
      <c r="K51" s="3" t="s">
        <v>388</v>
      </c>
      <c r="L51" s="3" t="s">
        <v>389</v>
      </c>
      <c r="M51" s="3"/>
      <c r="N51" s="3" t="s">
        <v>72</v>
      </c>
      <c r="O51" s="3" t="s">
        <v>390</v>
      </c>
      <c r="P51" s="4">
        <f t="shared" si="15"/>
        <v>0</v>
      </c>
      <c r="Q51" s="4">
        <f t="shared" si="16"/>
        <v>0</v>
      </c>
      <c r="R51" s="4">
        <f t="shared" si="17"/>
        <v>0</v>
      </c>
      <c r="S51" s="4">
        <f t="shared" si="18"/>
        <v>1</v>
      </c>
      <c r="T51" s="4">
        <f t="shared" si="19"/>
        <v>0</v>
      </c>
      <c r="U51" s="4">
        <f t="shared" si="20"/>
        <v>1</v>
      </c>
      <c r="V51" s="4">
        <f t="shared" si="21"/>
        <v>0</v>
      </c>
      <c r="W51" s="4">
        <f t="shared" si="22"/>
        <v>0</v>
      </c>
      <c r="X51" s="13">
        <f>SUM(Paper7Coding[[#This Row],[Subject-matter correction]:[Genre/ writing expertise]])</f>
        <v>3</v>
      </c>
      <c r="Y51" s="4">
        <f t="shared" si="23"/>
        <v>1</v>
      </c>
      <c r="Z51" s="4">
        <f t="shared" si="24"/>
        <v>0</v>
      </c>
      <c r="AA51" s="4">
        <f t="shared" si="25"/>
        <v>1</v>
      </c>
      <c r="AB51" s="4">
        <f t="shared" si="26"/>
        <v>0</v>
      </c>
      <c r="AC51" s="4">
        <f t="shared" si="27"/>
        <v>1</v>
      </c>
      <c r="AD51" s="4">
        <f t="shared" si="28"/>
        <v>0</v>
      </c>
      <c r="AE51" s="4">
        <f t="shared" si="29"/>
        <v>0</v>
      </c>
    </row>
    <row r="52" spans="1:31" ht="60" customHeight="1" x14ac:dyDescent="0.2">
      <c r="A52" s="3" t="s">
        <v>391</v>
      </c>
      <c r="B52" s="4">
        <v>51</v>
      </c>
      <c r="C52" s="3" t="s">
        <v>34</v>
      </c>
      <c r="D52" s="3" t="s">
        <v>272</v>
      </c>
      <c r="E52" s="3" t="s">
        <v>28</v>
      </c>
      <c r="F52" s="3"/>
      <c r="G52" s="3" t="s">
        <v>15</v>
      </c>
      <c r="H52" s="3" t="s">
        <v>29</v>
      </c>
      <c r="I52" s="3" t="s">
        <v>392</v>
      </c>
      <c r="J52" s="3" t="s">
        <v>393</v>
      </c>
      <c r="K52" s="3" t="s">
        <v>394</v>
      </c>
      <c r="L52" s="3" t="s">
        <v>395</v>
      </c>
      <c r="M52" s="3"/>
      <c r="N52" s="3" t="s">
        <v>72</v>
      </c>
      <c r="O52" s="3"/>
      <c r="P52" s="4">
        <f t="shared" si="15"/>
        <v>0</v>
      </c>
      <c r="Q52" s="4">
        <f t="shared" si="16"/>
        <v>0</v>
      </c>
      <c r="R52" s="4">
        <f t="shared" si="17"/>
        <v>0</v>
      </c>
      <c r="S52" s="4">
        <f t="shared" si="18"/>
        <v>0</v>
      </c>
      <c r="T52" s="4">
        <f t="shared" si="19"/>
        <v>0</v>
      </c>
      <c r="U52" s="4">
        <f t="shared" si="20"/>
        <v>0</v>
      </c>
      <c r="V52" s="4">
        <f t="shared" si="21"/>
        <v>1</v>
      </c>
      <c r="W52" s="4">
        <f t="shared" si="22"/>
        <v>0</v>
      </c>
      <c r="X52" s="13">
        <f>SUM(Paper7Coding[[#This Row],[Subject-matter correction]:[Genre/ writing expertise]])</f>
        <v>0</v>
      </c>
      <c r="Y52" s="4">
        <f t="shared" si="23"/>
        <v>0</v>
      </c>
      <c r="Z52" s="4">
        <f t="shared" si="24"/>
        <v>0</v>
      </c>
      <c r="AA52" s="4">
        <f t="shared" si="25"/>
        <v>0</v>
      </c>
      <c r="AB52" s="4">
        <f t="shared" si="26"/>
        <v>0</v>
      </c>
      <c r="AC52" s="4">
        <f t="shared" si="27"/>
        <v>0</v>
      </c>
      <c r="AD52" s="4">
        <f t="shared" si="28"/>
        <v>0</v>
      </c>
      <c r="AE52" s="4">
        <f t="shared" si="29"/>
        <v>1</v>
      </c>
    </row>
    <row r="53" spans="1:31" ht="63.95" customHeight="1" x14ac:dyDescent="0.2">
      <c r="A53" s="3" t="s">
        <v>396</v>
      </c>
      <c r="B53" s="4">
        <v>52</v>
      </c>
      <c r="C53" s="3" t="s">
        <v>34</v>
      </c>
      <c r="D53" s="3" t="s">
        <v>397</v>
      </c>
      <c r="E53" s="3" t="s">
        <v>20</v>
      </c>
      <c r="F53" s="3" t="s">
        <v>398</v>
      </c>
      <c r="G53" s="3" t="s">
        <v>21</v>
      </c>
      <c r="H53" s="3" t="s">
        <v>399</v>
      </c>
      <c r="I53" s="3" t="s">
        <v>400</v>
      </c>
      <c r="J53" s="3" t="s">
        <v>401</v>
      </c>
      <c r="K53" s="3" t="s">
        <v>402</v>
      </c>
      <c r="L53" s="3" t="s">
        <v>403</v>
      </c>
      <c r="M53" s="3"/>
      <c r="N53" s="3" t="s">
        <v>72</v>
      </c>
      <c r="O53" s="3"/>
      <c r="P53" s="4">
        <f t="shared" si="15"/>
        <v>0</v>
      </c>
      <c r="Q53" s="4">
        <f t="shared" si="16"/>
        <v>0</v>
      </c>
      <c r="R53" s="4">
        <f t="shared" si="17"/>
        <v>0</v>
      </c>
      <c r="S53" s="4">
        <f t="shared" si="18"/>
        <v>1</v>
      </c>
      <c r="T53" s="4">
        <f t="shared" si="19"/>
        <v>1</v>
      </c>
      <c r="U53" s="4">
        <f t="shared" si="20"/>
        <v>1</v>
      </c>
      <c r="V53" s="4">
        <f t="shared" si="21"/>
        <v>0</v>
      </c>
      <c r="W53" s="4">
        <f t="shared" si="22"/>
        <v>0</v>
      </c>
      <c r="X53" s="13">
        <f>SUM(Paper7Coding[[#This Row],[Subject-matter correction]:[Genre/ writing expertise]])</f>
        <v>2</v>
      </c>
      <c r="Y53" s="4">
        <f t="shared" si="23"/>
        <v>1</v>
      </c>
      <c r="Z53" s="4">
        <f t="shared" si="24"/>
        <v>0</v>
      </c>
      <c r="AA53" s="4">
        <f t="shared" si="25"/>
        <v>0</v>
      </c>
      <c r="AB53" s="4">
        <f t="shared" si="26"/>
        <v>0</v>
      </c>
      <c r="AC53" s="4">
        <f t="shared" si="27"/>
        <v>1</v>
      </c>
      <c r="AD53" s="4">
        <f t="shared" si="28"/>
        <v>0</v>
      </c>
      <c r="AE53" s="4">
        <f t="shared" si="29"/>
        <v>0</v>
      </c>
    </row>
    <row r="54" spans="1:31" ht="60" customHeight="1" x14ac:dyDescent="0.2">
      <c r="A54" s="3" t="s">
        <v>404</v>
      </c>
      <c r="B54" s="4">
        <v>53</v>
      </c>
      <c r="C54" s="3" t="s">
        <v>34</v>
      </c>
      <c r="D54" s="3" t="s">
        <v>405</v>
      </c>
      <c r="E54" s="3" t="s">
        <v>14</v>
      </c>
      <c r="F54" s="3"/>
      <c r="G54" s="3" t="s">
        <v>15</v>
      </c>
      <c r="H54" s="3" t="s">
        <v>193</v>
      </c>
      <c r="I54" s="3" t="s">
        <v>406</v>
      </c>
      <c r="J54" s="3" t="s">
        <v>407</v>
      </c>
      <c r="K54" s="3" t="s">
        <v>408</v>
      </c>
      <c r="L54" s="3" t="s">
        <v>409</v>
      </c>
      <c r="M54" s="3"/>
      <c r="N54" s="3" t="s">
        <v>72</v>
      </c>
      <c r="O54" s="3"/>
      <c r="P54" s="4">
        <f t="shared" si="15"/>
        <v>0</v>
      </c>
      <c r="Q54" s="4">
        <f t="shared" si="16"/>
        <v>1</v>
      </c>
      <c r="R54" s="4">
        <f t="shared" si="17"/>
        <v>0</v>
      </c>
      <c r="S54" s="4">
        <f t="shared" si="18"/>
        <v>0</v>
      </c>
      <c r="T54" s="4">
        <f t="shared" si="19"/>
        <v>0</v>
      </c>
      <c r="U54" s="4">
        <f t="shared" si="20"/>
        <v>0</v>
      </c>
      <c r="V54" s="4">
        <f t="shared" si="21"/>
        <v>0</v>
      </c>
      <c r="W54" s="4">
        <f t="shared" si="22"/>
        <v>0</v>
      </c>
      <c r="X54" s="13">
        <f>SUM(Paper7Coding[[#This Row],[Subject-matter correction]:[Genre/ writing expertise]])</f>
        <v>2</v>
      </c>
      <c r="Y54" s="4">
        <f t="shared" si="23"/>
        <v>0</v>
      </c>
      <c r="Z54" s="4">
        <f t="shared" si="24"/>
        <v>0</v>
      </c>
      <c r="AA54" s="4">
        <f t="shared" si="25"/>
        <v>0</v>
      </c>
      <c r="AB54" s="4">
        <f t="shared" si="26"/>
        <v>0</v>
      </c>
      <c r="AC54" s="4">
        <f t="shared" si="27"/>
        <v>1</v>
      </c>
      <c r="AD54" s="4">
        <f t="shared" si="28"/>
        <v>1</v>
      </c>
      <c r="AE54" s="4">
        <f t="shared" si="29"/>
        <v>0</v>
      </c>
    </row>
    <row r="55" spans="1:31" ht="63.95" customHeight="1" x14ac:dyDescent="0.2">
      <c r="A55" s="3" t="s">
        <v>410</v>
      </c>
      <c r="B55" s="4">
        <v>54</v>
      </c>
      <c r="C55" s="3" t="s">
        <v>34</v>
      </c>
      <c r="D55" s="3" t="s">
        <v>411</v>
      </c>
      <c r="E55" s="3" t="s">
        <v>14</v>
      </c>
      <c r="F55" s="3"/>
      <c r="G55" s="3" t="s">
        <v>15</v>
      </c>
      <c r="H55" s="3" t="s">
        <v>22</v>
      </c>
      <c r="I55" s="3" t="s">
        <v>412</v>
      </c>
      <c r="J55" s="3" t="s">
        <v>413</v>
      </c>
      <c r="K55" s="3" t="s">
        <v>414</v>
      </c>
      <c r="L55" s="3" t="s">
        <v>415</v>
      </c>
      <c r="M55" s="3"/>
      <c r="N55" s="3" t="s">
        <v>72</v>
      </c>
      <c r="O55" s="3"/>
      <c r="P55" s="4">
        <f t="shared" si="15"/>
        <v>0</v>
      </c>
      <c r="Q55" s="4">
        <f t="shared" si="16"/>
        <v>1</v>
      </c>
      <c r="R55" s="4">
        <f t="shared" si="17"/>
        <v>0</v>
      </c>
      <c r="S55" s="4">
        <f t="shared" si="18"/>
        <v>0</v>
      </c>
      <c r="T55" s="4">
        <f t="shared" si="19"/>
        <v>0</v>
      </c>
      <c r="U55" s="4">
        <f t="shared" si="20"/>
        <v>0</v>
      </c>
      <c r="V55" s="4">
        <f t="shared" si="21"/>
        <v>0</v>
      </c>
      <c r="W55" s="4">
        <f t="shared" si="22"/>
        <v>0</v>
      </c>
      <c r="X55" s="13">
        <f>SUM(Paper7Coding[[#This Row],[Subject-matter correction]:[Genre/ writing expertise]])</f>
        <v>1</v>
      </c>
      <c r="Y55" s="4">
        <f t="shared" si="23"/>
        <v>0</v>
      </c>
      <c r="Z55" s="4">
        <f t="shared" si="24"/>
        <v>0</v>
      </c>
      <c r="AA55" s="4">
        <f t="shared" si="25"/>
        <v>0</v>
      </c>
      <c r="AB55" s="4">
        <f t="shared" si="26"/>
        <v>1</v>
      </c>
      <c r="AC55" s="4">
        <f t="shared" si="27"/>
        <v>0</v>
      </c>
      <c r="AD55" s="4">
        <f t="shared" si="28"/>
        <v>0</v>
      </c>
      <c r="AE55" s="4">
        <f t="shared" si="29"/>
        <v>0</v>
      </c>
    </row>
    <row r="56" spans="1:31" ht="63.95" customHeight="1" x14ac:dyDescent="0.2">
      <c r="A56" s="3" t="s">
        <v>416</v>
      </c>
      <c r="B56" s="4">
        <v>55</v>
      </c>
      <c r="C56" s="3" t="s">
        <v>34</v>
      </c>
      <c r="D56" s="3" t="s">
        <v>417</v>
      </c>
      <c r="E56" s="3" t="s">
        <v>28</v>
      </c>
      <c r="F56" s="3" t="s">
        <v>254</v>
      </c>
      <c r="G56" s="3" t="s">
        <v>15</v>
      </c>
      <c r="H56" s="3" t="s">
        <v>418</v>
      </c>
      <c r="I56" s="3" t="s">
        <v>419</v>
      </c>
      <c r="J56" s="3" t="s">
        <v>420</v>
      </c>
      <c r="K56" s="3" t="s">
        <v>421</v>
      </c>
      <c r="L56" s="3" t="s">
        <v>422</v>
      </c>
      <c r="M56" s="3"/>
      <c r="N56" s="3" t="s">
        <v>72</v>
      </c>
      <c r="O56" s="3"/>
      <c r="P56" s="4">
        <f t="shared" si="15"/>
        <v>0</v>
      </c>
      <c r="Q56" s="4">
        <f t="shared" si="16"/>
        <v>1</v>
      </c>
      <c r="R56" s="4">
        <f t="shared" si="17"/>
        <v>0</v>
      </c>
      <c r="S56" s="4">
        <f t="shared" si="18"/>
        <v>0</v>
      </c>
      <c r="T56" s="4">
        <f t="shared" si="19"/>
        <v>1</v>
      </c>
      <c r="U56" s="4">
        <f t="shared" si="20"/>
        <v>0</v>
      </c>
      <c r="V56" s="4">
        <f t="shared" si="21"/>
        <v>1</v>
      </c>
      <c r="W56" s="4">
        <f t="shared" si="22"/>
        <v>0</v>
      </c>
      <c r="X56" s="13">
        <f>SUM(Paper7Coding[[#This Row],[Subject-matter correction]:[Genre/ writing expertise]])</f>
        <v>2</v>
      </c>
      <c r="Y56" s="4">
        <f t="shared" si="23"/>
        <v>0</v>
      </c>
      <c r="Z56" s="4">
        <f t="shared" si="24"/>
        <v>0</v>
      </c>
      <c r="AA56" s="4">
        <f t="shared" si="25"/>
        <v>1</v>
      </c>
      <c r="AB56" s="4">
        <f t="shared" si="26"/>
        <v>1</v>
      </c>
      <c r="AC56" s="4">
        <f t="shared" si="27"/>
        <v>0</v>
      </c>
      <c r="AD56" s="4">
        <f t="shared" si="28"/>
        <v>0</v>
      </c>
      <c r="AE56" s="4">
        <f t="shared" si="29"/>
        <v>0</v>
      </c>
    </row>
    <row r="57" spans="1:31" ht="60" customHeight="1" x14ac:dyDescent="0.2">
      <c r="A57" s="3" t="s">
        <v>423</v>
      </c>
      <c r="B57" s="4">
        <v>56</v>
      </c>
      <c r="C57" s="3" t="s">
        <v>34</v>
      </c>
      <c r="D57" s="3" t="s">
        <v>424</v>
      </c>
      <c r="E57" s="3" t="s">
        <v>14</v>
      </c>
      <c r="F57" s="3"/>
      <c r="G57" s="3" t="s">
        <v>15</v>
      </c>
      <c r="H57" s="3" t="s">
        <v>27</v>
      </c>
      <c r="I57" s="3" t="s">
        <v>425</v>
      </c>
      <c r="J57" s="3" t="s">
        <v>426</v>
      </c>
      <c r="K57" s="3" t="s">
        <v>427</v>
      </c>
      <c r="L57" s="3" t="s">
        <v>428</v>
      </c>
      <c r="M57" s="3"/>
      <c r="N57" s="3" t="s">
        <v>72</v>
      </c>
      <c r="O57" s="3"/>
      <c r="P57" s="4">
        <f t="shared" si="15"/>
        <v>0</v>
      </c>
      <c r="Q57" s="4">
        <f t="shared" si="16"/>
        <v>1</v>
      </c>
      <c r="R57" s="4">
        <f t="shared" si="17"/>
        <v>0</v>
      </c>
      <c r="S57" s="4">
        <f t="shared" si="18"/>
        <v>0</v>
      </c>
      <c r="T57" s="4">
        <f t="shared" si="19"/>
        <v>0</v>
      </c>
      <c r="U57" s="4">
        <f t="shared" si="20"/>
        <v>0</v>
      </c>
      <c r="V57" s="4">
        <f t="shared" si="21"/>
        <v>0</v>
      </c>
      <c r="W57" s="4">
        <f t="shared" si="22"/>
        <v>0</v>
      </c>
      <c r="X57" s="13">
        <f>SUM(Paper7Coding[[#This Row],[Subject-matter correction]:[Genre/ writing expertise]])</f>
        <v>1</v>
      </c>
      <c r="Y57" s="4">
        <f t="shared" si="23"/>
        <v>0</v>
      </c>
      <c r="Z57" s="4">
        <f t="shared" si="24"/>
        <v>0</v>
      </c>
      <c r="AA57" s="4">
        <f t="shared" si="25"/>
        <v>0</v>
      </c>
      <c r="AB57" s="4">
        <f t="shared" si="26"/>
        <v>0</v>
      </c>
      <c r="AC57" s="4">
        <f t="shared" si="27"/>
        <v>0</v>
      </c>
      <c r="AD57" s="4">
        <f t="shared" si="28"/>
        <v>1</v>
      </c>
      <c r="AE57" s="4">
        <f t="shared" si="29"/>
        <v>0</v>
      </c>
    </row>
    <row r="58" spans="1:31" ht="92.1" customHeight="1" x14ac:dyDescent="0.2">
      <c r="A58" s="3" t="s">
        <v>429</v>
      </c>
      <c r="B58" s="4">
        <v>57</v>
      </c>
      <c r="C58" s="3" t="s">
        <v>34</v>
      </c>
      <c r="D58" s="3" t="s">
        <v>430</v>
      </c>
      <c r="E58" s="3" t="s">
        <v>14</v>
      </c>
      <c r="F58" s="3" t="s">
        <v>26</v>
      </c>
      <c r="G58" s="3" t="s">
        <v>15</v>
      </c>
      <c r="H58" s="3" t="s">
        <v>193</v>
      </c>
      <c r="I58" s="3" t="s">
        <v>431</v>
      </c>
      <c r="J58" s="3" t="s">
        <v>432</v>
      </c>
      <c r="K58" s="3" t="s">
        <v>433</v>
      </c>
      <c r="L58" s="3" t="s">
        <v>434</v>
      </c>
      <c r="M58" s="3" t="s">
        <v>71</v>
      </c>
      <c r="N58" s="3" t="s">
        <v>72</v>
      </c>
      <c r="O58" s="3"/>
      <c r="P58" s="4">
        <f t="shared" si="15"/>
        <v>0</v>
      </c>
      <c r="Q58" s="4">
        <f t="shared" si="16"/>
        <v>1</v>
      </c>
      <c r="R58" s="4">
        <f t="shared" si="17"/>
        <v>0</v>
      </c>
      <c r="S58" s="4">
        <f t="shared" si="18"/>
        <v>0</v>
      </c>
      <c r="T58" s="4">
        <f t="shared" si="19"/>
        <v>0</v>
      </c>
      <c r="U58" s="4">
        <f t="shared" si="20"/>
        <v>1</v>
      </c>
      <c r="V58" s="4">
        <f t="shared" si="21"/>
        <v>0</v>
      </c>
      <c r="W58" s="4">
        <f t="shared" si="22"/>
        <v>0</v>
      </c>
      <c r="X58" s="13">
        <f>SUM(Paper7Coding[[#This Row],[Subject-matter correction]:[Genre/ writing expertise]])</f>
        <v>2</v>
      </c>
      <c r="Y58" s="4">
        <f t="shared" si="23"/>
        <v>0</v>
      </c>
      <c r="Z58" s="4">
        <f t="shared" si="24"/>
        <v>0</v>
      </c>
      <c r="AA58" s="4">
        <f t="shared" si="25"/>
        <v>0</v>
      </c>
      <c r="AB58" s="4">
        <f t="shared" si="26"/>
        <v>0</v>
      </c>
      <c r="AC58" s="4">
        <f t="shared" si="27"/>
        <v>1</v>
      </c>
      <c r="AD58" s="4">
        <f t="shared" si="28"/>
        <v>1</v>
      </c>
      <c r="AE58" s="4">
        <f t="shared" si="29"/>
        <v>0</v>
      </c>
    </row>
    <row r="59" spans="1:31" ht="92.1" customHeight="1" x14ac:dyDescent="0.2">
      <c r="A59" s="3" t="s">
        <v>435</v>
      </c>
      <c r="B59" s="4">
        <v>58</v>
      </c>
      <c r="C59" s="3" t="s">
        <v>34</v>
      </c>
      <c r="D59" s="3" t="s">
        <v>436</v>
      </c>
      <c r="E59" s="3" t="s">
        <v>26</v>
      </c>
      <c r="F59" s="3" t="s">
        <v>14</v>
      </c>
      <c r="G59" s="3" t="s">
        <v>15</v>
      </c>
      <c r="H59" s="3" t="s">
        <v>25</v>
      </c>
      <c r="I59" s="3" t="s">
        <v>437</v>
      </c>
      <c r="J59" s="3" t="s">
        <v>438</v>
      </c>
      <c r="K59" s="3" t="s">
        <v>439</v>
      </c>
      <c r="L59" s="3" t="s">
        <v>440</v>
      </c>
      <c r="M59" s="3"/>
      <c r="N59" s="3" t="s">
        <v>72</v>
      </c>
      <c r="O59" s="3"/>
      <c r="P59" s="4">
        <f t="shared" si="15"/>
        <v>0</v>
      </c>
      <c r="Q59" s="4">
        <f t="shared" si="16"/>
        <v>1</v>
      </c>
      <c r="R59" s="4">
        <f t="shared" si="17"/>
        <v>0</v>
      </c>
      <c r="S59" s="4">
        <f t="shared" si="18"/>
        <v>0</v>
      </c>
      <c r="T59" s="4">
        <f t="shared" si="19"/>
        <v>0</v>
      </c>
      <c r="U59" s="4">
        <f t="shared" si="20"/>
        <v>1</v>
      </c>
      <c r="V59" s="4">
        <f t="shared" si="21"/>
        <v>0</v>
      </c>
      <c r="W59" s="4">
        <f t="shared" si="22"/>
        <v>0</v>
      </c>
      <c r="X59" s="13">
        <f>SUM(Paper7Coding[[#This Row],[Subject-matter correction]:[Genre/ writing expertise]])</f>
        <v>1</v>
      </c>
      <c r="Y59" s="4">
        <f t="shared" si="23"/>
        <v>0</v>
      </c>
      <c r="Z59" s="4">
        <f t="shared" si="24"/>
        <v>0</v>
      </c>
      <c r="AA59" s="4">
        <f t="shared" si="25"/>
        <v>0</v>
      </c>
      <c r="AB59" s="4">
        <f t="shared" si="26"/>
        <v>0</v>
      </c>
      <c r="AC59" s="4">
        <f t="shared" si="27"/>
        <v>1</v>
      </c>
      <c r="AD59" s="4">
        <f t="shared" si="28"/>
        <v>0</v>
      </c>
      <c r="AE59" s="4">
        <f t="shared" si="29"/>
        <v>0</v>
      </c>
    </row>
    <row r="60" spans="1:31" ht="60" customHeight="1" x14ac:dyDescent="0.2">
      <c r="A60" s="3" t="s">
        <v>441</v>
      </c>
      <c r="B60" s="4">
        <v>59</v>
      </c>
      <c r="C60" s="3" t="s">
        <v>34</v>
      </c>
      <c r="D60" s="3" t="s">
        <v>442</v>
      </c>
      <c r="E60" s="3" t="s">
        <v>14</v>
      </c>
      <c r="F60" s="3"/>
      <c r="G60" s="3" t="s">
        <v>15</v>
      </c>
      <c r="H60" s="3" t="s">
        <v>25</v>
      </c>
      <c r="I60" s="3" t="s">
        <v>443</v>
      </c>
      <c r="J60" s="3" t="s">
        <v>444</v>
      </c>
      <c r="K60" s="3" t="s">
        <v>445</v>
      </c>
      <c r="L60" s="3" t="s">
        <v>446</v>
      </c>
      <c r="M60" s="3"/>
      <c r="N60" s="3" t="s">
        <v>72</v>
      </c>
      <c r="O60" s="3"/>
      <c r="P60" s="4">
        <f t="shared" si="15"/>
        <v>0</v>
      </c>
      <c r="Q60" s="4">
        <f t="shared" si="16"/>
        <v>1</v>
      </c>
      <c r="R60" s="4">
        <f t="shared" si="17"/>
        <v>0</v>
      </c>
      <c r="S60" s="4">
        <f t="shared" si="18"/>
        <v>0</v>
      </c>
      <c r="T60" s="4">
        <f t="shared" si="19"/>
        <v>0</v>
      </c>
      <c r="U60" s="4">
        <f t="shared" si="20"/>
        <v>0</v>
      </c>
      <c r="V60" s="4">
        <f t="shared" si="21"/>
        <v>0</v>
      </c>
      <c r="W60" s="4">
        <f t="shared" si="22"/>
        <v>0</v>
      </c>
      <c r="X60" s="13">
        <f>SUM(Paper7Coding[[#This Row],[Subject-matter correction]:[Genre/ writing expertise]])</f>
        <v>1</v>
      </c>
      <c r="Y60" s="4">
        <f t="shared" si="23"/>
        <v>0</v>
      </c>
      <c r="Z60" s="4">
        <f t="shared" si="24"/>
        <v>0</v>
      </c>
      <c r="AA60" s="4">
        <f t="shared" si="25"/>
        <v>0</v>
      </c>
      <c r="AB60" s="4">
        <f t="shared" si="26"/>
        <v>0</v>
      </c>
      <c r="AC60" s="4">
        <f t="shared" si="27"/>
        <v>1</v>
      </c>
      <c r="AD60" s="4">
        <f t="shared" si="28"/>
        <v>0</v>
      </c>
      <c r="AE60" s="4">
        <f t="shared" si="29"/>
        <v>0</v>
      </c>
    </row>
    <row r="61" spans="1:31" ht="60" customHeight="1" x14ac:dyDescent="0.2">
      <c r="A61" s="3" t="s">
        <v>447</v>
      </c>
      <c r="B61" s="4">
        <v>60</v>
      </c>
      <c r="C61" s="3" t="s">
        <v>34</v>
      </c>
      <c r="D61" s="3" t="s">
        <v>448</v>
      </c>
      <c r="E61" s="3" t="s">
        <v>26</v>
      </c>
      <c r="F61" s="3"/>
      <c r="G61" s="3" t="s">
        <v>15</v>
      </c>
      <c r="H61" s="3" t="s">
        <v>29</v>
      </c>
      <c r="I61" s="3" t="s">
        <v>449</v>
      </c>
      <c r="J61" s="3" t="s">
        <v>450</v>
      </c>
      <c r="K61" s="3" t="s">
        <v>451</v>
      </c>
      <c r="L61" s="3" t="s">
        <v>452</v>
      </c>
      <c r="M61" s="3" t="s">
        <v>71</v>
      </c>
      <c r="N61" s="3" t="s">
        <v>72</v>
      </c>
      <c r="O61" s="3" t="s">
        <v>453</v>
      </c>
      <c r="P61" s="4">
        <f t="shared" si="15"/>
        <v>0</v>
      </c>
      <c r="Q61" s="4">
        <f t="shared" si="16"/>
        <v>0</v>
      </c>
      <c r="R61" s="4">
        <f t="shared" si="17"/>
        <v>0</v>
      </c>
      <c r="S61" s="4">
        <f t="shared" si="18"/>
        <v>0</v>
      </c>
      <c r="T61" s="4">
        <f t="shared" si="19"/>
        <v>0</v>
      </c>
      <c r="U61" s="4">
        <f t="shared" si="20"/>
        <v>1</v>
      </c>
      <c r="V61" s="4">
        <f t="shared" si="21"/>
        <v>0</v>
      </c>
      <c r="W61" s="4">
        <f t="shared" si="22"/>
        <v>0</v>
      </c>
      <c r="X61" s="13">
        <f>SUM(Paper7Coding[[#This Row],[Subject-matter correction]:[Genre/ writing expertise]])</f>
        <v>0</v>
      </c>
      <c r="Y61" s="4">
        <f t="shared" si="23"/>
        <v>0</v>
      </c>
      <c r="Z61" s="4">
        <f t="shared" si="24"/>
        <v>0</v>
      </c>
      <c r="AA61" s="4">
        <f t="shared" si="25"/>
        <v>0</v>
      </c>
      <c r="AB61" s="4">
        <f t="shared" si="26"/>
        <v>0</v>
      </c>
      <c r="AC61" s="4">
        <f t="shared" si="27"/>
        <v>0</v>
      </c>
      <c r="AD61" s="4">
        <f t="shared" si="28"/>
        <v>0</v>
      </c>
      <c r="AE61" s="4">
        <f t="shared" si="29"/>
        <v>1</v>
      </c>
    </row>
    <row r="62" spans="1:31" ht="60" customHeight="1" x14ac:dyDescent="0.2">
      <c r="A62" s="3" t="s">
        <v>454</v>
      </c>
      <c r="B62" s="4">
        <v>61</v>
      </c>
      <c r="C62" s="3" t="s">
        <v>34</v>
      </c>
      <c r="D62" s="3" t="s">
        <v>455</v>
      </c>
      <c r="E62" s="3" t="s">
        <v>26</v>
      </c>
      <c r="F62" s="3"/>
      <c r="G62" s="3" t="s">
        <v>15</v>
      </c>
      <c r="H62" s="3" t="s">
        <v>29</v>
      </c>
      <c r="I62" s="3" t="s">
        <v>456</v>
      </c>
      <c r="J62" s="3" t="s">
        <v>457</v>
      </c>
      <c r="K62" s="3" t="s">
        <v>458</v>
      </c>
      <c r="L62" s="3" t="s">
        <v>459</v>
      </c>
      <c r="M62" s="3" t="s">
        <v>71</v>
      </c>
      <c r="N62" s="3" t="s">
        <v>72</v>
      </c>
      <c r="O62" s="3" t="s">
        <v>460</v>
      </c>
      <c r="P62" s="4">
        <f t="shared" si="15"/>
        <v>0</v>
      </c>
      <c r="Q62" s="4">
        <f t="shared" si="16"/>
        <v>0</v>
      </c>
      <c r="R62" s="4">
        <f t="shared" si="17"/>
        <v>0</v>
      </c>
      <c r="S62" s="4">
        <f t="shared" si="18"/>
        <v>0</v>
      </c>
      <c r="T62" s="4">
        <f t="shared" si="19"/>
        <v>0</v>
      </c>
      <c r="U62" s="4">
        <f t="shared" si="20"/>
        <v>1</v>
      </c>
      <c r="V62" s="4">
        <f t="shared" si="21"/>
        <v>0</v>
      </c>
      <c r="W62" s="4">
        <f t="shared" si="22"/>
        <v>0</v>
      </c>
      <c r="X62" s="13">
        <f>SUM(Paper7Coding[[#This Row],[Subject-matter correction]:[Genre/ writing expertise]])</f>
        <v>0</v>
      </c>
      <c r="Y62" s="4">
        <f t="shared" si="23"/>
        <v>0</v>
      </c>
      <c r="Z62" s="4">
        <f t="shared" si="24"/>
        <v>0</v>
      </c>
      <c r="AA62" s="4">
        <f t="shared" si="25"/>
        <v>0</v>
      </c>
      <c r="AB62" s="4">
        <f t="shared" si="26"/>
        <v>0</v>
      </c>
      <c r="AC62" s="4">
        <f t="shared" si="27"/>
        <v>0</v>
      </c>
      <c r="AD62" s="4">
        <f t="shared" si="28"/>
        <v>0</v>
      </c>
      <c r="AE62" s="4">
        <f t="shared" si="29"/>
        <v>1</v>
      </c>
    </row>
    <row r="63" spans="1:31" ht="63.95" customHeight="1" x14ac:dyDescent="0.2">
      <c r="A63" s="3" t="s">
        <v>461</v>
      </c>
      <c r="B63" s="4">
        <v>62</v>
      </c>
      <c r="C63" s="3" t="s">
        <v>34</v>
      </c>
      <c r="D63" s="3" t="s">
        <v>462</v>
      </c>
      <c r="E63" s="3" t="s">
        <v>14</v>
      </c>
      <c r="F63" s="3" t="s">
        <v>26</v>
      </c>
      <c r="G63" s="3" t="s">
        <v>15</v>
      </c>
      <c r="H63" s="3" t="s">
        <v>463</v>
      </c>
      <c r="I63" s="3" t="s">
        <v>464</v>
      </c>
      <c r="J63" s="3" t="s">
        <v>465</v>
      </c>
      <c r="K63" s="3" t="s">
        <v>466</v>
      </c>
      <c r="L63" s="3" t="s">
        <v>467</v>
      </c>
      <c r="M63" s="3" t="s">
        <v>71</v>
      </c>
      <c r="N63" s="3" t="s">
        <v>72</v>
      </c>
      <c r="O63" s="3"/>
      <c r="P63" s="4">
        <f t="shared" si="15"/>
        <v>0</v>
      </c>
      <c r="Q63" s="4">
        <f t="shared" si="16"/>
        <v>1</v>
      </c>
      <c r="R63" s="4">
        <f t="shared" si="17"/>
        <v>0</v>
      </c>
      <c r="S63" s="4">
        <f t="shared" si="18"/>
        <v>0</v>
      </c>
      <c r="T63" s="4">
        <f t="shared" si="19"/>
        <v>0</v>
      </c>
      <c r="U63" s="4">
        <f t="shared" si="20"/>
        <v>1</v>
      </c>
      <c r="V63" s="4">
        <f t="shared" si="21"/>
        <v>0</v>
      </c>
      <c r="W63" s="4">
        <f t="shared" si="22"/>
        <v>0</v>
      </c>
      <c r="X63" s="13">
        <f>SUM(Paper7Coding[[#This Row],[Subject-matter correction]:[Genre/ writing expertise]])</f>
        <v>2</v>
      </c>
      <c r="Y63" s="4">
        <f t="shared" si="23"/>
        <v>0</v>
      </c>
      <c r="Z63" s="4">
        <f t="shared" si="24"/>
        <v>0</v>
      </c>
      <c r="AA63" s="4">
        <f t="shared" si="25"/>
        <v>1</v>
      </c>
      <c r="AB63" s="4">
        <f t="shared" si="26"/>
        <v>1</v>
      </c>
      <c r="AC63" s="4">
        <f t="shared" si="27"/>
        <v>0</v>
      </c>
      <c r="AD63" s="4">
        <f t="shared" si="28"/>
        <v>0</v>
      </c>
      <c r="AE63" s="4">
        <f t="shared" si="29"/>
        <v>0</v>
      </c>
    </row>
    <row r="64" spans="1:31" ht="92.1" customHeight="1" x14ac:dyDescent="0.2">
      <c r="A64" s="3" t="s">
        <v>468</v>
      </c>
      <c r="B64" s="4">
        <v>63</v>
      </c>
      <c r="C64" s="3" t="s">
        <v>34</v>
      </c>
      <c r="D64" s="3" t="s">
        <v>469</v>
      </c>
      <c r="E64" s="3" t="s">
        <v>14</v>
      </c>
      <c r="F64" s="3"/>
      <c r="G64" s="3" t="s">
        <v>15</v>
      </c>
      <c r="H64" s="3" t="s">
        <v>463</v>
      </c>
      <c r="I64" s="3" t="s">
        <v>470</v>
      </c>
      <c r="J64" s="3" t="s">
        <v>471</v>
      </c>
      <c r="K64" s="3" t="s">
        <v>472</v>
      </c>
      <c r="L64" s="3" t="s">
        <v>473</v>
      </c>
      <c r="M64" s="3"/>
      <c r="N64" s="3" t="s">
        <v>72</v>
      </c>
      <c r="O64" s="3" t="s">
        <v>474</v>
      </c>
      <c r="P64" s="4">
        <f t="shared" si="15"/>
        <v>0</v>
      </c>
      <c r="Q64" s="4">
        <f t="shared" si="16"/>
        <v>1</v>
      </c>
      <c r="R64" s="4">
        <f t="shared" si="17"/>
        <v>0</v>
      </c>
      <c r="S64" s="4">
        <f t="shared" si="18"/>
        <v>0</v>
      </c>
      <c r="T64" s="4">
        <f t="shared" si="19"/>
        <v>0</v>
      </c>
      <c r="U64" s="4">
        <f t="shared" si="20"/>
        <v>0</v>
      </c>
      <c r="V64" s="4">
        <f t="shared" si="21"/>
        <v>0</v>
      </c>
      <c r="W64" s="4">
        <f t="shared" si="22"/>
        <v>0</v>
      </c>
      <c r="X64" s="13">
        <f>SUM(Paper7Coding[[#This Row],[Subject-matter correction]:[Genre/ writing expertise]])</f>
        <v>2</v>
      </c>
      <c r="Y64" s="4">
        <f t="shared" si="23"/>
        <v>0</v>
      </c>
      <c r="Z64" s="4">
        <f t="shared" si="24"/>
        <v>0</v>
      </c>
      <c r="AA64" s="4">
        <f t="shared" si="25"/>
        <v>1</v>
      </c>
      <c r="AB64" s="4">
        <f t="shared" si="26"/>
        <v>1</v>
      </c>
      <c r="AC64" s="4">
        <f t="shared" si="27"/>
        <v>0</v>
      </c>
      <c r="AD64" s="4">
        <f t="shared" si="28"/>
        <v>0</v>
      </c>
      <c r="AE64" s="4">
        <f t="shared" si="29"/>
        <v>0</v>
      </c>
    </row>
    <row r="65" spans="1:31" ht="60" customHeight="1" x14ac:dyDescent="0.2">
      <c r="A65" s="3" t="s">
        <v>475</v>
      </c>
      <c r="B65" s="4">
        <v>64</v>
      </c>
      <c r="C65" s="3" t="s">
        <v>34</v>
      </c>
      <c r="D65" s="3" t="s">
        <v>476</v>
      </c>
      <c r="E65" s="3" t="s">
        <v>20</v>
      </c>
      <c r="F65" s="3" t="s">
        <v>398</v>
      </c>
      <c r="G65" s="3" t="s">
        <v>21</v>
      </c>
      <c r="H65" s="3" t="s">
        <v>29</v>
      </c>
      <c r="I65" s="3" t="s">
        <v>477</v>
      </c>
      <c r="J65" s="3" t="s">
        <v>478</v>
      </c>
      <c r="K65" s="3" t="s">
        <v>479</v>
      </c>
      <c r="L65" s="3" t="s">
        <v>480</v>
      </c>
      <c r="M65" s="3"/>
      <c r="N65" s="3" t="s">
        <v>72</v>
      </c>
      <c r="O65" s="3" t="s">
        <v>481</v>
      </c>
      <c r="P65" s="4">
        <f t="shared" si="15"/>
        <v>0</v>
      </c>
      <c r="Q65" s="4">
        <f t="shared" si="16"/>
        <v>0</v>
      </c>
      <c r="R65" s="4">
        <f t="shared" si="17"/>
        <v>0</v>
      </c>
      <c r="S65" s="4">
        <f t="shared" si="18"/>
        <v>1</v>
      </c>
      <c r="T65" s="4">
        <f t="shared" si="19"/>
        <v>1</v>
      </c>
      <c r="U65" s="4">
        <f t="shared" si="20"/>
        <v>1</v>
      </c>
      <c r="V65" s="4">
        <f t="shared" si="21"/>
        <v>0</v>
      </c>
      <c r="W65" s="4">
        <f t="shared" si="22"/>
        <v>0</v>
      </c>
      <c r="X65" s="13">
        <f>SUM(Paper7Coding[[#This Row],[Subject-matter correction]:[Genre/ writing expertise]])</f>
        <v>0</v>
      </c>
      <c r="Y65" s="4">
        <f t="shared" si="23"/>
        <v>0</v>
      </c>
      <c r="Z65" s="4">
        <f t="shared" si="24"/>
        <v>0</v>
      </c>
      <c r="AA65" s="4">
        <f t="shared" si="25"/>
        <v>0</v>
      </c>
      <c r="AB65" s="4">
        <f t="shared" si="26"/>
        <v>0</v>
      </c>
      <c r="AC65" s="4">
        <f t="shared" si="27"/>
        <v>0</v>
      </c>
      <c r="AD65" s="4">
        <f t="shared" si="28"/>
        <v>0</v>
      </c>
      <c r="AE65" s="4">
        <f t="shared" si="29"/>
        <v>1</v>
      </c>
    </row>
    <row r="66" spans="1:31" ht="78" customHeight="1" x14ac:dyDescent="0.2">
      <c r="A66" s="3" t="s">
        <v>482</v>
      </c>
      <c r="B66" s="4">
        <v>65</v>
      </c>
      <c r="C66" s="3" t="s">
        <v>34</v>
      </c>
      <c r="D66" s="3" t="s">
        <v>483</v>
      </c>
      <c r="E66" s="3" t="s">
        <v>20</v>
      </c>
      <c r="F66" s="3" t="s">
        <v>14</v>
      </c>
      <c r="G66" s="3" t="s">
        <v>21</v>
      </c>
      <c r="H66" s="3" t="s">
        <v>22</v>
      </c>
      <c r="I66" s="3" t="s">
        <v>484</v>
      </c>
      <c r="J66" s="3" t="s">
        <v>485</v>
      </c>
      <c r="K66" s="3" t="s">
        <v>486</v>
      </c>
      <c r="L66" s="3" t="s">
        <v>487</v>
      </c>
      <c r="M66" s="3"/>
      <c r="N66" s="3" t="s">
        <v>72</v>
      </c>
      <c r="O66" s="3" t="s">
        <v>488</v>
      </c>
      <c r="P66" s="4">
        <f t="shared" ref="P66:P97" si="30">IF(OR(E66="Delegation",ISNUMBER(SEARCH("; Delegation; ","; "&amp;F66&amp;"; "))),1,0)</f>
        <v>0</v>
      </c>
      <c r="Q66" s="4">
        <f t="shared" ref="Q66:Q97" si="31">IF(OR(E66="Directed delegation",ISNUMBER(SEARCH("; Directed delegation; ","; "&amp;F66&amp;"; "))),1,0)</f>
        <v>1</v>
      </c>
      <c r="R66" s="4">
        <f t="shared" ref="R66:R97" si="32">IF(OR(E66="Evaluation",ISNUMBER(SEARCH("; Evaluation; ","; "&amp;F66&amp;"; "))),1,0)</f>
        <v>0</v>
      </c>
      <c r="S66" s="4">
        <f t="shared" ref="S66:S97" si="33">IF(OR(E66="Correction/Challenge",ISNUMBER(SEARCH("; Correction/Challenge; ","; "&amp;F66&amp;"; "))),1,0)</f>
        <v>1</v>
      </c>
      <c r="T66" s="4">
        <f t="shared" ref="T66:T97" si="34">IF(OR(E66="Redirection",ISNUMBER(SEARCH("; Redirection; ","; "&amp;F66&amp;"; "))),1,0)</f>
        <v>0</v>
      </c>
      <c r="U66" s="4">
        <f t="shared" ref="U66:U97" si="35">IF(OR(E66="Knowledge injection",ISNUMBER(SEARCH("; Knowledge injection; ","; "&amp;F66&amp;"; "))),1,0)</f>
        <v>0</v>
      </c>
      <c r="V66" s="4">
        <f t="shared" ref="V66:V97" si="36">IF(OR(E66="Selection/Rejection",ISNUMBER(SEARCH("; Selection/Rejection; ","; "&amp;F66&amp;"; "))),1,0)</f>
        <v>0</v>
      </c>
      <c r="W66" s="4">
        <f t="shared" ref="W66:W97" si="37">IF(OR(E66="Deliberation",ISNUMBER(SEARCH("; Deliberation; ","; "&amp;F66&amp;"; "))),1,0)</f>
        <v>0</v>
      </c>
      <c r="X66" s="13">
        <f>SUM(Paper7Coding[[#This Row],[Subject-matter correction]:[Genre/ writing expertise]])</f>
        <v>1</v>
      </c>
      <c r="Y66" s="4">
        <f t="shared" ref="Y66:Y97" si="38">IF(ISNUMBER(SEARCH("; domain correction; ","; "&amp;H66&amp;"; ")),1,0)</f>
        <v>0</v>
      </c>
      <c r="Z66" s="4">
        <f t="shared" ref="Z66:Z97" si="39">IF(ISNUMBER(SEARCH("; conceptual discrimination; ","; "&amp;H66&amp;"; ")),1,0)</f>
        <v>0</v>
      </c>
      <c r="AA66" s="4">
        <f t="shared" ref="AA66:AA97" si="40">IF(ISNUMBER(SEARCH("; evidence judgment; ","; "&amp;H66&amp;"; ")),1,0)</f>
        <v>0</v>
      </c>
      <c r="AB66" s="4">
        <f t="shared" ref="AB66:AB97" si="41">IF(ISNUMBER(SEARCH("; methodological judgment; ","; "&amp;H66&amp;"; ")),1,0)</f>
        <v>1</v>
      </c>
      <c r="AC66" s="4">
        <f t="shared" ref="AC66:AC97" si="42">IF(ISNUMBER(SEARCH("; argumentative judgment; ","; "&amp;H66&amp;"; ")),1,0)</f>
        <v>0</v>
      </c>
      <c r="AD66" s="4">
        <f t="shared" ref="AD66:AD97" si="43">IF(ISNUMBER(SEARCH("; genre/writing expertise; ","; "&amp;H66&amp;"; ")),1,0)</f>
        <v>0</v>
      </c>
      <c r="AE66" s="4">
        <f t="shared" ref="AE66:AE97" si="44">IF(ISNUMBER(SEARCH("; none; ","; "&amp;H66&amp;"; ")),1,0)</f>
        <v>0</v>
      </c>
    </row>
    <row r="67" spans="1:31" ht="63.95" customHeight="1" x14ac:dyDescent="0.2">
      <c r="A67" s="3" t="s">
        <v>489</v>
      </c>
      <c r="B67" s="4">
        <v>66</v>
      </c>
      <c r="C67" s="3" t="s">
        <v>35</v>
      </c>
      <c r="D67" s="3" t="s">
        <v>490</v>
      </c>
      <c r="E67" s="3" t="s">
        <v>14</v>
      </c>
      <c r="F67" s="3" t="s">
        <v>26</v>
      </c>
      <c r="G67" s="3" t="s">
        <v>15</v>
      </c>
      <c r="H67" s="3" t="s">
        <v>463</v>
      </c>
      <c r="I67" s="3" t="s">
        <v>491</v>
      </c>
      <c r="J67" s="3" t="s">
        <v>492</v>
      </c>
      <c r="K67" s="3" t="s">
        <v>493</v>
      </c>
      <c r="L67" s="3" t="s">
        <v>494</v>
      </c>
      <c r="M67" s="3" t="s">
        <v>71</v>
      </c>
      <c r="N67" s="3" t="s">
        <v>72</v>
      </c>
      <c r="O67" s="3"/>
      <c r="P67" s="4">
        <f t="shared" si="30"/>
        <v>0</v>
      </c>
      <c r="Q67" s="4">
        <f t="shared" si="31"/>
        <v>1</v>
      </c>
      <c r="R67" s="4">
        <f t="shared" si="32"/>
        <v>0</v>
      </c>
      <c r="S67" s="4">
        <f t="shared" si="33"/>
        <v>0</v>
      </c>
      <c r="T67" s="4">
        <f t="shared" si="34"/>
        <v>0</v>
      </c>
      <c r="U67" s="4">
        <f t="shared" si="35"/>
        <v>1</v>
      </c>
      <c r="V67" s="4">
        <f t="shared" si="36"/>
        <v>0</v>
      </c>
      <c r="W67" s="4">
        <f t="shared" si="37"/>
        <v>0</v>
      </c>
      <c r="X67" s="13">
        <f>SUM(Paper7Coding[[#This Row],[Subject-matter correction]:[Genre/ writing expertise]])</f>
        <v>2</v>
      </c>
      <c r="Y67" s="4">
        <f t="shared" si="38"/>
        <v>0</v>
      </c>
      <c r="Z67" s="4">
        <f t="shared" si="39"/>
        <v>0</v>
      </c>
      <c r="AA67" s="4">
        <f t="shared" si="40"/>
        <v>1</v>
      </c>
      <c r="AB67" s="4">
        <f t="shared" si="41"/>
        <v>1</v>
      </c>
      <c r="AC67" s="4">
        <f t="shared" si="42"/>
        <v>0</v>
      </c>
      <c r="AD67" s="4">
        <f t="shared" si="43"/>
        <v>0</v>
      </c>
      <c r="AE67" s="4">
        <f t="shared" si="44"/>
        <v>0</v>
      </c>
    </row>
    <row r="68" spans="1:31" ht="60" customHeight="1" x14ac:dyDescent="0.2">
      <c r="A68" s="3" t="s">
        <v>495</v>
      </c>
      <c r="B68" s="4">
        <v>67</v>
      </c>
      <c r="C68" s="3" t="s">
        <v>35</v>
      </c>
      <c r="D68" s="3" t="s">
        <v>496</v>
      </c>
      <c r="E68" s="3" t="s">
        <v>28</v>
      </c>
      <c r="F68" s="3"/>
      <c r="G68" s="3" t="s">
        <v>15</v>
      </c>
      <c r="H68" s="3" t="s">
        <v>29</v>
      </c>
      <c r="I68" s="3" t="s">
        <v>497</v>
      </c>
      <c r="J68" s="3" t="s">
        <v>498</v>
      </c>
      <c r="K68" s="3" t="s">
        <v>499</v>
      </c>
      <c r="L68" s="3" t="s">
        <v>500</v>
      </c>
      <c r="M68" s="3"/>
      <c r="N68" s="3" t="s">
        <v>72</v>
      </c>
      <c r="O68" s="3"/>
      <c r="P68" s="4">
        <f t="shared" si="30"/>
        <v>0</v>
      </c>
      <c r="Q68" s="4">
        <f t="shared" si="31"/>
        <v>0</v>
      </c>
      <c r="R68" s="4">
        <f t="shared" si="32"/>
        <v>0</v>
      </c>
      <c r="S68" s="4">
        <f t="shared" si="33"/>
        <v>0</v>
      </c>
      <c r="T68" s="4">
        <f t="shared" si="34"/>
        <v>0</v>
      </c>
      <c r="U68" s="4">
        <f t="shared" si="35"/>
        <v>0</v>
      </c>
      <c r="V68" s="4">
        <f t="shared" si="36"/>
        <v>1</v>
      </c>
      <c r="W68" s="4">
        <f t="shared" si="37"/>
        <v>0</v>
      </c>
      <c r="X68" s="13">
        <f>SUM(Paper7Coding[[#This Row],[Subject-matter correction]:[Genre/ writing expertise]])</f>
        <v>0</v>
      </c>
      <c r="Y68" s="4">
        <f t="shared" si="38"/>
        <v>0</v>
      </c>
      <c r="Z68" s="4">
        <f t="shared" si="39"/>
        <v>0</v>
      </c>
      <c r="AA68" s="4">
        <f t="shared" si="40"/>
        <v>0</v>
      </c>
      <c r="AB68" s="4">
        <f t="shared" si="41"/>
        <v>0</v>
      </c>
      <c r="AC68" s="4">
        <f t="shared" si="42"/>
        <v>0</v>
      </c>
      <c r="AD68" s="4">
        <f t="shared" si="43"/>
        <v>0</v>
      </c>
      <c r="AE68" s="4">
        <f t="shared" si="44"/>
        <v>1</v>
      </c>
    </row>
    <row r="69" spans="1:31" ht="60" customHeight="1" x14ac:dyDescent="0.2">
      <c r="A69" s="3" t="s">
        <v>501</v>
      </c>
      <c r="B69" s="4">
        <v>68</v>
      </c>
      <c r="C69" s="3" t="s">
        <v>35</v>
      </c>
      <c r="D69" s="3" t="s">
        <v>502</v>
      </c>
      <c r="E69" s="3" t="s">
        <v>28</v>
      </c>
      <c r="F69" s="3"/>
      <c r="G69" s="3" t="s">
        <v>15</v>
      </c>
      <c r="H69" s="3" t="s">
        <v>29</v>
      </c>
      <c r="I69" s="3" t="s">
        <v>503</v>
      </c>
      <c r="J69" s="3" t="s">
        <v>504</v>
      </c>
      <c r="K69" s="3" t="s">
        <v>505</v>
      </c>
      <c r="L69" s="3" t="s">
        <v>506</v>
      </c>
      <c r="M69" s="3"/>
      <c r="N69" s="3" t="s">
        <v>72</v>
      </c>
      <c r="O69" s="3" t="s">
        <v>507</v>
      </c>
      <c r="P69" s="4">
        <f t="shared" si="30"/>
        <v>0</v>
      </c>
      <c r="Q69" s="4">
        <f t="shared" si="31"/>
        <v>0</v>
      </c>
      <c r="R69" s="4">
        <f t="shared" si="32"/>
        <v>0</v>
      </c>
      <c r="S69" s="4">
        <f t="shared" si="33"/>
        <v>0</v>
      </c>
      <c r="T69" s="4">
        <f t="shared" si="34"/>
        <v>0</v>
      </c>
      <c r="U69" s="4">
        <f t="shared" si="35"/>
        <v>0</v>
      </c>
      <c r="V69" s="4">
        <f t="shared" si="36"/>
        <v>1</v>
      </c>
      <c r="W69" s="4">
        <f t="shared" si="37"/>
        <v>0</v>
      </c>
      <c r="X69" s="13">
        <f>SUM(Paper7Coding[[#This Row],[Subject-matter correction]:[Genre/ writing expertise]])</f>
        <v>0</v>
      </c>
      <c r="Y69" s="4">
        <f t="shared" si="38"/>
        <v>0</v>
      </c>
      <c r="Z69" s="4">
        <f t="shared" si="39"/>
        <v>0</v>
      </c>
      <c r="AA69" s="4">
        <f t="shared" si="40"/>
        <v>0</v>
      </c>
      <c r="AB69" s="4">
        <f t="shared" si="41"/>
        <v>0</v>
      </c>
      <c r="AC69" s="4">
        <f t="shared" si="42"/>
        <v>0</v>
      </c>
      <c r="AD69" s="4">
        <f t="shared" si="43"/>
        <v>0</v>
      </c>
      <c r="AE69" s="4">
        <f t="shared" si="44"/>
        <v>1</v>
      </c>
    </row>
    <row r="70" spans="1:31" ht="63.95" customHeight="1" x14ac:dyDescent="0.2">
      <c r="A70" s="3" t="s">
        <v>508</v>
      </c>
      <c r="B70" s="4">
        <v>69</v>
      </c>
      <c r="C70" s="3" t="s">
        <v>35</v>
      </c>
      <c r="D70" s="3" t="s">
        <v>509</v>
      </c>
      <c r="E70" s="3" t="s">
        <v>14</v>
      </c>
      <c r="F70" s="3" t="s">
        <v>28</v>
      </c>
      <c r="G70" s="3" t="s">
        <v>15</v>
      </c>
      <c r="H70" s="3" t="s">
        <v>22</v>
      </c>
      <c r="I70" s="3" t="s">
        <v>510</v>
      </c>
      <c r="J70" s="3" t="s">
        <v>511</v>
      </c>
      <c r="K70" s="3" t="s">
        <v>512</v>
      </c>
      <c r="L70" s="3" t="s">
        <v>513</v>
      </c>
      <c r="M70" s="3"/>
      <c r="N70" s="3" t="s">
        <v>72</v>
      </c>
      <c r="O70" s="3"/>
      <c r="P70" s="4">
        <f t="shared" si="30"/>
        <v>0</v>
      </c>
      <c r="Q70" s="4">
        <f t="shared" si="31"/>
        <v>1</v>
      </c>
      <c r="R70" s="4">
        <f t="shared" si="32"/>
        <v>0</v>
      </c>
      <c r="S70" s="4">
        <f t="shared" si="33"/>
        <v>0</v>
      </c>
      <c r="T70" s="4">
        <f t="shared" si="34"/>
        <v>0</v>
      </c>
      <c r="U70" s="4">
        <f t="shared" si="35"/>
        <v>0</v>
      </c>
      <c r="V70" s="4">
        <f t="shared" si="36"/>
        <v>1</v>
      </c>
      <c r="W70" s="4">
        <f t="shared" si="37"/>
        <v>0</v>
      </c>
      <c r="X70" s="13">
        <f>SUM(Paper7Coding[[#This Row],[Subject-matter correction]:[Genre/ writing expertise]])</f>
        <v>1</v>
      </c>
      <c r="Y70" s="4">
        <f t="shared" si="38"/>
        <v>0</v>
      </c>
      <c r="Z70" s="4">
        <f t="shared" si="39"/>
        <v>0</v>
      </c>
      <c r="AA70" s="4">
        <f t="shared" si="40"/>
        <v>0</v>
      </c>
      <c r="AB70" s="4">
        <f t="shared" si="41"/>
        <v>1</v>
      </c>
      <c r="AC70" s="4">
        <f t="shared" si="42"/>
        <v>0</v>
      </c>
      <c r="AD70" s="4">
        <f t="shared" si="43"/>
        <v>0</v>
      </c>
      <c r="AE70" s="4">
        <f t="shared" si="44"/>
        <v>0</v>
      </c>
    </row>
    <row r="71" spans="1:31" ht="78" customHeight="1" x14ac:dyDescent="0.2">
      <c r="A71" s="3" t="s">
        <v>514</v>
      </c>
      <c r="B71" s="4">
        <v>70</v>
      </c>
      <c r="C71" s="3" t="s">
        <v>35</v>
      </c>
      <c r="D71" s="3" t="s">
        <v>515</v>
      </c>
      <c r="E71" s="3" t="s">
        <v>14</v>
      </c>
      <c r="F71" s="3" t="s">
        <v>398</v>
      </c>
      <c r="G71" s="3" t="s">
        <v>15</v>
      </c>
      <c r="H71" s="3" t="s">
        <v>516</v>
      </c>
      <c r="I71" s="3" t="s">
        <v>517</v>
      </c>
      <c r="J71" s="3" t="s">
        <v>518</v>
      </c>
      <c r="K71" s="3" t="s">
        <v>519</v>
      </c>
      <c r="L71" s="3" t="s">
        <v>520</v>
      </c>
      <c r="M71" s="3" t="s">
        <v>71</v>
      </c>
      <c r="N71" s="3" t="s">
        <v>72</v>
      </c>
      <c r="O71" s="3"/>
      <c r="P71" s="4">
        <f t="shared" si="30"/>
        <v>0</v>
      </c>
      <c r="Q71" s="4">
        <f t="shared" si="31"/>
        <v>1</v>
      </c>
      <c r="R71" s="4">
        <f t="shared" si="32"/>
        <v>0</v>
      </c>
      <c r="S71" s="4">
        <f t="shared" si="33"/>
        <v>0</v>
      </c>
      <c r="T71" s="4">
        <f t="shared" si="34"/>
        <v>1</v>
      </c>
      <c r="U71" s="4">
        <f t="shared" si="35"/>
        <v>1</v>
      </c>
      <c r="V71" s="4">
        <f t="shared" si="36"/>
        <v>0</v>
      </c>
      <c r="W71" s="4">
        <f t="shared" si="37"/>
        <v>0</v>
      </c>
      <c r="X71" s="13">
        <f>SUM(Paper7Coding[[#This Row],[Subject-matter correction]:[Genre/ writing expertise]])</f>
        <v>3</v>
      </c>
      <c r="Y71" s="4">
        <f t="shared" si="38"/>
        <v>0</v>
      </c>
      <c r="Z71" s="4">
        <f t="shared" si="39"/>
        <v>1</v>
      </c>
      <c r="AA71" s="4">
        <f t="shared" si="40"/>
        <v>1</v>
      </c>
      <c r="AB71" s="4">
        <f t="shared" si="41"/>
        <v>1</v>
      </c>
      <c r="AC71" s="4">
        <f t="shared" si="42"/>
        <v>0</v>
      </c>
      <c r="AD71" s="4">
        <f t="shared" si="43"/>
        <v>0</v>
      </c>
      <c r="AE71" s="4">
        <f t="shared" si="44"/>
        <v>0</v>
      </c>
    </row>
    <row r="72" spans="1:31" ht="60" customHeight="1" x14ac:dyDescent="0.2">
      <c r="A72" s="3" t="s">
        <v>521</v>
      </c>
      <c r="B72" s="4">
        <v>71</v>
      </c>
      <c r="C72" s="3" t="s">
        <v>35</v>
      </c>
      <c r="D72" s="3" t="s">
        <v>522</v>
      </c>
      <c r="E72" s="3" t="s">
        <v>28</v>
      </c>
      <c r="F72" s="3" t="s">
        <v>238</v>
      </c>
      <c r="G72" s="3" t="s">
        <v>15</v>
      </c>
      <c r="H72" s="3" t="s">
        <v>418</v>
      </c>
      <c r="I72" s="3" t="s">
        <v>523</v>
      </c>
      <c r="J72" s="3" t="s">
        <v>524</v>
      </c>
      <c r="K72" s="3" t="s">
        <v>525</v>
      </c>
      <c r="L72" s="3" t="s">
        <v>526</v>
      </c>
      <c r="M72" s="3"/>
      <c r="N72" s="3" t="s">
        <v>72</v>
      </c>
      <c r="O72" s="3" t="s">
        <v>527</v>
      </c>
      <c r="P72" s="4">
        <f t="shared" si="30"/>
        <v>0</v>
      </c>
      <c r="Q72" s="4">
        <f t="shared" si="31"/>
        <v>1</v>
      </c>
      <c r="R72" s="4">
        <f t="shared" si="32"/>
        <v>0</v>
      </c>
      <c r="S72" s="4">
        <f t="shared" si="33"/>
        <v>0</v>
      </c>
      <c r="T72" s="4">
        <f t="shared" si="34"/>
        <v>0</v>
      </c>
      <c r="U72" s="4">
        <f t="shared" si="35"/>
        <v>1</v>
      </c>
      <c r="V72" s="4">
        <f t="shared" si="36"/>
        <v>1</v>
      </c>
      <c r="W72" s="4">
        <f t="shared" si="37"/>
        <v>0</v>
      </c>
      <c r="X72" s="13">
        <f>SUM(Paper7Coding[[#This Row],[Subject-matter correction]:[Genre/ writing expertise]])</f>
        <v>2</v>
      </c>
      <c r="Y72" s="4">
        <f t="shared" si="38"/>
        <v>0</v>
      </c>
      <c r="Z72" s="4">
        <f t="shared" si="39"/>
        <v>0</v>
      </c>
      <c r="AA72" s="4">
        <f t="shared" si="40"/>
        <v>1</v>
      </c>
      <c r="AB72" s="4">
        <f t="shared" si="41"/>
        <v>1</v>
      </c>
      <c r="AC72" s="4">
        <f t="shared" si="42"/>
        <v>0</v>
      </c>
      <c r="AD72" s="4">
        <f t="shared" si="43"/>
        <v>0</v>
      </c>
      <c r="AE72" s="4">
        <f t="shared" si="44"/>
        <v>0</v>
      </c>
    </row>
    <row r="73" spans="1:31" ht="92.1" customHeight="1" x14ac:dyDescent="0.2">
      <c r="A73" s="3" t="s">
        <v>528</v>
      </c>
      <c r="B73" s="4">
        <v>72</v>
      </c>
      <c r="C73" s="3" t="s">
        <v>35</v>
      </c>
      <c r="D73" s="3" t="s">
        <v>529</v>
      </c>
      <c r="E73" s="3" t="s">
        <v>14</v>
      </c>
      <c r="F73" s="3"/>
      <c r="G73" s="3" t="s">
        <v>15</v>
      </c>
      <c r="H73" s="3" t="s">
        <v>530</v>
      </c>
      <c r="I73" s="3" t="s">
        <v>531</v>
      </c>
      <c r="J73" s="3" t="s">
        <v>532</v>
      </c>
      <c r="K73" s="3" t="s">
        <v>533</v>
      </c>
      <c r="L73" s="3" t="s">
        <v>534</v>
      </c>
      <c r="M73" s="3"/>
      <c r="N73" s="3" t="s">
        <v>72</v>
      </c>
      <c r="O73" s="3"/>
      <c r="P73" s="4">
        <f t="shared" si="30"/>
        <v>0</v>
      </c>
      <c r="Q73" s="4">
        <f t="shared" si="31"/>
        <v>1</v>
      </c>
      <c r="R73" s="4">
        <f t="shared" si="32"/>
        <v>0</v>
      </c>
      <c r="S73" s="4">
        <f t="shared" si="33"/>
        <v>0</v>
      </c>
      <c r="T73" s="4">
        <f t="shared" si="34"/>
        <v>0</v>
      </c>
      <c r="U73" s="4">
        <f t="shared" si="35"/>
        <v>0</v>
      </c>
      <c r="V73" s="4">
        <f t="shared" si="36"/>
        <v>0</v>
      </c>
      <c r="W73" s="4">
        <f t="shared" si="37"/>
        <v>0</v>
      </c>
      <c r="X73" s="13">
        <f>SUM(Paper7Coding[[#This Row],[Subject-matter correction]:[Genre/ writing expertise]])</f>
        <v>4</v>
      </c>
      <c r="Y73" s="4">
        <f t="shared" si="38"/>
        <v>0</v>
      </c>
      <c r="Z73" s="4">
        <f t="shared" si="39"/>
        <v>1</v>
      </c>
      <c r="AA73" s="4">
        <f t="shared" si="40"/>
        <v>1</v>
      </c>
      <c r="AB73" s="4">
        <f t="shared" si="41"/>
        <v>1</v>
      </c>
      <c r="AC73" s="4">
        <f t="shared" si="42"/>
        <v>0</v>
      </c>
      <c r="AD73" s="4">
        <f t="shared" si="43"/>
        <v>1</v>
      </c>
      <c r="AE73" s="4">
        <f t="shared" si="44"/>
        <v>0</v>
      </c>
    </row>
    <row r="74" spans="1:31" ht="78" customHeight="1" x14ac:dyDescent="0.2">
      <c r="A74" s="3" t="s">
        <v>535</v>
      </c>
      <c r="B74" s="4">
        <v>73</v>
      </c>
      <c r="C74" s="3" t="s">
        <v>35</v>
      </c>
      <c r="D74" s="3" t="s">
        <v>536</v>
      </c>
      <c r="E74" s="3" t="s">
        <v>20</v>
      </c>
      <c r="F74" s="3" t="s">
        <v>14</v>
      </c>
      <c r="G74" s="3" t="s">
        <v>21</v>
      </c>
      <c r="H74" s="3" t="s">
        <v>418</v>
      </c>
      <c r="I74" s="3" t="s">
        <v>537</v>
      </c>
      <c r="J74" s="3" t="s">
        <v>538</v>
      </c>
      <c r="K74" s="3" t="s">
        <v>539</v>
      </c>
      <c r="L74" s="3" t="s">
        <v>540</v>
      </c>
      <c r="M74" s="3"/>
      <c r="N74" s="3" t="s">
        <v>72</v>
      </c>
      <c r="O74" s="3"/>
      <c r="P74" s="4">
        <f t="shared" si="30"/>
        <v>0</v>
      </c>
      <c r="Q74" s="4">
        <f t="shared" si="31"/>
        <v>1</v>
      </c>
      <c r="R74" s="4">
        <f t="shared" si="32"/>
        <v>0</v>
      </c>
      <c r="S74" s="4">
        <f t="shared" si="33"/>
        <v>1</v>
      </c>
      <c r="T74" s="4">
        <f t="shared" si="34"/>
        <v>0</v>
      </c>
      <c r="U74" s="4">
        <f t="shared" si="35"/>
        <v>0</v>
      </c>
      <c r="V74" s="4">
        <f t="shared" si="36"/>
        <v>0</v>
      </c>
      <c r="W74" s="4">
        <f t="shared" si="37"/>
        <v>0</v>
      </c>
      <c r="X74" s="13">
        <f>SUM(Paper7Coding[[#This Row],[Subject-matter correction]:[Genre/ writing expertise]])</f>
        <v>2</v>
      </c>
      <c r="Y74" s="4">
        <f t="shared" si="38"/>
        <v>0</v>
      </c>
      <c r="Z74" s="4">
        <f t="shared" si="39"/>
        <v>0</v>
      </c>
      <c r="AA74" s="4">
        <f t="shared" si="40"/>
        <v>1</v>
      </c>
      <c r="AB74" s="4">
        <f t="shared" si="41"/>
        <v>1</v>
      </c>
      <c r="AC74" s="4">
        <f t="shared" si="42"/>
        <v>0</v>
      </c>
      <c r="AD74" s="4">
        <f t="shared" si="43"/>
        <v>0</v>
      </c>
      <c r="AE74" s="4">
        <f t="shared" si="44"/>
        <v>0</v>
      </c>
    </row>
    <row r="75" spans="1:31" ht="60" customHeight="1" x14ac:dyDescent="0.2">
      <c r="A75" s="3" t="s">
        <v>541</v>
      </c>
      <c r="B75" s="4">
        <v>74</v>
      </c>
      <c r="C75" s="3" t="s">
        <v>35</v>
      </c>
      <c r="D75" s="3" t="s">
        <v>542</v>
      </c>
      <c r="E75" s="3" t="s">
        <v>28</v>
      </c>
      <c r="F75" s="3" t="s">
        <v>14</v>
      </c>
      <c r="G75" s="3" t="s">
        <v>15</v>
      </c>
      <c r="H75" s="3" t="s">
        <v>29</v>
      </c>
      <c r="I75" s="3" t="s">
        <v>543</v>
      </c>
      <c r="J75" s="3" t="s">
        <v>544</v>
      </c>
      <c r="K75" s="3" t="s">
        <v>545</v>
      </c>
      <c r="L75" s="3" t="s">
        <v>546</v>
      </c>
      <c r="M75" s="3"/>
      <c r="N75" s="3" t="s">
        <v>72</v>
      </c>
      <c r="O75" s="3" t="s">
        <v>547</v>
      </c>
      <c r="P75" s="4">
        <f t="shared" si="30"/>
        <v>0</v>
      </c>
      <c r="Q75" s="4">
        <f t="shared" si="31"/>
        <v>1</v>
      </c>
      <c r="R75" s="4">
        <f t="shared" si="32"/>
        <v>0</v>
      </c>
      <c r="S75" s="4">
        <f t="shared" si="33"/>
        <v>0</v>
      </c>
      <c r="T75" s="4">
        <f t="shared" si="34"/>
        <v>0</v>
      </c>
      <c r="U75" s="4">
        <f t="shared" si="35"/>
        <v>0</v>
      </c>
      <c r="V75" s="4">
        <f t="shared" si="36"/>
        <v>1</v>
      </c>
      <c r="W75" s="4">
        <f t="shared" si="37"/>
        <v>0</v>
      </c>
      <c r="X75" s="13">
        <f>SUM(Paper7Coding[[#This Row],[Subject-matter correction]:[Genre/ writing expertise]])</f>
        <v>0</v>
      </c>
      <c r="Y75" s="4">
        <f t="shared" si="38"/>
        <v>0</v>
      </c>
      <c r="Z75" s="4">
        <f t="shared" si="39"/>
        <v>0</v>
      </c>
      <c r="AA75" s="4">
        <f t="shared" si="40"/>
        <v>0</v>
      </c>
      <c r="AB75" s="4">
        <f t="shared" si="41"/>
        <v>0</v>
      </c>
      <c r="AC75" s="4">
        <f t="shared" si="42"/>
        <v>0</v>
      </c>
      <c r="AD75" s="4">
        <f t="shared" si="43"/>
        <v>0</v>
      </c>
      <c r="AE75" s="4">
        <f t="shared" si="44"/>
        <v>1</v>
      </c>
    </row>
    <row r="76" spans="1:31" ht="60" customHeight="1" x14ac:dyDescent="0.2">
      <c r="A76" s="3" t="s">
        <v>548</v>
      </c>
      <c r="B76" s="4">
        <v>75</v>
      </c>
      <c r="C76" s="3" t="s">
        <v>35</v>
      </c>
      <c r="D76" s="3" t="s">
        <v>549</v>
      </c>
      <c r="E76" s="3" t="s">
        <v>17</v>
      </c>
      <c r="F76" s="3"/>
      <c r="G76" s="3" t="s">
        <v>18</v>
      </c>
      <c r="H76" s="3" t="s">
        <v>463</v>
      </c>
      <c r="I76" s="3" t="s">
        <v>550</v>
      </c>
      <c r="J76" s="3" t="s">
        <v>551</v>
      </c>
      <c r="K76" s="3" t="s">
        <v>552</v>
      </c>
      <c r="L76" s="3" t="s">
        <v>553</v>
      </c>
      <c r="M76" s="3"/>
      <c r="N76" s="3" t="s">
        <v>72</v>
      </c>
      <c r="O76" s="3" t="s">
        <v>554</v>
      </c>
      <c r="P76" s="4">
        <f t="shared" si="30"/>
        <v>0</v>
      </c>
      <c r="Q76" s="4">
        <f t="shared" si="31"/>
        <v>0</v>
      </c>
      <c r="R76" s="4">
        <f t="shared" si="32"/>
        <v>1</v>
      </c>
      <c r="S76" s="4">
        <f t="shared" si="33"/>
        <v>0</v>
      </c>
      <c r="T76" s="4">
        <f t="shared" si="34"/>
        <v>0</v>
      </c>
      <c r="U76" s="4">
        <f t="shared" si="35"/>
        <v>0</v>
      </c>
      <c r="V76" s="4">
        <f t="shared" si="36"/>
        <v>0</v>
      </c>
      <c r="W76" s="4">
        <f t="shared" si="37"/>
        <v>0</v>
      </c>
      <c r="X76" s="13">
        <f>SUM(Paper7Coding[[#This Row],[Subject-matter correction]:[Genre/ writing expertise]])</f>
        <v>2</v>
      </c>
      <c r="Y76" s="4">
        <f t="shared" si="38"/>
        <v>0</v>
      </c>
      <c r="Z76" s="4">
        <f t="shared" si="39"/>
        <v>0</v>
      </c>
      <c r="AA76" s="4">
        <f t="shared" si="40"/>
        <v>1</v>
      </c>
      <c r="AB76" s="4">
        <f t="shared" si="41"/>
        <v>1</v>
      </c>
      <c r="AC76" s="4">
        <f t="shared" si="42"/>
        <v>0</v>
      </c>
      <c r="AD76" s="4">
        <f t="shared" si="43"/>
        <v>0</v>
      </c>
      <c r="AE76" s="4">
        <f t="shared" si="44"/>
        <v>0</v>
      </c>
    </row>
    <row r="77" spans="1:31" ht="78" customHeight="1" x14ac:dyDescent="0.2">
      <c r="A77" s="3" t="s">
        <v>555</v>
      </c>
      <c r="B77" s="4">
        <v>76</v>
      </c>
      <c r="C77" s="3" t="s">
        <v>35</v>
      </c>
      <c r="D77" s="3" t="s">
        <v>556</v>
      </c>
      <c r="E77" s="3" t="s">
        <v>30</v>
      </c>
      <c r="F77" s="3" t="s">
        <v>557</v>
      </c>
      <c r="G77" s="3" t="s">
        <v>24</v>
      </c>
      <c r="H77" s="3" t="s">
        <v>418</v>
      </c>
      <c r="I77" s="3" t="s">
        <v>558</v>
      </c>
      <c r="J77" s="3" t="s">
        <v>559</v>
      </c>
      <c r="K77" s="3" t="s">
        <v>560</v>
      </c>
      <c r="L77" s="3" t="s">
        <v>561</v>
      </c>
      <c r="M77" s="3"/>
      <c r="N77" s="3" t="s">
        <v>72</v>
      </c>
      <c r="O77" s="3" t="s">
        <v>562</v>
      </c>
      <c r="P77" s="4">
        <f t="shared" si="30"/>
        <v>0</v>
      </c>
      <c r="Q77" s="4">
        <f t="shared" si="31"/>
        <v>0</v>
      </c>
      <c r="R77" s="4">
        <f t="shared" si="32"/>
        <v>1</v>
      </c>
      <c r="S77" s="4">
        <f t="shared" si="33"/>
        <v>1</v>
      </c>
      <c r="T77" s="4">
        <f t="shared" si="34"/>
        <v>0</v>
      </c>
      <c r="U77" s="4">
        <f t="shared" si="35"/>
        <v>0</v>
      </c>
      <c r="V77" s="4">
        <f t="shared" si="36"/>
        <v>0</v>
      </c>
      <c r="W77" s="4">
        <f t="shared" si="37"/>
        <v>1</v>
      </c>
      <c r="X77" s="13">
        <f>SUM(Paper7Coding[[#This Row],[Subject-matter correction]:[Genre/ writing expertise]])</f>
        <v>2</v>
      </c>
      <c r="Y77" s="4">
        <f t="shared" si="38"/>
        <v>0</v>
      </c>
      <c r="Z77" s="4">
        <f t="shared" si="39"/>
        <v>0</v>
      </c>
      <c r="AA77" s="4">
        <f t="shared" si="40"/>
        <v>1</v>
      </c>
      <c r="AB77" s="4">
        <f t="shared" si="41"/>
        <v>1</v>
      </c>
      <c r="AC77" s="4">
        <f t="shared" si="42"/>
        <v>0</v>
      </c>
      <c r="AD77" s="4">
        <f t="shared" si="43"/>
        <v>0</v>
      </c>
      <c r="AE77" s="4">
        <f t="shared" si="44"/>
        <v>0</v>
      </c>
    </row>
    <row r="78" spans="1:31" ht="63.95" customHeight="1" x14ac:dyDescent="0.2">
      <c r="A78" s="3" t="s">
        <v>563</v>
      </c>
      <c r="B78" s="4">
        <v>77</v>
      </c>
      <c r="C78" s="3" t="s">
        <v>35</v>
      </c>
      <c r="D78" s="3" t="s">
        <v>564</v>
      </c>
      <c r="E78" s="3" t="s">
        <v>26</v>
      </c>
      <c r="F78" s="3" t="s">
        <v>14</v>
      </c>
      <c r="G78" s="3" t="s">
        <v>15</v>
      </c>
      <c r="H78" s="3" t="s">
        <v>565</v>
      </c>
      <c r="I78" s="3" t="s">
        <v>566</v>
      </c>
      <c r="J78" s="3" t="s">
        <v>567</v>
      </c>
      <c r="K78" s="3" t="s">
        <v>568</v>
      </c>
      <c r="L78" s="3" t="s">
        <v>569</v>
      </c>
      <c r="M78" s="3" t="s">
        <v>71</v>
      </c>
      <c r="N78" s="3" t="s">
        <v>72</v>
      </c>
      <c r="O78" s="3" t="s">
        <v>570</v>
      </c>
      <c r="P78" s="4">
        <f t="shared" si="30"/>
        <v>0</v>
      </c>
      <c r="Q78" s="4">
        <f t="shared" si="31"/>
        <v>1</v>
      </c>
      <c r="R78" s="4">
        <f t="shared" si="32"/>
        <v>0</v>
      </c>
      <c r="S78" s="4">
        <f t="shared" si="33"/>
        <v>0</v>
      </c>
      <c r="T78" s="4">
        <f t="shared" si="34"/>
        <v>0</v>
      </c>
      <c r="U78" s="4">
        <f t="shared" si="35"/>
        <v>1</v>
      </c>
      <c r="V78" s="4">
        <f t="shared" si="36"/>
        <v>0</v>
      </c>
      <c r="W78" s="4">
        <f t="shared" si="37"/>
        <v>0</v>
      </c>
      <c r="X78" s="13">
        <f>SUM(Paper7Coding[[#This Row],[Subject-matter correction]:[Genre/ writing expertise]])</f>
        <v>3</v>
      </c>
      <c r="Y78" s="4">
        <f t="shared" si="38"/>
        <v>0</v>
      </c>
      <c r="Z78" s="4">
        <f t="shared" si="39"/>
        <v>0</v>
      </c>
      <c r="AA78" s="4">
        <f t="shared" si="40"/>
        <v>1</v>
      </c>
      <c r="AB78" s="4">
        <f t="shared" si="41"/>
        <v>1</v>
      </c>
      <c r="AC78" s="4">
        <f t="shared" si="42"/>
        <v>0</v>
      </c>
      <c r="AD78" s="4">
        <f t="shared" si="43"/>
        <v>1</v>
      </c>
      <c r="AE78" s="4">
        <f t="shared" si="44"/>
        <v>0</v>
      </c>
    </row>
    <row r="79" spans="1:31" ht="92.1" customHeight="1" x14ac:dyDescent="0.2">
      <c r="A79" s="3" t="s">
        <v>571</v>
      </c>
      <c r="B79" s="4">
        <v>78</v>
      </c>
      <c r="C79" s="3" t="s">
        <v>35</v>
      </c>
      <c r="D79" s="3" t="s">
        <v>572</v>
      </c>
      <c r="E79" s="3" t="s">
        <v>26</v>
      </c>
      <c r="F79" s="3"/>
      <c r="G79" s="3" t="s">
        <v>15</v>
      </c>
      <c r="H79" s="3" t="s">
        <v>29</v>
      </c>
      <c r="I79" s="3" t="s">
        <v>573</v>
      </c>
      <c r="J79" s="3" t="s">
        <v>574</v>
      </c>
      <c r="K79" s="3" t="s">
        <v>575</v>
      </c>
      <c r="L79" s="3"/>
      <c r="M79" s="3" t="s">
        <v>576</v>
      </c>
      <c r="N79" s="3" t="s">
        <v>577</v>
      </c>
      <c r="O79" s="3" t="s">
        <v>578</v>
      </c>
      <c r="P79" s="4">
        <f t="shared" si="30"/>
        <v>0</v>
      </c>
      <c r="Q79" s="4">
        <f t="shared" si="31"/>
        <v>0</v>
      </c>
      <c r="R79" s="4">
        <f t="shared" si="32"/>
        <v>0</v>
      </c>
      <c r="S79" s="4">
        <f t="shared" si="33"/>
        <v>0</v>
      </c>
      <c r="T79" s="4">
        <f t="shared" si="34"/>
        <v>0</v>
      </c>
      <c r="U79" s="4">
        <f t="shared" si="35"/>
        <v>1</v>
      </c>
      <c r="V79" s="4">
        <f t="shared" si="36"/>
        <v>0</v>
      </c>
      <c r="W79" s="4">
        <f t="shared" si="37"/>
        <v>0</v>
      </c>
      <c r="X79" s="13">
        <f>SUM(Paper7Coding[[#This Row],[Subject-matter correction]:[Genre/ writing expertise]])</f>
        <v>0</v>
      </c>
      <c r="Y79" s="4">
        <f t="shared" si="38"/>
        <v>0</v>
      </c>
      <c r="Z79" s="4">
        <f t="shared" si="39"/>
        <v>0</v>
      </c>
      <c r="AA79" s="4">
        <f t="shared" si="40"/>
        <v>0</v>
      </c>
      <c r="AB79" s="4">
        <f t="shared" si="41"/>
        <v>0</v>
      </c>
      <c r="AC79" s="4">
        <f t="shared" si="42"/>
        <v>0</v>
      </c>
      <c r="AD79" s="4">
        <f t="shared" si="43"/>
        <v>0</v>
      </c>
      <c r="AE79" s="4">
        <f t="shared" si="44"/>
        <v>1</v>
      </c>
    </row>
    <row r="80" spans="1:31" ht="92.1" customHeight="1" x14ac:dyDescent="0.2">
      <c r="A80" s="3" t="s">
        <v>579</v>
      </c>
      <c r="B80" s="4">
        <v>79</v>
      </c>
      <c r="C80" s="3" t="s">
        <v>35</v>
      </c>
      <c r="D80" s="3" t="s">
        <v>580</v>
      </c>
      <c r="E80" s="3" t="s">
        <v>20</v>
      </c>
      <c r="F80" s="3" t="s">
        <v>581</v>
      </c>
      <c r="G80" s="3" t="s">
        <v>21</v>
      </c>
      <c r="H80" s="3" t="s">
        <v>530</v>
      </c>
      <c r="I80" s="3" t="s">
        <v>582</v>
      </c>
      <c r="J80" s="3" t="s">
        <v>583</v>
      </c>
      <c r="K80" s="3" t="s">
        <v>584</v>
      </c>
      <c r="L80" s="3" t="s">
        <v>585</v>
      </c>
      <c r="M80" s="3" t="s">
        <v>586</v>
      </c>
      <c r="N80" s="3" t="s">
        <v>72</v>
      </c>
      <c r="O80" s="3" t="s">
        <v>587</v>
      </c>
      <c r="P80" s="4">
        <f t="shared" si="30"/>
        <v>0</v>
      </c>
      <c r="Q80" s="4">
        <f t="shared" si="31"/>
        <v>1</v>
      </c>
      <c r="R80" s="4">
        <f t="shared" si="32"/>
        <v>0</v>
      </c>
      <c r="S80" s="4">
        <f t="shared" si="33"/>
        <v>1</v>
      </c>
      <c r="T80" s="4">
        <f t="shared" si="34"/>
        <v>1</v>
      </c>
      <c r="U80" s="4">
        <f t="shared" si="35"/>
        <v>1</v>
      </c>
      <c r="V80" s="4">
        <f t="shared" si="36"/>
        <v>1</v>
      </c>
      <c r="W80" s="4">
        <f t="shared" si="37"/>
        <v>0</v>
      </c>
      <c r="X80" s="13">
        <f>SUM(Paper7Coding[[#This Row],[Subject-matter correction]:[Genre/ writing expertise]])</f>
        <v>4</v>
      </c>
      <c r="Y80" s="4">
        <f t="shared" si="38"/>
        <v>0</v>
      </c>
      <c r="Z80" s="4">
        <f t="shared" si="39"/>
        <v>1</v>
      </c>
      <c r="AA80" s="4">
        <f t="shared" si="40"/>
        <v>1</v>
      </c>
      <c r="AB80" s="4">
        <f t="shared" si="41"/>
        <v>1</v>
      </c>
      <c r="AC80" s="4">
        <f t="shared" si="42"/>
        <v>0</v>
      </c>
      <c r="AD80" s="4">
        <f t="shared" si="43"/>
        <v>1</v>
      </c>
      <c r="AE80" s="4">
        <f t="shared" si="44"/>
        <v>0</v>
      </c>
    </row>
    <row r="81" spans="1:31" ht="60" customHeight="1" x14ac:dyDescent="0.2">
      <c r="A81" s="3" t="s">
        <v>588</v>
      </c>
      <c r="B81" s="4">
        <v>80</v>
      </c>
      <c r="C81" s="3" t="s">
        <v>35</v>
      </c>
      <c r="D81" s="3" t="s">
        <v>589</v>
      </c>
      <c r="E81" s="3" t="s">
        <v>28</v>
      </c>
      <c r="F81" s="3"/>
      <c r="G81" s="3" t="s">
        <v>15</v>
      </c>
      <c r="H81" s="3" t="s">
        <v>29</v>
      </c>
      <c r="I81" s="3" t="s">
        <v>590</v>
      </c>
      <c r="J81" s="3" t="s">
        <v>591</v>
      </c>
      <c r="K81" s="3" t="s">
        <v>592</v>
      </c>
      <c r="L81" s="3" t="s">
        <v>593</v>
      </c>
      <c r="M81" s="3"/>
      <c r="N81" s="3" t="s">
        <v>72</v>
      </c>
      <c r="O81" s="3" t="s">
        <v>594</v>
      </c>
      <c r="P81" s="4">
        <f t="shared" si="30"/>
        <v>0</v>
      </c>
      <c r="Q81" s="4">
        <f t="shared" si="31"/>
        <v>0</v>
      </c>
      <c r="R81" s="4">
        <f t="shared" si="32"/>
        <v>0</v>
      </c>
      <c r="S81" s="4">
        <f t="shared" si="33"/>
        <v>0</v>
      </c>
      <c r="T81" s="4">
        <f t="shared" si="34"/>
        <v>0</v>
      </c>
      <c r="U81" s="4">
        <f t="shared" si="35"/>
        <v>0</v>
      </c>
      <c r="V81" s="4">
        <f t="shared" si="36"/>
        <v>1</v>
      </c>
      <c r="W81" s="4">
        <f t="shared" si="37"/>
        <v>0</v>
      </c>
      <c r="X81" s="13">
        <f>SUM(Paper7Coding[[#This Row],[Subject-matter correction]:[Genre/ writing expertise]])</f>
        <v>0</v>
      </c>
      <c r="Y81" s="4">
        <f t="shared" si="38"/>
        <v>0</v>
      </c>
      <c r="Z81" s="4">
        <f t="shared" si="39"/>
        <v>0</v>
      </c>
      <c r="AA81" s="4">
        <f t="shared" si="40"/>
        <v>0</v>
      </c>
      <c r="AB81" s="4">
        <f t="shared" si="41"/>
        <v>0</v>
      </c>
      <c r="AC81" s="4">
        <f t="shared" si="42"/>
        <v>0</v>
      </c>
      <c r="AD81" s="4">
        <f t="shared" si="43"/>
        <v>0</v>
      </c>
      <c r="AE81" s="4">
        <f t="shared" si="44"/>
        <v>1</v>
      </c>
    </row>
    <row r="82" spans="1:31" ht="78" customHeight="1" x14ac:dyDescent="0.2">
      <c r="A82" s="3" t="s">
        <v>595</v>
      </c>
      <c r="B82" s="4">
        <v>81</v>
      </c>
      <c r="C82" s="3" t="s">
        <v>35</v>
      </c>
      <c r="D82" s="3" t="s">
        <v>596</v>
      </c>
      <c r="E82" s="3" t="s">
        <v>20</v>
      </c>
      <c r="F82" s="3" t="s">
        <v>14</v>
      </c>
      <c r="G82" s="3" t="s">
        <v>21</v>
      </c>
      <c r="H82" s="3" t="s">
        <v>27</v>
      </c>
      <c r="I82" s="3" t="s">
        <v>597</v>
      </c>
      <c r="J82" s="3" t="s">
        <v>598</v>
      </c>
      <c r="K82" s="3" t="s">
        <v>599</v>
      </c>
      <c r="L82" s="3" t="s">
        <v>600</v>
      </c>
      <c r="M82" s="3"/>
      <c r="N82" s="3" t="s">
        <v>72</v>
      </c>
      <c r="O82" s="3"/>
      <c r="P82" s="4">
        <f t="shared" si="30"/>
        <v>0</v>
      </c>
      <c r="Q82" s="4">
        <f t="shared" si="31"/>
        <v>1</v>
      </c>
      <c r="R82" s="4">
        <f t="shared" si="32"/>
        <v>0</v>
      </c>
      <c r="S82" s="4">
        <f t="shared" si="33"/>
        <v>1</v>
      </c>
      <c r="T82" s="4">
        <f t="shared" si="34"/>
        <v>0</v>
      </c>
      <c r="U82" s="4">
        <f t="shared" si="35"/>
        <v>0</v>
      </c>
      <c r="V82" s="4">
        <f t="shared" si="36"/>
        <v>0</v>
      </c>
      <c r="W82" s="4">
        <f t="shared" si="37"/>
        <v>0</v>
      </c>
      <c r="X82" s="13">
        <f>SUM(Paper7Coding[[#This Row],[Subject-matter correction]:[Genre/ writing expertise]])</f>
        <v>1</v>
      </c>
      <c r="Y82" s="4">
        <f t="shared" si="38"/>
        <v>0</v>
      </c>
      <c r="Z82" s="4">
        <f t="shared" si="39"/>
        <v>0</v>
      </c>
      <c r="AA82" s="4">
        <f t="shared" si="40"/>
        <v>0</v>
      </c>
      <c r="AB82" s="4">
        <f t="shared" si="41"/>
        <v>0</v>
      </c>
      <c r="AC82" s="4">
        <f t="shared" si="42"/>
        <v>0</v>
      </c>
      <c r="AD82" s="4">
        <f t="shared" si="43"/>
        <v>1</v>
      </c>
      <c r="AE82" s="4">
        <f t="shared" si="44"/>
        <v>0</v>
      </c>
    </row>
    <row r="83" spans="1:31" ht="60" customHeight="1" x14ac:dyDescent="0.2">
      <c r="A83" s="3" t="s">
        <v>601</v>
      </c>
      <c r="B83" s="4">
        <v>82</v>
      </c>
      <c r="C83" s="3" t="s">
        <v>35</v>
      </c>
      <c r="D83" s="3" t="s">
        <v>602</v>
      </c>
      <c r="E83" s="3" t="s">
        <v>14</v>
      </c>
      <c r="F83" s="3" t="s">
        <v>28</v>
      </c>
      <c r="G83" s="3" t="s">
        <v>15</v>
      </c>
      <c r="H83" s="3" t="s">
        <v>27</v>
      </c>
      <c r="I83" s="3" t="s">
        <v>603</v>
      </c>
      <c r="J83" s="3" t="s">
        <v>604</v>
      </c>
      <c r="K83" s="3" t="s">
        <v>605</v>
      </c>
      <c r="L83" s="3" t="s">
        <v>606</v>
      </c>
      <c r="M83" s="3"/>
      <c r="N83" s="3" t="s">
        <v>72</v>
      </c>
      <c r="O83" s="3"/>
      <c r="P83" s="4">
        <f t="shared" si="30"/>
        <v>0</v>
      </c>
      <c r="Q83" s="4">
        <f t="shared" si="31"/>
        <v>1</v>
      </c>
      <c r="R83" s="4">
        <f t="shared" si="32"/>
        <v>0</v>
      </c>
      <c r="S83" s="4">
        <f t="shared" si="33"/>
        <v>0</v>
      </c>
      <c r="T83" s="4">
        <f t="shared" si="34"/>
        <v>0</v>
      </c>
      <c r="U83" s="4">
        <f t="shared" si="35"/>
        <v>0</v>
      </c>
      <c r="V83" s="4">
        <f t="shared" si="36"/>
        <v>1</v>
      </c>
      <c r="W83" s="4">
        <f t="shared" si="37"/>
        <v>0</v>
      </c>
      <c r="X83" s="13">
        <f>SUM(Paper7Coding[[#This Row],[Subject-matter correction]:[Genre/ writing expertise]])</f>
        <v>1</v>
      </c>
      <c r="Y83" s="4">
        <f t="shared" si="38"/>
        <v>0</v>
      </c>
      <c r="Z83" s="4">
        <f t="shared" si="39"/>
        <v>0</v>
      </c>
      <c r="AA83" s="4">
        <f t="shared" si="40"/>
        <v>0</v>
      </c>
      <c r="AB83" s="4">
        <f t="shared" si="41"/>
        <v>0</v>
      </c>
      <c r="AC83" s="4">
        <f t="shared" si="42"/>
        <v>0</v>
      </c>
      <c r="AD83" s="4">
        <f t="shared" si="43"/>
        <v>1</v>
      </c>
      <c r="AE83" s="4">
        <f t="shared" si="44"/>
        <v>0</v>
      </c>
    </row>
    <row r="84" spans="1:31" ht="63.95" customHeight="1" x14ac:dyDescent="0.2">
      <c r="A84" s="3" t="s">
        <v>607</v>
      </c>
      <c r="B84" s="4">
        <v>83</v>
      </c>
      <c r="C84" s="3" t="s">
        <v>35</v>
      </c>
      <c r="D84" s="3" t="s">
        <v>608</v>
      </c>
      <c r="E84" s="3" t="s">
        <v>20</v>
      </c>
      <c r="F84" s="3" t="s">
        <v>327</v>
      </c>
      <c r="G84" s="3" t="s">
        <v>21</v>
      </c>
      <c r="H84" s="3" t="s">
        <v>27</v>
      </c>
      <c r="I84" s="3" t="s">
        <v>609</v>
      </c>
      <c r="J84" s="3" t="s">
        <v>610</v>
      </c>
      <c r="K84" s="3" t="s">
        <v>611</v>
      </c>
      <c r="L84" s="3" t="s">
        <v>612</v>
      </c>
      <c r="M84" s="3"/>
      <c r="N84" s="3" t="s">
        <v>72</v>
      </c>
      <c r="O84" s="3"/>
      <c r="P84" s="4">
        <f t="shared" si="30"/>
        <v>0</v>
      </c>
      <c r="Q84" s="4">
        <f t="shared" si="31"/>
        <v>1</v>
      </c>
      <c r="R84" s="4">
        <f t="shared" si="32"/>
        <v>0</v>
      </c>
      <c r="S84" s="4">
        <f t="shared" si="33"/>
        <v>1</v>
      </c>
      <c r="T84" s="4">
        <f t="shared" si="34"/>
        <v>1</v>
      </c>
      <c r="U84" s="4">
        <f t="shared" si="35"/>
        <v>0</v>
      </c>
      <c r="V84" s="4">
        <f t="shared" si="36"/>
        <v>0</v>
      </c>
      <c r="W84" s="4">
        <f t="shared" si="37"/>
        <v>0</v>
      </c>
      <c r="X84" s="13">
        <f>SUM(Paper7Coding[[#This Row],[Subject-matter correction]:[Genre/ writing expertise]])</f>
        <v>1</v>
      </c>
      <c r="Y84" s="4">
        <f t="shared" si="38"/>
        <v>0</v>
      </c>
      <c r="Z84" s="4">
        <f t="shared" si="39"/>
        <v>0</v>
      </c>
      <c r="AA84" s="4">
        <f t="shared" si="40"/>
        <v>0</v>
      </c>
      <c r="AB84" s="4">
        <f t="shared" si="41"/>
        <v>0</v>
      </c>
      <c r="AC84" s="4">
        <f t="shared" si="42"/>
        <v>0</v>
      </c>
      <c r="AD84" s="4">
        <f t="shared" si="43"/>
        <v>1</v>
      </c>
      <c r="AE84" s="4">
        <f t="shared" si="44"/>
        <v>0</v>
      </c>
    </row>
    <row r="85" spans="1:31" ht="60" customHeight="1" x14ac:dyDescent="0.2">
      <c r="A85" s="3" t="s">
        <v>613</v>
      </c>
      <c r="B85" s="4">
        <v>84</v>
      </c>
      <c r="C85" s="3" t="s">
        <v>35</v>
      </c>
      <c r="D85" s="3" t="s">
        <v>272</v>
      </c>
      <c r="E85" s="3" t="s">
        <v>28</v>
      </c>
      <c r="F85" s="3"/>
      <c r="G85" s="3" t="s">
        <v>15</v>
      </c>
      <c r="H85" s="3" t="s">
        <v>29</v>
      </c>
      <c r="I85" s="3" t="s">
        <v>614</v>
      </c>
      <c r="J85" s="3" t="s">
        <v>615</v>
      </c>
      <c r="K85" s="3" t="s">
        <v>616</v>
      </c>
      <c r="L85" s="3" t="s">
        <v>617</v>
      </c>
      <c r="M85" s="3"/>
      <c r="N85" s="3" t="s">
        <v>72</v>
      </c>
      <c r="O85" s="3" t="s">
        <v>618</v>
      </c>
      <c r="P85" s="4">
        <f t="shared" si="30"/>
        <v>0</v>
      </c>
      <c r="Q85" s="4">
        <f t="shared" si="31"/>
        <v>0</v>
      </c>
      <c r="R85" s="4">
        <f t="shared" si="32"/>
        <v>0</v>
      </c>
      <c r="S85" s="4">
        <f t="shared" si="33"/>
        <v>0</v>
      </c>
      <c r="T85" s="4">
        <f t="shared" si="34"/>
        <v>0</v>
      </c>
      <c r="U85" s="4">
        <f t="shared" si="35"/>
        <v>0</v>
      </c>
      <c r="V85" s="4">
        <f t="shared" si="36"/>
        <v>1</v>
      </c>
      <c r="W85" s="4">
        <f t="shared" si="37"/>
        <v>0</v>
      </c>
      <c r="X85" s="13">
        <f>SUM(Paper7Coding[[#This Row],[Subject-matter correction]:[Genre/ writing expertise]])</f>
        <v>0</v>
      </c>
      <c r="Y85" s="4">
        <f t="shared" si="38"/>
        <v>0</v>
      </c>
      <c r="Z85" s="4">
        <f t="shared" si="39"/>
        <v>0</v>
      </c>
      <c r="AA85" s="4">
        <f t="shared" si="40"/>
        <v>0</v>
      </c>
      <c r="AB85" s="4">
        <f t="shared" si="41"/>
        <v>0</v>
      </c>
      <c r="AC85" s="4">
        <f t="shared" si="42"/>
        <v>0</v>
      </c>
      <c r="AD85" s="4">
        <f t="shared" si="43"/>
        <v>0</v>
      </c>
      <c r="AE85" s="4">
        <f t="shared" si="44"/>
        <v>1</v>
      </c>
    </row>
    <row r="86" spans="1:31" ht="78" customHeight="1" x14ac:dyDescent="0.2">
      <c r="A86" s="3" t="s">
        <v>619</v>
      </c>
      <c r="B86" s="4">
        <v>85</v>
      </c>
      <c r="C86" s="3" t="s">
        <v>35</v>
      </c>
      <c r="D86" s="3" t="s">
        <v>620</v>
      </c>
      <c r="E86" s="3" t="s">
        <v>14</v>
      </c>
      <c r="F86" s="3" t="s">
        <v>26</v>
      </c>
      <c r="G86" s="3" t="s">
        <v>15</v>
      </c>
      <c r="H86" s="3" t="s">
        <v>565</v>
      </c>
      <c r="I86" s="3" t="s">
        <v>621</v>
      </c>
      <c r="J86" s="3" t="s">
        <v>622</v>
      </c>
      <c r="K86" s="3" t="s">
        <v>623</v>
      </c>
      <c r="L86" s="3" t="s">
        <v>624</v>
      </c>
      <c r="M86" s="3" t="s">
        <v>210</v>
      </c>
      <c r="N86" s="3" t="s">
        <v>72</v>
      </c>
      <c r="O86" s="3" t="s">
        <v>625</v>
      </c>
      <c r="P86" s="4">
        <f t="shared" si="30"/>
        <v>0</v>
      </c>
      <c r="Q86" s="4">
        <f t="shared" si="31"/>
        <v>1</v>
      </c>
      <c r="R86" s="4">
        <f t="shared" si="32"/>
        <v>0</v>
      </c>
      <c r="S86" s="4">
        <f t="shared" si="33"/>
        <v>0</v>
      </c>
      <c r="T86" s="4">
        <f t="shared" si="34"/>
        <v>0</v>
      </c>
      <c r="U86" s="4">
        <f t="shared" si="35"/>
        <v>1</v>
      </c>
      <c r="V86" s="4">
        <f t="shared" si="36"/>
        <v>0</v>
      </c>
      <c r="W86" s="4">
        <f t="shared" si="37"/>
        <v>0</v>
      </c>
      <c r="X86" s="13">
        <f>SUM(Paper7Coding[[#This Row],[Subject-matter correction]:[Genre/ writing expertise]])</f>
        <v>3</v>
      </c>
      <c r="Y86" s="4">
        <f t="shared" si="38"/>
        <v>0</v>
      </c>
      <c r="Z86" s="4">
        <f t="shared" si="39"/>
        <v>0</v>
      </c>
      <c r="AA86" s="4">
        <f t="shared" si="40"/>
        <v>1</v>
      </c>
      <c r="AB86" s="4">
        <f t="shared" si="41"/>
        <v>1</v>
      </c>
      <c r="AC86" s="4">
        <f t="shared" si="42"/>
        <v>0</v>
      </c>
      <c r="AD86" s="4">
        <f t="shared" si="43"/>
        <v>1</v>
      </c>
      <c r="AE86" s="4">
        <f t="shared" si="44"/>
        <v>0</v>
      </c>
    </row>
    <row r="87" spans="1:31" ht="60" customHeight="1" x14ac:dyDescent="0.2">
      <c r="A87" s="3" t="s">
        <v>626</v>
      </c>
      <c r="B87" s="4">
        <v>86</v>
      </c>
      <c r="C87" s="3" t="s">
        <v>35</v>
      </c>
      <c r="D87" s="3" t="s">
        <v>627</v>
      </c>
      <c r="E87" s="3" t="s">
        <v>28</v>
      </c>
      <c r="F87" s="3" t="s">
        <v>14</v>
      </c>
      <c r="G87" s="3" t="s">
        <v>15</v>
      </c>
      <c r="H87" s="3" t="s">
        <v>29</v>
      </c>
      <c r="I87" s="3" t="s">
        <v>628</v>
      </c>
      <c r="J87" s="3" t="s">
        <v>629</v>
      </c>
      <c r="K87" s="3" t="s">
        <v>630</v>
      </c>
      <c r="L87" s="3" t="s">
        <v>631</v>
      </c>
      <c r="M87" s="3"/>
      <c r="N87" s="3" t="s">
        <v>72</v>
      </c>
      <c r="O87" s="3"/>
      <c r="P87" s="4">
        <f t="shared" si="30"/>
        <v>0</v>
      </c>
      <c r="Q87" s="4">
        <f t="shared" si="31"/>
        <v>1</v>
      </c>
      <c r="R87" s="4">
        <f t="shared" si="32"/>
        <v>0</v>
      </c>
      <c r="S87" s="4">
        <f t="shared" si="33"/>
        <v>0</v>
      </c>
      <c r="T87" s="4">
        <f t="shared" si="34"/>
        <v>0</v>
      </c>
      <c r="U87" s="4">
        <f t="shared" si="35"/>
        <v>0</v>
      </c>
      <c r="V87" s="4">
        <f t="shared" si="36"/>
        <v>1</v>
      </c>
      <c r="W87" s="4">
        <f t="shared" si="37"/>
        <v>0</v>
      </c>
      <c r="X87" s="13">
        <f>SUM(Paper7Coding[[#This Row],[Subject-matter correction]:[Genre/ writing expertise]])</f>
        <v>0</v>
      </c>
      <c r="Y87" s="4">
        <f t="shared" si="38"/>
        <v>0</v>
      </c>
      <c r="Z87" s="4">
        <f t="shared" si="39"/>
        <v>0</v>
      </c>
      <c r="AA87" s="4">
        <f t="shared" si="40"/>
        <v>0</v>
      </c>
      <c r="AB87" s="4">
        <f t="shared" si="41"/>
        <v>0</v>
      </c>
      <c r="AC87" s="4">
        <f t="shared" si="42"/>
        <v>0</v>
      </c>
      <c r="AD87" s="4">
        <f t="shared" si="43"/>
        <v>0</v>
      </c>
      <c r="AE87" s="4">
        <f t="shared" si="44"/>
        <v>1</v>
      </c>
    </row>
    <row r="88" spans="1:31" ht="60" customHeight="1" x14ac:dyDescent="0.2">
      <c r="A88" s="3" t="s">
        <v>632</v>
      </c>
      <c r="B88" s="4">
        <v>87</v>
      </c>
      <c r="C88" s="3" t="s">
        <v>35</v>
      </c>
      <c r="D88" s="3" t="s">
        <v>633</v>
      </c>
      <c r="E88" s="3" t="s">
        <v>28</v>
      </c>
      <c r="F88" s="3"/>
      <c r="G88" s="3" t="s">
        <v>15</v>
      </c>
      <c r="H88" s="3" t="s">
        <v>29</v>
      </c>
      <c r="I88" s="3" t="s">
        <v>634</v>
      </c>
      <c r="J88" s="3" t="s">
        <v>635</v>
      </c>
      <c r="K88" s="3" t="s">
        <v>636</v>
      </c>
      <c r="L88" s="3" t="s">
        <v>637</v>
      </c>
      <c r="M88" s="3"/>
      <c r="N88" s="3" t="s">
        <v>72</v>
      </c>
      <c r="O88" s="3" t="s">
        <v>638</v>
      </c>
      <c r="P88" s="4">
        <f t="shared" si="30"/>
        <v>0</v>
      </c>
      <c r="Q88" s="4">
        <f t="shared" si="31"/>
        <v>0</v>
      </c>
      <c r="R88" s="4">
        <f t="shared" si="32"/>
        <v>0</v>
      </c>
      <c r="S88" s="4">
        <f t="shared" si="33"/>
        <v>0</v>
      </c>
      <c r="T88" s="4">
        <f t="shared" si="34"/>
        <v>0</v>
      </c>
      <c r="U88" s="4">
        <f t="shared" si="35"/>
        <v>0</v>
      </c>
      <c r="V88" s="4">
        <f t="shared" si="36"/>
        <v>1</v>
      </c>
      <c r="W88" s="4">
        <f t="shared" si="37"/>
        <v>0</v>
      </c>
      <c r="X88" s="13">
        <f>SUM(Paper7Coding[[#This Row],[Subject-matter correction]:[Genre/ writing expertise]])</f>
        <v>0</v>
      </c>
      <c r="Y88" s="4">
        <f t="shared" si="38"/>
        <v>0</v>
      </c>
      <c r="Z88" s="4">
        <f t="shared" si="39"/>
        <v>0</v>
      </c>
      <c r="AA88" s="4">
        <f t="shared" si="40"/>
        <v>0</v>
      </c>
      <c r="AB88" s="4">
        <f t="shared" si="41"/>
        <v>0</v>
      </c>
      <c r="AC88" s="4">
        <f t="shared" si="42"/>
        <v>0</v>
      </c>
      <c r="AD88" s="4">
        <f t="shared" si="43"/>
        <v>0</v>
      </c>
      <c r="AE88" s="4">
        <f t="shared" si="44"/>
        <v>1</v>
      </c>
    </row>
    <row r="89" spans="1:31" ht="60" customHeight="1" x14ac:dyDescent="0.2">
      <c r="A89" s="3" t="s">
        <v>639</v>
      </c>
      <c r="B89" s="4">
        <v>88</v>
      </c>
      <c r="C89" s="3" t="s">
        <v>35</v>
      </c>
      <c r="D89" s="3" t="s">
        <v>272</v>
      </c>
      <c r="E89" s="3" t="s">
        <v>28</v>
      </c>
      <c r="F89" s="3"/>
      <c r="G89" s="3" t="s">
        <v>15</v>
      </c>
      <c r="H89" s="3" t="s">
        <v>29</v>
      </c>
      <c r="I89" s="3" t="s">
        <v>640</v>
      </c>
      <c r="J89" s="3" t="s">
        <v>641</v>
      </c>
      <c r="K89" s="3" t="s">
        <v>642</v>
      </c>
      <c r="L89" s="3" t="s">
        <v>643</v>
      </c>
      <c r="M89" s="3"/>
      <c r="N89" s="3" t="s">
        <v>72</v>
      </c>
      <c r="O89" s="3"/>
      <c r="P89" s="4">
        <f t="shared" si="30"/>
        <v>0</v>
      </c>
      <c r="Q89" s="4">
        <f t="shared" si="31"/>
        <v>0</v>
      </c>
      <c r="R89" s="4">
        <f t="shared" si="32"/>
        <v>0</v>
      </c>
      <c r="S89" s="4">
        <f t="shared" si="33"/>
        <v>0</v>
      </c>
      <c r="T89" s="4">
        <f t="shared" si="34"/>
        <v>0</v>
      </c>
      <c r="U89" s="4">
        <f t="shared" si="35"/>
        <v>0</v>
      </c>
      <c r="V89" s="4">
        <f t="shared" si="36"/>
        <v>1</v>
      </c>
      <c r="W89" s="4">
        <f t="shared" si="37"/>
        <v>0</v>
      </c>
      <c r="X89" s="13">
        <f>SUM(Paper7Coding[[#This Row],[Subject-matter correction]:[Genre/ writing expertise]])</f>
        <v>0</v>
      </c>
      <c r="Y89" s="4">
        <f t="shared" si="38"/>
        <v>0</v>
      </c>
      <c r="Z89" s="4">
        <f t="shared" si="39"/>
        <v>0</v>
      </c>
      <c r="AA89" s="4">
        <f t="shared" si="40"/>
        <v>0</v>
      </c>
      <c r="AB89" s="4">
        <f t="shared" si="41"/>
        <v>0</v>
      </c>
      <c r="AC89" s="4">
        <f t="shared" si="42"/>
        <v>0</v>
      </c>
      <c r="AD89" s="4">
        <f t="shared" si="43"/>
        <v>0</v>
      </c>
      <c r="AE89" s="4">
        <f t="shared" si="44"/>
        <v>1</v>
      </c>
    </row>
    <row r="90" spans="1:31" ht="63.95" customHeight="1" x14ac:dyDescent="0.2">
      <c r="A90" s="3" t="s">
        <v>644</v>
      </c>
      <c r="B90" s="4">
        <v>89</v>
      </c>
      <c r="C90" s="3" t="s">
        <v>35</v>
      </c>
      <c r="D90" s="3" t="s">
        <v>645</v>
      </c>
      <c r="E90" s="3" t="s">
        <v>20</v>
      </c>
      <c r="F90" s="3" t="s">
        <v>14</v>
      </c>
      <c r="G90" s="3" t="s">
        <v>21</v>
      </c>
      <c r="H90" s="3" t="s">
        <v>19</v>
      </c>
      <c r="I90" s="3" t="s">
        <v>646</v>
      </c>
      <c r="J90" s="3" t="s">
        <v>647</v>
      </c>
      <c r="K90" s="3" t="s">
        <v>648</v>
      </c>
      <c r="L90" s="3" t="s">
        <v>649</v>
      </c>
      <c r="M90" s="3"/>
      <c r="N90" s="3" t="s">
        <v>72</v>
      </c>
      <c r="O90" s="3" t="s">
        <v>650</v>
      </c>
      <c r="P90" s="4">
        <f t="shared" si="30"/>
        <v>0</v>
      </c>
      <c r="Q90" s="4">
        <f t="shared" si="31"/>
        <v>1</v>
      </c>
      <c r="R90" s="4">
        <f t="shared" si="32"/>
        <v>0</v>
      </c>
      <c r="S90" s="4">
        <f t="shared" si="33"/>
        <v>1</v>
      </c>
      <c r="T90" s="4">
        <f t="shared" si="34"/>
        <v>0</v>
      </c>
      <c r="U90" s="4">
        <f t="shared" si="35"/>
        <v>0</v>
      </c>
      <c r="V90" s="4">
        <f t="shared" si="36"/>
        <v>0</v>
      </c>
      <c r="W90" s="4">
        <f t="shared" si="37"/>
        <v>0</v>
      </c>
      <c r="X90" s="13">
        <f>SUM(Paper7Coding[[#This Row],[Subject-matter correction]:[Genre/ writing expertise]])</f>
        <v>1</v>
      </c>
      <c r="Y90" s="4">
        <f t="shared" si="38"/>
        <v>0</v>
      </c>
      <c r="Z90" s="4">
        <f t="shared" si="39"/>
        <v>0</v>
      </c>
      <c r="AA90" s="4">
        <f t="shared" si="40"/>
        <v>1</v>
      </c>
      <c r="AB90" s="4">
        <f t="shared" si="41"/>
        <v>0</v>
      </c>
      <c r="AC90" s="4">
        <f t="shared" si="42"/>
        <v>0</v>
      </c>
      <c r="AD90" s="4">
        <f t="shared" si="43"/>
        <v>0</v>
      </c>
      <c r="AE90" s="4">
        <f t="shared" si="44"/>
        <v>0</v>
      </c>
    </row>
    <row r="91" spans="1:31" ht="63.95" customHeight="1" x14ac:dyDescent="0.2">
      <c r="A91" s="3" t="s">
        <v>651</v>
      </c>
      <c r="B91" s="4">
        <v>90</v>
      </c>
      <c r="C91" s="3" t="s">
        <v>35</v>
      </c>
      <c r="D91" s="3" t="s">
        <v>652</v>
      </c>
      <c r="E91" s="3" t="s">
        <v>14</v>
      </c>
      <c r="F91" s="3" t="s">
        <v>28</v>
      </c>
      <c r="G91" s="3" t="s">
        <v>15</v>
      </c>
      <c r="H91" s="3" t="s">
        <v>418</v>
      </c>
      <c r="I91" s="3" t="s">
        <v>653</v>
      </c>
      <c r="J91" s="3" t="s">
        <v>654</v>
      </c>
      <c r="K91" s="3" t="s">
        <v>655</v>
      </c>
      <c r="L91" s="3" t="s">
        <v>656</v>
      </c>
      <c r="M91" s="3"/>
      <c r="N91" s="3" t="s">
        <v>72</v>
      </c>
      <c r="O91" s="3"/>
      <c r="P91" s="4">
        <f t="shared" si="30"/>
        <v>0</v>
      </c>
      <c r="Q91" s="4">
        <f t="shared" si="31"/>
        <v>1</v>
      </c>
      <c r="R91" s="4">
        <f t="shared" si="32"/>
        <v>0</v>
      </c>
      <c r="S91" s="4">
        <f t="shared" si="33"/>
        <v>0</v>
      </c>
      <c r="T91" s="4">
        <f t="shared" si="34"/>
        <v>0</v>
      </c>
      <c r="U91" s="4">
        <f t="shared" si="35"/>
        <v>0</v>
      </c>
      <c r="V91" s="4">
        <f t="shared" si="36"/>
        <v>1</v>
      </c>
      <c r="W91" s="4">
        <f t="shared" si="37"/>
        <v>0</v>
      </c>
      <c r="X91" s="13">
        <f>SUM(Paper7Coding[[#This Row],[Subject-matter correction]:[Genre/ writing expertise]])</f>
        <v>2</v>
      </c>
      <c r="Y91" s="4">
        <f t="shared" si="38"/>
        <v>0</v>
      </c>
      <c r="Z91" s="4">
        <f t="shared" si="39"/>
        <v>0</v>
      </c>
      <c r="AA91" s="4">
        <f t="shared" si="40"/>
        <v>1</v>
      </c>
      <c r="AB91" s="4">
        <f t="shared" si="41"/>
        <v>1</v>
      </c>
      <c r="AC91" s="4">
        <f t="shared" si="42"/>
        <v>0</v>
      </c>
      <c r="AD91" s="4">
        <f t="shared" si="43"/>
        <v>0</v>
      </c>
      <c r="AE91" s="4">
        <f t="shared" si="44"/>
        <v>0</v>
      </c>
    </row>
    <row r="92" spans="1:31" ht="60" customHeight="1" x14ac:dyDescent="0.2">
      <c r="A92" s="3" t="s">
        <v>657</v>
      </c>
      <c r="B92" s="4">
        <v>91</v>
      </c>
      <c r="C92" s="3" t="s">
        <v>35</v>
      </c>
      <c r="D92" s="3" t="s">
        <v>658</v>
      </c>
      <c r="E92" s="3" t="s">
        <v>28</v>
      </c>
      <c r="F92" s="3" t="s">
        <v>14</v>
      </c>
      <c r="G92" s="3" t="s">
        <v>15</v>
      </c>
      <c r="H92" s="3" t="s">
        <v>418</v>
      </c>
      <c r="I92" s="3" t="s">
        <v>659</v>
      </c>
      <c r="J92" s="3" t="s">
        <v>660</v>
      </c>
      <c r="K92" s="3" t="s">
        <v>661</v>
      </c>
      <c r="L92" s="3" t="s">
        <v>662</v>
      </c>
      <c r="M92" s="3"/>
      <c r="N92" s="3" t="s">
        <v>72</v>
      </c>
      <c r="O92" s="3" t="s">
        <v>663</v>
      </c>
      <c r="P92" s="4">
        <f t="shared" si="30"/>
        <v>0</v>
      </c>
      <c r="Q92" s="4">
        <f t="shared" si="31"/>
        <v>1</v>
      </c>
      <c r="R92" s="4">
        <f t="shared" si="32"/>
        <v>0</v>
      </c>
      <c r="S92" s="4">
        <f t="shared" si="33"/>
        <v>0</v>
      </c>
      <c r="T92" s="4">
        <f t="shared" si="34"/>
        <v>0</v>
      </c>
      <c r="U92" s="4">
        <f t="shared" si="35"/>
        <v>0</v>
      </c>
      <c r="V92" s="4">
        <f t="shared" si="36"/>
        <v>1</v>
      </c>
      <c r="W92" s="4">
        <f t="shared" si="37"/>
        <v>0</v>
      </c>
      <c r="X92" s="13">
        <f>SUM(Paper7Coding[[#This Row],[Subject-matter correction]:[Genre/ writing expertise]])</f>
        <v>2</v>
      </c>
      <c r="Y92" s="4">
        <f t="shared" si="38"/>
        <v>0</v>
      </c>
      <c r="Z92" s="4">
        <f t="shared" si="39"/>
        <v>0</v>
      </c>
      <c r="AA92" s="4">
        <f t="shared" si="40"/>
        <v>1</v>
      </c>
      <c r="AB92" s="4">
        <f t="shared" si="41"/>
        <v>1</v>
      </c>
      <c r="AC92" s="4">
        <f t="shared" si="42"/>
        <v>0</v>
      </c>
      <c r="AD92" s="4">
        <f t="shared" si="43"/>
        <v>0</v>
      </c>
      <c r="AE92" s="4">
        <f t="shared" si="44"/>
        <v>0</v>
      </c>
    </row>
    <row r="93" spans="1:31" ht="63.95" customHeight="1" x14ac:dyDescent="0.2">
      <c r="A93" s="3" t="s">
        <v>664</v>
      </c>
      <c r="B93" s="4">
        <v>92</v>
      </c>
      <c r="C93" s="3" t="s">
        <v>35</v>
      </c>
      <c r="D93" s="3" t="s">
        <v>665</v>
      </c>
      <c r="E93" s="3" t="s">
        <v>14</v>
      </c>
      <c r="F93" s="3"/>
      <c r="G93" s="3" t="s">
        <v>15</v>
      </c>
      <c r="H93" s="3" t="s">
        <v>27</v>
      </c>
      <c r="I93" s="3" t="s">
        <v>666</v>
      </c>
      <c r="J93" s="3" t="s">
        <v>667</v>
      </c>
      <c r="K93" s="3" t="s">
        <v>668</v>
      </c>
      <c r="L93" s="3" t="s">
        <v>669</v>
      </c>
      <c r="M93" s="3"/>
      <c r="N93" s="3" t="s">
        <v>72</v>
      </c>
      <c r="O93" s="3"/>
      <c r="P93" s="4">
        <f t="shared" si="30"/>
        <v>0</v>
      </c>
      <c r="Q93" s="4">
        <f t="shared" si="31"/>
        <v>1</v>
      </c>
      <c r="R93" s="4">
        <f t="shared" si="32"/>
        <v>0</v>
      </c>
      <c r="S93" s="4">
        <f t="shared" si="33"/>
        <v>0</v>
      </c>
      <c r="T93" s="4">
        <f t="shared" si="34"/>
        <v>0</v>
      </c>
      <c r="U93" s="4">
        <f t="shared" si="35"/>
        <v>0</v>
      </c>
      <c r="V93" s="4">
        <f t="shared" si="36"/>
        <v>0</v>
      </c>
      <c r="W93" s="4">
        <f t="shared" si="37"/>
        <v>0</v>
      </c>
      <c r="X93" s="13">
        <f>SUM(Paper7Coding[[#This Row],[Subject-matter correction]:[Genre/ writing expertise]])</f>
        <v>1</v>
      </c>
      <c r="Y93" s="4">
        <f t="shared" si="38"/>
        <v>0</v>
      </c>
      <c r="Z93" s="4">
        <f t="shared" si="39"/>
        <v>0</v>
      </c>
      <c r="AA93" s="4">
        <f t="shared" si="40"/>
        <v>0</v>
      </c>
      <c r="AB93" s="4">
        <f t="shared" si="41"/>
        <v>0</v>
      </c>
      <c r="AC93" s="4">
        <f t="shared" si="42"/>
        <v>0</v>
      </c>
      <c r="AD93" s="4">
        <f t="shared" si="43"/>
        <v>1</v>
      </c>
      <c r="AE93" s="4">
        <f t="shared" si="44"/>
        <v>0</v>
      </c>
    </row>
    <row r="94" spans="1:31" ht="60" customHeight="1" x14ac:dyDescent="0.2">
      <c r="A94" s="3" t="s">
        <v>670</v>
      </c>
      <c r="B94" s="4">
        <v>93</v>
      </c>
      <c r="C94" s="3" t="s">
        <v>35</v>
      </c>
      <c r="D94" s="3" t="s">
        <v>671</v>
      </c>
      <c r="E94" s="3" t="s">
        <v>11</v>
      </c>
      <c r="F94" s="3"/>
      <c r="G94" s="3" t="s">
        <v>12</v>
      </c>
      <c r="H94" s="3" t="s">
        <v>29</v>
      </c>
      <c r="I94" s="3" t="s">
        <v>672</v>
      </c>
      <c r="J94" s="3" t="s">
        <v>673</v>
      </c>
      <c r="K94" s="3" t="s">
        <v>674</v>
      </c>
      <c r="L94" s="3" t="s">
        <v>675</v>
      </c>
      <c r="M94" s="3"/>
      <c r="N94" s="3" t="s">
        <v>72</v>
      </c>
      <c r="O94" s="3"/>
      <c r="P94" s="4">
        <f t="shared" si="30"/>
        <v>1</v>
      </c>
      <c r="Q94" s="4">
        <f t="shared" si="31"/>
        <v>0</v>
      </c>
      <c r="R94" s="4">
        <f t="shared" si="32"/>
        <v>0</v>
      </c>
      <c r="S94" s="4">
        <f t="shared" si="33"/>
        <v>0</v>
      </c>
      <c r="T94" s="4">
        <f t="shared" si="34"/>
        <v>0</v>
      </c>
      <c r="U94" s="4">
        <f t="shared" si="35"/>
        <v>0</v>
      </c>
      <c r="V94" s="4">
        <f t="shared" si="36"/>
        <v>0</v>
      </c>
      <c r="W94" s="4">
        <f t="shared" si="37"/>
        <v>0</v>
      </c>
      <c r="X94" s="13">
        <f>SUM(Paper7Coding[[#This Row],[Subject-matter correction]:[Genre/ writing expertise]])</f>
        <v>0</v>
      </c>
      <c r="Y94" s="4">
        <f t="shared" si="38"/>
        <v>0</v>
      </c>
      <c r="Z94" s="4">
        <f t="shared" si="39"/>
        <v>0</v>
      </c>
      <c r="AA94" s="4">
        <f t="shared" si="40"/>
        <v>0</v>
      </c>
      <c r="AB94" s="4">
        <f t="shared" si="41"/>
        <v>0</v>
      </c>
      <c r="AC94" s="4">
        <f t="shared" si="42"/>
        <v>0</v>
      </c>
      <c r="AD94" s="4">
        <f t="shared" si="43"/>
        <v>0</v>
      </c>
      <c r="AE94" s="4">
        <f t="shared" si="44"/>
        <v>1</v>
      </c>
    </row>
    <row r="95" spans="1:31" ht="60" customHeight="1" x14ac:dyDescent="0.2">
      <c r="A95" s="3" t="s">
        <v>676</v>
      </c>
      <c r="B95" s="4">
        <v>94</v>
      </c>
      <c r="C95" s="3" t="s">
        <v>35</v>
      </c>
      <c r="D95" s="3" t="s">
        <v>272</v>
      </c>
      <c r="E95" s="3" t="s">
        <v>28</v>
      </c>
      <c r="F95" s="3"/>
      <c r="G95" s="3" t="s">
        <v>15</v>
      </c>
      <c r="H95" s="3" t="s">
        <v>29</v>
      </c>
      <c r="I95" s="3" t="s">
        <v>677</v>
      </c>
      <c r="J95" s="3" t="s">
        <v>678</v>
      </c>
      <c r="K95" s="3" t="s">
        <v>679</v>
      </c>
      <c r="L95" s="3" t="s">
        <v>680</v>
      </c>
      <c r="M95" s="3"/>
      <c r="N95" s="3" t="s">
        <v>72</v>
      </c>
      <c r="O95" s="3"/>
      <c r="P95" s="4">
        <f t="shared" si="30"/>
        <v>0</v>
      </c>
      <c r="Q95" s="4">
        <f t="shared" si="31"/>
        <v>0</v>
      </c>
      <c r="R95" s="4">
        <f t="shared" si="32"/>
        <v>0</v>
      </c>
      <c r="S95" s="4">
        <f t="shared" si="33"/>
        <v>0</v>
      </c>
      <c r="T95" s="4">
        <f t="shared" si="34"/>
        <v>0</v>
      </c>
      <c r="U95" s="4">
        <f t="shared" si="35"/>
        <v>0</v>
      </c>
      <c r="V95" s="4">
        <f t="shared" si="36"/>
        <v>1</v>
      </c>
      <c r="W95" s="4">
        <f t="shared" si="37"/>
        <v>0</v>
      </c>
      <c r="X95" s="13">
        <f>SUM(Paper7Coding[[#This Row],[Subject-matter correction]:[Genre/ writing expertise]])</f>
        <v>0</v>
      </c>
      <c r="Y95" s="4">
        <f t="shared" si="38"/>
        <v>0</v>
      </c>
      <c r="Z95" s="4">
        <f t="shared" si="39"/>
        <v>0</v>
      </c>
      <c r="AA95" s="4">
        <f t="shared" si="40"/>
        <v>0</v>
      </c>
      <c r="AB95" s="4">
        <f t="shared" si="41"/>
        <v>0</v>
      </c>
      <c r="AC95" s="4">
        <f t="shared" si="42"/>
        <v>0</v>
      </c>
      <c r="AD95" s="4">
        <f t="shared" si="43"/>
        <v>0</v>
      </c>
      <c r="AE95" s="4">
        <f t="shared" si="44"/>
        <v>1</v>
      </c>
    </row>
    <row r="96" spans="1:31" ht="60" customHeight="1" x14ac:dyDescent="0.2">
      <c r="A96" s="3" t="s">
        <v>681</v>
      </c>
      <c r="B96" s="4">
        <v>95</v>
      </c>
      <c r="C96" s="3" t="s">
        <v>35</v>
      </c>
      <c r="D96" s="3" t="s">
        <v>272</v>
      </c>
      <c r="E96" s="3" t="s">
        <v>28</v>
      </c>
      <c r="F96" s="3"/>
      <c r="G96" s="3" t="s">
        <v>15</v>
      </c>
      <c r="H96" s="3" t="s">
        <v>29</v>
      </c>
      <c r="I96" s="3" t="s">
        <v>682</v>
      </c>
      <c r="J96" s="3" t="s">
        <v>683</v>
      </c>
      <c r="K96" s="3" t="s">
        <v>684</v>
      </c>
      <c r="L96" s="3" t="s">
        <v>685</v>
      </c>
      <c r="M96" s="3"/>
      <c r="N96" s="3" t="s">
        <v>72</v>
      </c>
      <c r="O96" s="3"/>
      <c r="P96" s="4">
        <f t="shared" si="30"/>
        <v>0</v>
      </c>
      <c r="Q96" s="4">
        <f t="shared" si="31"/>
        <v>0</v>
      </c>
      <c r="R96" s="4">
        <f t="shared" si="32"/>
        <v>0</v>
      </c>
      <c r="S96" s="4">
        <f t="shared" si="33"/>
        <v>0</v>
      </c>
      <c r="T96" s="4">
        <f t="shared" si="34"/>
        <v>0</v>
      </c>
      <c r="U96" s="4">
        <f t="shared" si="35"/>
        <v>0</v>
      </c>
      <c r="V96" s="4">
        <f t="shared" si="36"/>
        <v>1</v>
      </c>
      <c r="W96" s="4">
        <f t="shared" si="37"/>
        <v>0</v>
      </c>
      <c r="X96" s="13">
        <f>SUM(Paper7Coding[[#This Row],[Subject-matter correction]:[Genre/ writing expertise]])</f>
        <v>0</v>
      </c>
      <c r="Y96" s="4">
        <f t="shared" si="38"/>
        <v>0</v>
      </c>
      <c r="Z96" s="4">
        <f t="shared" si="39"/>
        <v>0</v>
      </c>
      <c r="AA96" s="4">
        <f t="shared" si="40"/>
        <v>0</v>
      </c>
      <c r="AB96" s="4">
        <f t="shared" si="41"/>
        <v>0</v>
      </c>
      <c r="AC96" s="4">
        <f t="shared" si="42"/>
        <v>0</v>
      </c>
      <c r="AD96" s="4">
        <f t="shared" si="43"/>
        <v>0</v>
      </c>
      <c r="AE96" s="4">
        <f t="shared" si="44"/>
        <v>1</v>
      </c>
    </row>
    <row r="97" spans="1:31" ht="60" customHeight="1" x14ac:dyDescent="0.2">
      <c r="A97" s="3" t="s">
        <v>686</v>
      </c>
      <c r="B97" s="4">
        <v>96</v>
      </c>
      <c r="C97" s="3" t="s">
        <v>35</v>
      </c>
      <c r="D97" s="3" t="s">
        <v>687</v>
      </c>
      <c r="E97" s="3" t="s">
        <v>20</v>
      </c>
      <c r="F97" s="3" t="s">
        <v>14</v>
      </c>
      <c r="G97" s="3" t="s">
        <v>21</v>
      </c>
      <c r="H97" s="3" t="s">
        <v>688</v>
      </c>
      <c r="I97" s="3" t="s">
        <v>689</v>
      </c>
      <c r="J97" s="3" t="s">
        <v>690</v>
      </c>
      <c r="K97" s="3" t="s">
        <v>691</v>
      </c>
      <c r="L97" s="3" t="s">
        <v>692</v>
      </c>
      <c r="M97" s="3"/>
      <c r="N97" s="3" t="s">
        <v>72</v>
      </c>
      <c r="O97" s="3"/>
      <c r="P97" s="4">
        <f t="shared" si="30"/>
        <v>0</v>
      </c>
      <c r="Q97" s="4">
        <f t="shared" si="31"/>
        <v>1</v>
      </c>
      <c r="R97" s="4">
        <f t="shared" si="32"/>
        <v>0</v>
      </c>
      <c r="S97" s="4">
        <f t="shared" si="33"/>
        <v>1</v>
      </c>
      <c r="T97" s="4">
        <f t="shared" si="34"/>
        <v>0</v>
      </c>
      <c r="U97" s="4">
        <f t="shared" si="35"/>
        <v>0</v>
      </c>
      <c r="V97" s="4">
        <f t="shared" si="36"/>
        <v>0</v>
      </c>
      <c r="W97" s="4">
        <f t="shared" si="37"/>
        <v>0</v>
      </c>
      <c r="X97" s="13">
        <f>SUM(Paper7Coding[[#This Row],[Subject-matter correction]:[Genre/ writing expertise]])</f>
        <v>2</v>
      </c>
      <c r="Y97" s="4">
        <f t="shared" si="38"/>
        <v>1</v>
      </c>
      <c r="Z97" s="4">
        <f t="shared" si="39"/>
        <v>1</v>
      </c>
      <c r="AA97" s="4">
        <f t="shared" si="40"/>
        <v>0</v>
      </c>
      <c r="AB97" s="4">
        <f t="shared" si="41"/>
        <v>0</v>
      </c>
      <c r="AC97" s="4">
        <f t="shared" si="42"/>
        <v>0</v>
      </c>
      <c r="AD97" s="4">
        <f t="shared" si="43"/>
        <v>0</v>
      </c>
      <c r="AE97" s="4">
        <f t="shared" si="44"/>
        <v>0</v>
      </c>
    </row>
    <row r="98" spans="1:31" ht="60" customHeight="1" x14ac:dyDescent="0.2">
      <c r="A98" s="3" t="s">
        <v>693</v>
      </c>
      <c r="B98" s="4">
        <v>97</v>
      </c>
      <c r="C98" s="3" t="s">
        <v>35</v>
      </c>
      <c r="D98" s="3" t="s">
        <v>694</v>
      </c>
      <c r="E98" s="3" t="s">
        <v>14</v>
      </c>
      <c r="F98" s="3" t="s">
        <v>23</v>
      </c>
      <c r="G98" s="3" t="s">
        <v>15</v>
      </c>
      <c r="H98" s="3" t="s">
        <v>22</v>
      </c>
      <c r="I98" s="3" t="s">
        <v>695</v>
      </c>
      <c r="J98" s="3" t="s">
        <v>696</v>
      </c>
      <c r="K98" s="3" t="s">
        <v>697</v>
      </c>
      <c r="L98" s="3" t="s">
        <v>698</v>
      </c>
      <c r="M98" s="3"/>
      <c r="N98" s="3" t="s">
        <v>72</v>
      </c>
      <c r="O98" s="3"/>
      <c r="P98" s="4">
        <f t="shared" ref="P98:P133" si="45">IF(OR(E98="Delegation",ISNUMBER(SEARCH("; Delegation; ","; "&amp;F98&amp;"; "))),1,0)</f>
        <v>0</v>
      </c>
      <c r="Q98" s="4">
        <f t="shared" ref="Q98:Q133" si="46">IF(OR(E98="Directed delegation",ISNUMBER(SEARCH("; Directed delegation; ","; "&amp;F98&amp;"; "))),1,0)</f>
        <v>1</v>
      </c>
      <c r="R98" s="4">
        <f t="shared" ref="R98:R133" si="47">IF(OR(E98="Evaluation",ISNUMBER(SEARCH("; Evaluation; ","; "&amp;F98&amp;"; "))),1,0)</f>
        <v>0</v>
      </c>
      <c r="S98" s="4">
        <f t="shared" ref="S98:S133" si="48">IF(OR(E98="Correction/Challenge",ISNUMBER(SEARCH("; Correction/Challenge; ","; "&amp;F98&amp;"; "))),1,0)</f>
        <v>0</v>
      </c>
      <c r="T98" s="4">
        <f t="shared" ref="T98:T133" si="49">IF(OR(E98="Redirection",ISNUMBER(SEARCH("; Redirection; ","; "&amp;F98&amp;"; "))),1,0)</f>
        <v>1</v>
      </c>
      <c r="U98" s="4">
        <f t="shared" ref="U98:U133" si="50">IF(OR(E98="Knowledge injection",ISNUMBER(SEARCH("; Knowledge injection; ","; "&amp;F98&amp;"; "))),1,0)</f>
        <v>0</v>
      </c>
      <c r="V98" s="4">
        <f t="shared" ref="V98:V133" si="51">IF(OR(E98="Selection/Rejection",ISNUMBER(SEARCH("; Selection/Rejection; ","; "&amp;F98&amp;"; "))),1,0)</f>
        <v>0</v>
      </c>
      <c r="W98" s="4">
        <f t="shared" ref="W98:W133" si="52">IF(OR(E98="Deliberation",ISNUMBER(SEARCH("; Deliberation; ","; "&amp;F98&amp;"; "))),1,0)</f>
        <v>0</v>
      </c>
      <c r="X98" s="13">
        <f>SUM(Paper7Coding[[#This Row],[Subject-matter correction]:[Genre/ writing expertise]])</f>
        <v>1</v>
      </c>
      <c r="Y98" s="4">
        <f t="shared" ref="Y98:Y133" si="53">IF(ISNUMBER(SEARCH("; domain correction; ","; "&amp;H98&amp;"; ")),1,0)</f>
        <v>0</v>
      </c>
      <c r="Z98" s="4">
        <f t="shared" ref="Z98:Z133" si="54">IF(ISNUMBER(SEARCH("; conceptual discrimination; ","; "&amp;H98&amp;"; ")),1,0)</f>
        <v>0</v>
      </c>
      <c r="AA98" s="4">
        <f t="shared" ref="AA98:AA133" si="55">IF(ISNUMBER(SEARCH("; evidence judgment; ","; "&amp;H98&amp;"; ")),1,0)</f>
        <v>0</v>
      </c>
      <c r="AB98" s="4">
        <f t="shared" ref="AB98:AB133" si="56">IF(ISNUMBER(SEARCH("; methodological judgment; ","; "&amp;H98&amp;"; ")),1,0)</f>
        <v>1</v>
      </c>
      <c r="AC98" s="4">
        <f t="shared" ref="AC98:AC133" si="57">IF(ISNUMBER(SEARCH("; argumentative judgment; ","; "&amp;H98&amp;"; ")),1,0)</f>
        <v>0</v>
      </c>
      <c r="AD98" s="4">
        <f t="shared" ref="AD98:AD133" si="58">IF(ISNUMBER(SEARCH("; genre/writing expertise; ","; "&amp;H98&amp;"; ")),1,0)</f>
        <v>0</v>
      </c>
      <c r="AE98" s="4">
        <f t="shared" ref="AE98:AE133" si="59">IF(ISNUMBER(SEARCH("; none; ","; "&amp;H98&amp;"; ")),1,0)</f>
        <v>0</v>
      </c>
    </row>
    <row r="99" spans="1:31" ht="60" customHeight="1" x14ac:dyDescent="0.2">
      <c r="A99" s="3" t="s">
        <v>699</v>
      </c>
      <c r="B99" s="4">
        <v>98</v>
      </c>
      <c r="C99" s="3" t="s">
        <v>35</v>
      </c>
      <c r="D99" s="3" t="s">
        <v>272</v>
      </c>
      <c r="E99" s="3" t="s">
        <v>28</v>
      </c>
      <c r="F99" s="3"/>
      <c r="G99" s="3" t="s">
        <v>15</v>
      </c>
      <c r="H99" s="3" t="s">
        <v>29</v>
      </c>
      <c r="I99" s="3" t="s">
        <v>700</v>
      </c>
      <c r="J99" s="3" t="s">
        <v>701</v>
      </c>
      <c r="K99" s="3" t="s">
        <v>702</v>
      </c>
      <c r="L99" s="3" t="s">
        <v>703</v>
      </c>
      <c r="M99" s="3"/>
      <c r="N99" s="3" t="s">
        <v>72</v>
      </c>
      <c r="O99" s="3"/>
      <c r="P99" s="4">
        <f t="shared" si="45"/>
        <v>0</v>
      </c>
      <c r="Q99" s="4">
        <f t="shared" si="46"/>
        <v>0</v>
      </c>
      <c r="R99" s="4">
        <f t="shared" si="47"/>
        <v>0</v>
      </c>
      <c r="S99" s="4">
        <f t="shared" si="48"/>
        <v>0</v>
      </c>
      <c r="T99" s="4">
        <f t="shared" si="49"/>
        <v>0</v>
      </c>
      <c r="U99" s="4">
        <f t="shared" si="50"/>
        <v>0</v>
      </c>
      <c r="V99" s="4">
        <f t="shared" si="51"/>
        <v>1</v>
      </c>
      <c r="W99" s="4">
        <f t="shared" si="52"/>
        <v>0</v>
      </c>
      <c r="X99" s="13">
        <f>SUM(Paper7Coding[[#This Row],[Subject-matter correction]:[Genre/ writing expertise]])</f>
        <v>0</v>
      </c>
      <c r="Y99" s="4">
        <f t="shared" si="53"/>
        <v>0</v>
      </c>
      <c r="Z99" s="4">
        <f t="shared" si="54"/>
        <v>0</v>
      </c>
      <c r="AA99" s="4">
        <f t="shared" si="55"/>
        <v>0</v>
      </c>
      <c r="AB99" s="4">
        <f t="shared" si="56"/>
        <v>0</v>
      </c>
      <c r="AC99" s="4">
        <f t="shared" si="57"/>
        <v>0</v>
      </c>
      <c r="AD99" s="4">
        <f t="shared" si="58"/>
        <v>0</v>
      </c>
      <c r="AE99" s="4">
        <f t="shared" si="59"/>
        <v>1</v>
      </c>
    </row>
    <row r="100" spans="1:31" ht="60" customHeight="1" x14ac:dyDescent="0.2">
      <c r="A100" s="3" t="s">
        <v>704</v>
      </c>
      <c r="B100" s="4">
        <v>99</v>
      </c>
      <c r="C100" s="3" t="s">
        <v>35</v>
      </c>
      <c r="D100" s="3" t="s">
        <v>705</v>
      </c>
      <c r="E100" s="3" t="s">
        <v>28</v>
      </c>
      <c r="F100" s="3" t="s">
        <v>14</v>
      </c>
      <c r="G100" s="3" t="s">
        <v>15</v>
      </c>
      <c r="H100" s="3" t="s">
        <v>193</v>
      </c>
      <c r="I100" s="3" t="s">
        <v>706</v>
      </c>
      <c r="J100" s="3" t="s">
        <v>707</v>
      </c>
      <c r="K100" s="3" t="s">
        <v>708</v>
      </c>
      <c r="L100" s="3" t="s">
        <v>709</v>
      </c>
      <c r="M100" s="3"/>
      <c r="N100" s="3" t="s">
        <v>72</v>
      </c>
      <c r="O100" s="3"/>
      <c r="P100" s="4">
        <f t="shared" si="45"/>
        <v>0</v>
      </c>
      <c r="Q100" s="4">
        <f t="shared" si="46"/>
        <v>1</v>
      </c>
      <c r="R100" s="4">
        <f t="shared" si="47"/>
        <v>0</v>
      </c>
      <c r="S100" s="4">
        <f t="shared" si="48"/>
        <v>0</v>
      </c>
      <c r="T100" s="4">
        <f t="shared" si="49"/>
        <v>0</v>
      </c>
      <c r="U100" s="4">
        <f t="shared" si="50"/>
        <v>0</v>
      </c>
      <c r="V100" s="4">
        <f t="shared" si="51"/>
        <v>1</v>
      </c>
      <c r="W100" s="4">
        <f t="shared" si="52"/>
        <v>0</v>
      </c>
      <c r="X100" s="13">
        <f>SUM(Paper7Coding[[#This Row],[Subject-matter correction]:[Genre/ writing expertise]])</f>
        <v>2</v>
      </c>
      <c r="Y100" s="4">
        <f t="shared" si="53"/>
        <v>0</v>
      </c>
      <c r="Z100" s="4">
        <f t="shared" si="54"/>
        <v>0</v>
      </c>
      <c r="AA100" s="4">
        <f t="shared" si="55"/>
        <v>0</v>
      </c>
      <c r="AB100" s="4">
        <f t="shared" si="56"/>
        <v>0</v>
      </c>
      <c r="AC100" s="4">
        <f t="shared" si="57"/>
        <v>1</v>
      </c>
      <c r="AD100" s="4">
        <f t="shared" si="58"/>
        <v>1</v>
      </c>
      <c r="AE100" s="4">
        <f t="shared" si="59"/>
        <v>0</v>
      </c>
    </row>
    <row r="101" spans="1:31" ht="60" customHeight="1" x14ac:dyDescent="0.2">
      <c r="A101" s="3" t="s">
        <v>710</v>
      </c>
      <c r="B101" s="4">
        <v>100</v>
      </c>
      <c r="C101" s="3" t="s">
        <v>35</v>
      </c>
      <c r="D101" s="3" t="s">
        <v>711</v>
      </c>
      <c r="E101" s="3" t="s">
        <v>14</v>
      </c>
      <c r="F101" s="3"/>
      <c r="G101" s="3" t="s">
        <v>15</v>
      </c>
      <c r="H101" s="3" t="s">
        <v>27</v>
      </c>
      <c r="I101" s="3" t="s">
        <v>712</v>
      </c>
      <c r="J101" s="3" t="s">
        <v>713</v>
      </c>
      <c r="K101" s="3" t="s">
        <v>714</v>
      </c>
      <c r="L101" s="3" t="s">
        <v>715</v>
      </c>
      <c r="M101" s="3"/>
      <c r="N101" s="3" t="s">
        <v>72</v>
      </c>
      <c r="O101" s="3"/>
      <c r="P101" s="4">
        <f t="shared" si="45"/>
        <v>0</v>
      </c>
      <c r="Q101" s="4">
        <f t="shared" si="46"/>
        <v>1</v>
      </c>
      <c r="R101" s="4">
        <f t="shared" si="47"/>
        <v>0</v>
      </c>
      <c r="S101" s="4">
        <f t="shared" si="48"/>
        <v>0</v>
      </c>
      <c r="T101" s="4">
        <f t="shared" si="49"/>
        <v>0</v>
      </c>
      <c r="U101" s="4">
        <f t="shared" si="50"/>
        <v>0</v>
      </c>
      <c r="V101" s="4">
        <f t="shared" si="51"/>
        <v>0</v>
      </c>
      <c r="W101" s="4">
        <f t="shared" si="52"/>
        <v>0</v>
      </c>
      <c r="X101" s="13">
        <f>SUM(Paper7Coding[[#This Row],[Subject-matter correction]:[Genre/ writing expertise]])</f>
        <v>1</v>
      </c>
      <c r="Y101" s="4">
        <f t="shared" si="53"/>
        <v>0</v>
      </c>
      <c r="Z101" s="4">
        <f t="shared" si="54"/>
        <v>0</v>
      </c>
      <c r="AA101" s="4">
        <f t="shared" si="55"/>
        <v>0</v>
      </c>
      <c r="AB101" s="4">
        <f t="shared" si="56"/>
        <v>0</v>
      </c>
      <c r="AC101" s="4">
        <f t="shared" si="57"/>
        <v>0</v>
      </c>
      <c r="AD101" s="4">
        <f t="shared" si="58"/>
        <v>1</v>
      </c>
      <c r="AE101" s="4">
        <f t="shared" si="59"/>
        <v>0</v>
      </c>
    </row>
    <row r="102" spans="1:31" ht="60" customHeight="1" x14ac:dyDescent="0.2">
      <c r="A102" s="3" t="s">
        <v>716</v>
      </c>
      <c r="B102" s="4">
        <v>101</v>
      </c>
      <c r="C102" s="3" t="s">
        <v>35</v>
      </c>
      <c r="D102" s="3" t="s">
        <v>717</v>
      </c>
      <c r="E102" s="3" t="s">
        <v>14</v>
      </c>
      <c r="F102" s="3"/>
      <c r="G102" s="3" t="s">
        <v>15</v>
      </c>
      <c r="H102" s="3" t="s">
        <v>29</v>
      </c>
      <c r="I102" s="3" t="s">
        <v>718</v>
      </c>
      <c r="J102" s="3" t="s">
        <v>719</v>
      </c>
      <c r="K102" s="3" t="s">
        <v>720</v>
      </c>
      <c r="L102" s="3" t="s">
        <v>721</v>
      </c>
      <c r="M102" s="3"/>
      <c r="N102" s="3" t="s">
        <v>72</v>
      </c>
      <c r="O102" s="3"/>
      <c r="P102" s="4">
        <f t="shared" si="45"/>
        <v>0</v>
      </c>
      <c r="Q102" s="4">
        <f t="shared" si="46"/>
        <v>1</v>
      </c>
      <c r="R102" s="4">
        <f t="shared" si="47"/>
        <v>0</v>
      </c>
      <c r="S102" s="4">
        <f t="shared" si="48"/>
        <v>0</v>
      </c>
      <c r="T102" s="4">
        <f t="shared" si="49"/>
        <v>0</v>
      </c>
      <c r="U102" s="4">
        <f t="shared" si="50"/>
        <v>0</v>
      </c>
      <c r="V102" s="4">
        <f t="shared" si="51"/>
        <v>0</v>
      </c>
      <c r="W102" s="4">
        <f t="shared" si="52"/>
        <v>0</v>
      </c>
      <c r="X102" s="13">
        <f>SUM(Paper7Coding[[#This Row],[Subject-matter correction]:[Genre/ writing expertise]])</f>
        <v>0</v>
      </c>
      <c r="Y102" s="4">
        <f t="shared" si="53"/>
        <v>0</v>
      </c>
      <c r="Z102" s="4">
        <f t="shared" si="54"/>
        <v>0</v>
      </c>
      <c r="AA102" s="4">
        <f t="shared" si="55"/>
        <v>0</v>
      </c>
      <c r="AB102" s="4">
        <f t="shared" si="56"/>
        <v>0</v>
      </c>
      <c r="AC102" s="4">
        <f t="shared" si="57"/>
        <v>0</v>
      </c>
      <c r="AD102" s="4">
        <f t="shared" si="58"/>
        <v>0</v>
      </c>
      <c r="AE102" s="4">
        <f t="shared" si="59"/>
        <v>1</v>
      </c>
    </row>
    <row r="103" spans="1:31" ht="63.95" customHeight="1" x14ac:dyDescent="0.2">
      <c r="A103" s="3" t="s">
        <v>722</v>
      </c>
      <c r="B103" s="4">
        <v>102</v>
      </c>
      <c r="C103" s="3" t="s">
        <v>35</v>
      </c>
      <c r="D103" s="3" t="s">
        <v>723</v>
      </c>
      <c r="E103" s="3" t="s">
        <v>20</v>
      </c>
      <c r="F103" s="3" t="s">
        <v>14</v>
      </c>
      <c r="G103" s="3" t="s">
        <v>21</v>
      </c>
      <c r="H103" s="3" t="s">
        <v>186</v>
      </c>
      <c r="I103" s="3" t="s">
        <v>724</v>
      </c>
      <c r="J103" s="3" t="s">
        <v>725</v>
      </c>
      <c r="K103" s="3" t="s">
        <v>726</v>
      </c>
      <c r="L103" s="3" t="s">
        <v>727</v>
      </c>
      <c r="M103" s="3"/>
      <c r="N103" s="3" t="s">
        <v>72</v>
      </c>
      <c r="O103" s="3"/>
      <c r="P103" s="4">
        <f t="shared" si="45"/>
        <v>0</v>
      </c>
      <c r="Q103" s="4">
        <f t="shared" si="46"/>
        <v>1</v>
      </c>
      <c r="R103" s="4">
        <f t="shared" si="47"/>
        <v>0</v>
      </c>
      <c r="S103" s="4">
        <f t="shared" si="48"/>
        <v>1</v>
      </c>
      <c r="T103" s="4">
        <f t="shared" si="49"/>
        <v>0</v>
      </c>
      <c r="U103" s="4">
        <f t="shared" si="50"/>
        <v>0</v>
      </c>
      <c r="V103" s="4">
        <f t="shared" si="51"/>
        <v>0</v>
      </c>
      <c r="W103" s="4">
        <f t="shared" si="52"/>
        <v>0</v>
      </c>
      <c r="X103" s="13">
        <f>SUM(Paper7Coding[[#This Row],[Subject-matter correction]:[Genre/ writing expertise]])</f>
        <v>2</v>
      </c>
      <c r="Y103" s="4">
        <f t="shared" si="53"/>
        <v>0</v>
      </c>
      <c r="Z103" s="4">
        <f t="shared" si="54"/>
        <v>1</v>
      </c>
      <c r="AA103" s="4">
        <f t="shared" si="55"/>
        <v>0</v>
      </c>
      <c r="AB103" s="4">
        <f t="shared" si="56"/>
        <v>1</v>
      </c>
      <c r="AC103" s="4">
        <f t="shared" si="57"/>
        <v>0</v>
      </c>
      <c r="AD103" s="4">
        <f t="shared" si="58"/>
        <v>0</v>
      </c>
      <c r="AE103" s="4">
        <f t="shared" si="59"/>
        <v>0</v>
      </c>
    </row>
    <row r="104" spans="1:31" ht="60" customHeight="1" x14ac:dyDescent="0.2">
      <c r="A104" s="3" t="s">
        <v>728</v>
      </c>
      <c r="B104" s="4">
        <v>103</v>
      </c>
      <c r="C104" s="3" t="s">
        <v>35</v>
      </c>
      <c r="D104" s="3" t="s">
        <v>272</v>
      </c>
      <c r="E104" s="3" t="s">
        <v>28</v>
      </c>
      <c r="F104" s="3"/>
      <c r="G104" s="3" t="s">
        <v>15</v>
      </c>
      <c r="H104" s="3" t="s">
        <v>29</v>
      </c>
      <c r="I104" s="3" t="s">
        <v>729</v>
      </c>
      <c r="J104" s="3" t="s">
        <v>730</v>
      </c>
      <c r="K104" s="3" t="s">
        <v>731</v>
      </c>
      <c r="L104" s="3" t="s">
        <v>732</v>
      </c>
      <c r="M104" s="3"/>
      <c r="N104" s="3" t="s">
        <v>72</v>
      </c>
      <c r="O104" s="3"/>
      <c r="P104" s="4">
        <f t="shared" si="45"/>
        <v>0</v>
      </c>
      <c r="Q104" s="4">
        <f t="shared" si="46"/>
        <v>0</v>
      </c>
      <c r="R104" s="4">
        <f t="shared" si="47"/>
        <v>0</v>
      </c>
      <c r="S104" s="4">
        <f t="shared" si="48"/>
        <v>0</v>
      </c>
      <c r="T104" s="4">
        <f t="shared" si="49"/>
        <v>0</v>
      </c>
      <c r="U104" s="4">
        <f t="shared" si="50"/>
        <v>0</v>
      </c>
      <c r="V104" s="4">
        <f t="shared" si="51"/>
        <v>1</v>
      </c>
      <c r="W104" s="4">
        <f t="shared" si="52"/>
        <v>0</v>
      </c>
      <c r="X104" s="13">
        <f>SUM(Paper7Coding[[#This Row],[Subject-matter correction]:[Genre/ writing expertise]])</f>
        <v>0</v>
      </c>
      <c r="Y104" s="4">
        <f t="shared" si="53"/>
        <v>0</v>
      </c>
      <c r="Z104" s="4">
        <f t="shared" si="54"/>
        <v>0</v>
      </c>
      <c r="AA104" s="4">
        <f t="shared" si="55"/>
        <v>0</v>
      </c>
      <c r="AB104" s="4">
        <f t="shared" si="56"/>
        <v>0</v>
      </c>
      <c r="AC104" s="4">
        <f t="shared" si="57"/>
        <v>0</v>
      </c>
      <c r="AD104" s="4">
        <f t="shared" si="58"/>
        <v>0</v>
      </c>
      <c r="AE104" s="4">
        <f t="shared" si="59"/>
        <v>1</v>
      </c>
    </row>
    <row r="105" spans="1:31" ht="60" customHeight="1" x14ac:dyDescent="0.2">
      <c r="A105" s="3" t="s">
        <v>733</v>
      </c>
      <c r="B105" s="4">
        <v>104</v>
      </c>
      <c r="C105" s="3" t="s">
        <v>35</v>
      </c>
      <c r="D105" s="3" t="s">
        <v>734</v>
      </c>
      <c r="E105" s="3" t="s">
        <v>20</v>
      </c>
      <c r="F105" s="3" t="s">
        <v>165</v>
      </c>
      <c r="G105" s="3" t="s">
        <v>21</v>
      </c>
      <c r="H105" s="3" t="s">
        <v>418</v>
      </c>
      <c r="I105" s="3" t="s">
        <v>735</v>
      </c>
      <c r="J105" s="3" t="s">
        <v>736</v>
      </c>
      <c r="K105" s="3" t="s">
        <v>737</v>
      </c>
      <c r="L105" s="3" t="s">
        <v>738</v>
      </c>
      <c r="M105" s="3"/>
      <c r="N105" s="3" t="s">
        <v>72</v>
      </c>
      <c r="O105" s="3" t="s">
        <v>739</v>
      </c>
      <c r="P105" s="4">
        <f t="shared" si="45"/>
        <v>0</v>
      </c>
      <c r="Q105" s="4">
        <f t="shared" si="46"/>
        <v>0</v>
      </c>
      <c r="R105" s="4">
        <f t="shared" si="47"/>
        <v>1</v>
      </c>
      <c r="S105" s="4">
        <f t="shared" si="48"/>
        <v>1</v>
      </c>
      <c r="T105" s="4">
        <f t="shared" si="49"/>
        <v>0</v>
      </c>
      <c r="U105" s="4">
        <f t="shared" si="50"/>
        <v>1</v>
      </c>
      <c r="V105" s="4">
        <f t="shared" si="51"/>
        <v>0</v>
      </c>
      <c r="W105" s="4">
        <f t="shared" si="52"/>
        <v>0</v>
      </c>
      <c r="X105" s="13">
        <f>SUM(Paper7Coding[[#This Row],[Subject-matter correction]:[Genre/ writing expertise]])</f>
        <v>2</v>
      </c>
      <c r="Y105" s="4">
        <f t="shared" si="53"/>
        <v>0</v>
      </c>
      <c r="Z105" s="4">
        <f t="shared" si="54"/>
        <v>0</v>
      </c>
      <c r="AA105" s="4">
        <f t="shared" si="55"/>
        <v>1</v>
      </c>
      <c r="AB105" s="4">
        <f t="shared" si="56"/>
        <v>1</v>
      </c>
      <c r="AC105" s="4">
        <f t="shared" si="57"/>
        <v>0</v>
      </c>
      <c r="AD105" s="4">
        <f t="shared" si="58"/>
        <v>0</v>
      </c>
      <c r="AE105" s="4">
        <f t="shared" si="59"/>
        <v>0</v>
      </c>
    </row>
    <row r="106" spans="1:31" ht="92.1" customHeight="1" x14ac:dyDescent="0.2">
      <c r="A106" s="3" t="s">
        <v>740</v>
      </c>
      <c r="B106" s="4">
        <v>105</v>
      </c>
      <c r="C106" s="3" t="s">
        <v>35</v>
      </c>
      <c r="D106" s="3" t="s">
        <v>741</v>
      </c>
      <c r="E106" s="3" t="s">
        <v>20</v>
      </c>
      <c r="F106" s="3" t="s">
        <v>17</v>
      </c>
      <c r="G106" s="3" t="s">
        <v>21</v>
      </c>
      <c r="H106" s="3" t="s">
        <v>19</v>
      </c>
      <c r="I106" s="3" t="s">
        <v>742</v>
      </c>
      <c r="J106" s="3" t="s">
        <v>743</v>
      </c>
      <c r="K106" s="3" t="s">
        <v>744</v>
      </c>
      <c r="L106" s="3" t="s">
        <v>745</v>
      </c>
      <c r="M106" s="3"/>
      <c r="N106" s="3" t="s">
        <v>72</v>
      </c>
      <c r="O106" s="3" t="s">
        <v>746</v>
      </c>
      <c r="P106" s="4">
        <f t="shared" si="45"/>
        <v>0</v>
      </c>
      <c r="Q106" s="4">
        <f t="shared" si="46"/>
        <v>0</v>
      </c>
      <c r="R106" s="4">
        <f t="shared" si="47"/>
        <v>1</v>
      </c>
      <c r="S106" s="4">
        <f t="shared" si="48"/>
        <v>1</v>
      </c>
      <c r="T106" s="4">
        <f t="shared" si="49"/>
        <v>0</v>
      </c>
      <c r="U106" s="4">
        <f t="shared" si="50"/>
        <v>0</v>
      </c>
      <c r="V106" s="4">
        <f t="shared" si="51"/>
        <v>0</v>
      </c>
      <c r="W106" s="4">
        <f t="shared" si="52"/>
        <v>0</v>
      </c>
      <c r="X106" s="13">
        <f>SUM(Paper7Coding[[#This Row],[Subject-matter correction]:[Genre/ writing expertise]])</f>
        <v>1</v>
      </c>
      <c r="Y106" s="4">
        <f t="shared" si="53"/>
        <v>0</v>
      </c>
      <c r="Z106" s="4">
        <f t="shared" si="54"/>
        <v>0</v>
      </c>
      <c r="AA106" s="4">
        <f t="shared" si="55"/>
        <v>1</v>
      </c>
      <c r="AB106" s="4">
        <f t="shared" si="56"/>
        <v>0</v>
      </c>
      <c r="AC106" s="4">
        <f t="shared" si="57"/>
        <v>0</v>
      </c>
      <c r="AD106" s="4">
        <f t="shared" si="58"/>
        <v>0</v>
      </c>
      <c r="AE106" s="4">
        <f t="shared" si="59"/>
        <v>0</v>
      </c>
    </row>
    <row r="107" spans="1:31" ht="60" customHeight="1" x14ac:dyDescent="0.2">
      <c r="A107" s="3" t="s">
        <v>747</v>
      </c>
      <c r="B107" s="4">
        <v>106</v>
      </c>
      <c r="C107" s="3" t="s">
        <v>35</v>
      </c>
      <c r="D107" s="3" t="s">
        <v>748</v>
      </c>
      <c r="E107" s="3" t="s">
        <v>11</v>
      </c>
      <c r="F107" s="3"/>
      <c r="G107" s="3" t="s">
        <v>12</v>
      </c>
      <c r="H107" s="3" t="s">
        <v>29</v>
      </c>
      <c r="I107" s="3" t="s">
        <v>749</v>
      </c>
      <c r="J107" s="3" t="s">
        <v>750</v>
      </c>
      <c r="K107" s="3" t="s">
        <v>751</v>
      </c>
      <c r="L107" s="3" t="s">
        <v>752</v>
      </c>
      <c r="M107" s="3"/>
      <c r="N107" s="3" t="s">
        <v>72</v>
      </c>
      <c r="O107" s="3"/>
      <c r="P107" s="4">
        <f t="shared" si="45"/>
        <v>1</v>
      </c>
      <c r="Q107" s="4">
        <f t="shared" si="46"/>
        <v>0</v>
      </c>
      <c r="R107" s="4">
        <f t="shared" si="47"/>
        <v>0</v>
      </c>
      <c r="S107" s="4">
        <f t="shared" si="48"/>
        <v>0</v>
      </c>
      <c r="T107" s="4">
        <f t="shared" si="49"/>
        <v>0</v>
      </c>
      <c r="U107" s="4">
        <f t="shared" si="50"/>
        <v>0</v>
      </c>
      <c r="V107" s="4">
        <f t="shared" si="51"/>
        <v>0</v>
      </c>
      <c r="W107" s="4">
        <f t="shared" si="52"/>
        <v>0</v>
      </c>
      <c r="X107" s="13">
        <f>SUM(Paper7Coding[[#This Row],[Subject-matter correction]:[Genre/ writing expertise]])</f>
        <v>0</v>
      </c>
      <c r="Y107" s="4">
        <f t="shared" si="53"/>
        <v>0</v>
      </c>
      <c r="Z107" s="4">
        <f t="shared" si="54"/>
        <v>0</v>
      </c>
      <c r="AA107" s="4">
        <f t="shared" si="55"/>
        <v>0</v>
      </c>
      <c r="AB107" s="4">
        <f t="shared" si="56"/>
        <v>0</v>
      </c>
      <c r="AC107" s="4">
        <f t="shared" si="57"/>
        <v>0</v>
      </c>
      <c r="AD107" s="4">
        <f t="shared" si="58"/>
        <v>0</v>
      </c>
      <c r="AE107" s="4">
        <f t="shared" si="59"/>
        <v>1</v>
      </c>
    </row>
    <row r="108" spans="1:31" ht="60" customHeight="1" x14ac:dyDescent="0.2">
      <c r="A108" s="3" t="s">
        <v>753</v>
      </c>
      <c r="B108" s="4">
        <v>107</v>
      </c>
      <c r="C108" s="3" t="s">
        <v>35</v>
      </c>
      <c r="D108" s="3" t="s">
        <v>754</v>
      </c>
      <c r="E108" s="3" t="s">
        <v>30</v>
      </c>
      <c r="F108" s="3" t="s">
        <v>557</v>
      </c>
      <c r="G108" s="3" t="s">
        <v>24</v>
      </c>
      <c r="H108" s="3" t="s">
        <v>186</v>
      </c>
      <c r="I108" s="3" t="s">
        <v>755</v>
      </c>
      <c r="J108" s="3" t="s">
        <v>756</v>
      </c>
      <c r="K108" s="3" t="s">
        <v>757</v>
      </c>
      <c r="L108" s="3" t="s">
        <v>758</v>
      </c>
      <c r="M108" s="3"/>
      <c r="N108" s="3" t="s">
        <v>72</v>
      </c>
      <c r="O108" s="3"/>
      <c r="P108" s="4">
        <f t="shared" si="45"/>
        <v>0</v>
      </c>
      <c r="Q108" s="4">
        <f t="shared" si="46"/>
        <v>0</v>
      </c>
      <c r="R108" s="4">
        <f t="shared" si="47"/>
        <v>1</v>
      </c>
      <c r="S108" s="4">
        <f t="shared" si="48"/>
        <v>1</v>
      </c>
      <c r="T108" s="4">
        <f t="shared" si="49"/>
        <v>0</v>
      </c>
      <c r="U108" s="4">
        <f t="shared" si="50"/>
        <v>0</v>
      </c>
      <c r="V108" s="4">
        <f t="shared" si="51"/>
        <v>0</v>
      </c>
      <c r="W108" s="4">
        <f t="shared" si="52"/>
        <v>1</v>
      </c>
      <c r="X108" s="13">
        <f>SUM(Paper7Coding[[#This Row],[Subject-matter correction]:[Genre/ writing expertise]])</f>
        <v>2</v>
      </c>
      <c r="Y108" s="4">
        <f t="shared" si="53"/>
        <v>0</v>
      </c>
      <c r="Z108" s="4">
        <f t="shared" si="54"/>
        <v>1</v>
      </c>
      <c r="AA108" s="4">
        <f t="shared" si="55"/>
        <v>0</v>
      </c>
      <c r="AB108" s="4">
        <f t="shared" si="56"/>
        <v>1</v>
      </c>
      <c r="AC108" s="4">
        <f t="shared" si="57"/>
        <v>0</v>
      </c>
      <c r="AD108" s="4">
        <f t="shared" si="58"/>
        <v>0</v>
      </c>
      <c r="AE108" s="4">
        <f t="shared" si="59"/>
        <v>0</v>
      </c>
    </row>
    <row r="109" spans="1:31" ht="60" customHeight="1" x14ac:dyDescent="0.2">
      <c r="A109" s="3" t="s">
        <v>759</v>
      </c>
      <c r="B109" s="4">
        <v>108</v>
      </c>
      <c r="C109" s="3" t="s">
        <v>35</v>
      </c>
      <c r="D109" s="3" t="s">
        <v>496</v>
      </c>
      <c r="E109" s="3" t="s">
        <v>28</v>
      </c>
      <c r="F109" s="3"/>
      <c r="G109" s="3" t="s">
        <v>15</v>
      </c>
      <c r="H109" s="3" t="s">
        <v>29</v>
      </c>
      <c r="I109" s="3" t="s">
        <v>760</v>
      </c>
      <c r="J109" s="3" t="s">
        <v>761</v>
      </c>
      <c r="K109" s="3" t="s">
        <v>762</v>
      </c>
      <c r="L109" s="3" t="s">
        <v>763</v>
      </c>
      <c r="M109" s="3"/>
      <c r="N109" s="3" t="s">
        <v>72</v>
      </c>
      <c r="O109" s="3"/>
      <c r="P109" s="4">
        <f t="shared" si="45"/>
        <v>0</v>
      </c>
      <c r="Q109" s="4">
        <f t="shared" si="46"/>
        <v>0</v>
      </c>
      <c r="R109" s="4">
        <f t="shared" si="47"/>
        <v>0</v>
      </c>
      <c r="S109" s="4">
        <f t="shared" si="48"/>
        <v>0</v>
      </c>
      <c r="T109" s="4">
        <f t="shared" si="49"/>
        <v>0</v>
      </c>
      <c r="U109" s="4">
        <f t="shared" si="50"/>
        <v>0</v>
      </c>
      <c r="V109" s="4">
        <f t="shared" si="51"/>
        <v>1</v>
      </c>
      <c r="W109" s="4">
        <f t="shared" si="52"/>
        <v>0</v>
      </c>
      <c r="X109" s="13">
        <f>SUM(Paper7Coding[[#This Row],[Subject-matter correction]:[Genre/ writing expertise]])</f>
        <v>0</v>
      </c>
      <c r="Y109" s="4">
        <f t="shared" si="53"/>
        <v>0</v>
      </c>
      <c r="Z109" s="4">
        <f t="shared" si="54"/>
        <v>0</v>
      </c>
      <c r="AA109" s="4">
        <f t="shared" si="55"/>
        <v>0</v>
      </c>
      <c r="AB109" s="4">
        <f t="shared" si="56"/>
        <v>0</v>
      </c>
      <c r="AC109" s="4">
        <f t="shared" si="57"/>
        <v>0</v>
      </c>
      <c r="AD109" s="4">
        <f t="shared" si="58"/>
        <v>0</v>
      </c>
      <c r="AE109" s="4">
        <f t="shared" si="59"/>
        <v>1</v>
      </c>
    </row>
    <row r="110" spans="1:31" ht="60" customHeight="1" x14ac:dyDescent="0.2">
      <c r="A110" s="3" t="s">
        <v>764</v>
      </c>
      <c r="B110" s="4">
        <v>109</v>
      </c>
      <c r="C110" s="3" t="s">
        <v>35</v>
      </c>
      <c r="D110" s="3" t="s">
        <v>765</v>
      </c>
      <c r="E110" s="3" t="s">
        <v>28</v>
      </c>
      <c r="F110" s="3"/>
      <c r="G110" s="3" t="s">
        <v>15</v>
      </c>
      <c r="H110" s="3" t="s">
        <v>29</v>
      </c>
      <c r="I110" s="3" t="s">
        <v>766</v>
      </c>
      <c r="J110" s="3" t="s">
        <v>767</v>
      </c>
      <c r="K110" s="3" t="s">
        <v>768</v>
      </c>
      <c r="L110" s="3" t="s">
        <v>769</v>
      </c>
      <c r="M110" s="3"/>
      <c r="N110" s="3" t="s">
        <v>72</v>
      </c>
      <c r="O110" s="3"/>
      <c r="P110" s="4">
        <f t="shared" si="45"/>
        <v>0</v>
      </c>
      <c r="Q110" s="4">
        <f t="shared" si="46"/>
        <v>0</v>
      </c>
      <c r="R110" s="4">
        <f t="shared" si="47"/>
        <v>0</v>
      </c>
      <c r="S110" s="4">
        <f t="shared" si="48"/>
        <v>0</v>
      </c>
      <c r="T110" s="4">
        <f t="shared" si="49"/>
        <v>0</v>
      </c>
      <c r="U110" s="4">
        <f t="shared" si="50"/>
        <v>0</v>
      </c>
      <c r="V110" s="4">
        <f t="shared" si="51"/>
        <v>1</v>
      </c>
      <c r="W110" s="4">
        <f t="shared" si="52"/>
        <v>0</v>
      </c>
      <c r="X110" s="13">
        <f>SUM(Paper7Coding[[#This Row],[Subject-matter correction]:[Genre/ writing expertise]])</f>
        <v>0</v>
      </c>
      <c r="Y110" s="4">
        <f t="shared" si="53"/>
        <v>0</v>
      </c>
      <c r="Z110" s="4">
        <f t="shared" si="54"/>
        <v>0</v>
      </c>
      <c r="AA110" s="4">
        <f t="shared" si="55"/>
        <v>0</v>
      </c>
      <c r="AB110" s="4">
        <f t="shared" si="56"/>
        <v>0</v>
      </c>
      <c r="AC110" s="4">
        <f t="shared" si="57"/>
        <v>0</v>
      </c>
      <c r="AD110" s="4">
        <f t="shared" si="58"/>
        <v>0</v>
      </c>
      <c r="AE110" s="4">
        <f t="shared" si="59"/>
        <v>1</v>
      </c>
    </row>
    <row r="111" spans="1:31" ht="60" customHeight="1" x14ac:dyDescent="0.2">
      <c r="A111" s="3" t="s">
        <v>770</v>
      </c>
      <c r="B111" s="4">
        <v>110</v>
      </c>
      <c r="C111" s="3" t="s">
        <v>35</v>
      </c>
      <c r="D111" s="3" t="s">
        <v>765</v>
      </c>
      <c r="E111" s="3" t="s">
        <v>28</v>
      </c>
      <c r="F111" s="3"/>
      <c r="G111" s="3" t="s">
        <v>15</v>
      </c>
      <c r="H111" s="3" t="s">
        <v>29</v>
      </c>
      <c r="I111" s="3" t="s">
        <v>771</v>
      </c>
      <c r="J111" s="3" t="s">
        <v>772</v>
      </c>
      <c r="K111" s="3" t="s">
        <v>773</v>
      </c>
      <c r="L111" s="3" t="s">
        <v>774</v>
      </c>
      <c r="M111" s="3"/>
      <c r="N111" s="3" t="s">
        <v>72</v>
      </c>
      <c r="O111" s="3"/>
      <c r="P111" s="4">
        <f t="shared" si="45"/>
        <v>0</v>
      </c>
      <c r="Q111" s="4">
        <f t="shared" si="46"/>
        <v>0</v>
      </c>
      <c r="R111" s="4">
        <f t="shared" si="47"/>
        <v>0</v>
      </c>
      <c r="S111" s="4">
        <f t="shared" si="48"/>
        <v>0</v>
      </c>
      <c r="T111" s="4">
        <f t="shared" si="49"/>
        <v>0</v>
      </c>
      <c r="U111" s="4">
        <f t="shared" si="50"/>
        <v>0</v>
      </c>
      <c r="V111" s="4">
        <f t="shared" si="51"/>
        <v>1</v>
      </c>
      <c r="W111" s="4">
        <f t="shared" si="52"/>
        <v>0</v>
      </c>
      <c r="X111" s="13">
        <f>SUM(Paper7Coding[[#This Row],[Subject-matter correction]:[Genre/ writing expertise]])</f>
        <v>0</v>
      </c>
      <c r="Y111" s="4">
        <f t="shared" si="53"/>
        <v>0</v>
      </c>
      <c r="Z111" s="4">
        <f t="shared" si="54"/>
        <v>0</v>
      </c>
      <c r="AA111" s="4">
        <f t="shared" si="55"/>
        <v>0</v>
      </c>
      <c r="AB111" s="4">
        <f t="shared" si="56"/>
        <v>0</v>
      </c>
      <c r="AC111" s="4">
        <f t="shared" si="57"/>
        <v>0</v>
      </c>
      <c r="AD111" s="4">
        <f t="shared" si="58"/>
        <v>0</v>
      </c>
      <c r="AE111" s="4">
        <f t="shared" si="59"/>
        <v>1</v>
      </c>
    </row>
    <row r="112" spans="1:31" ht="60" customHeight="1" x14ac:dyDescent="0.2">
      <c r="A112" s="3" t="s">
        <v>775</v>
      </c>
      <c r="B112" s="4">
        <v>111</v>
      </c>
      <c r="C112" s="3" t="s">
        <v>35</v>
      </c>
      <c r="D112" s="3" t="s">
        <v>765</v>
      </c>
      <c r="E112" s="3" t="s">
        <v>28</v>
      </c>
      <c r="F112" s="3"/>
      <c r="G112" s="3" t="s">
        <v>15</v>
      </c>
      <c r="H112" s="3" t="s">
        <v>29</v>
      </c>
      <c r="I112" s="3" t="s">
        <v>776</v>
      </c>
      <c r="J112" s="3" t="s">
        <v>777</v>
      </c>
      <c r="K112" s="3" t="s">
        <v>778</v>
      </c>
      <c r="L112" s="3" t="s">
        <v>779</v>
      </c>
      <c r="M112" s="3"/>
      <c r="N112" s="3" t="s">
        <v>72</v>
      </c>
      <c r="O112" s="3"/>
      <c r="P112" s="4">
        <f t="shared" si="45"/>
        <v>0</v>
      </c>
      <c r="Q112" s="4">
        <f t="shared" si="46"/>
        <v>0</v>
      </c>
      <c r="R112" s="4">
        <f t="shared" si="47"/>
        <v>0</v>
      </c>
      <c r="S112" s="4">
        <f t="shared" si="48"/>
        <v>0</v>
      </c>
      <c r="T112" s="4">
        <f t="shared" si="49"/>
        <v>0</v>
      </c>
      <c r="U112" s="4">
        <f t="shared" si="50"/>
        <v>0</v>
      </c>
      <c r="V112" s="4">
        <f t="shared" si="51"/>
        <v>1</v>
      </c>
      <c r="W112" s="4">
        <f t="shared" si="52"/>
        <v>0</v>
      </c>
      <c r="X112" s="13">
        <f>SUM(Paper7Coding[[#This Row],[Subject-matter correction]:[Genre/ writing expertise]])</f>
        <v>0</v>
      </c>
      <c r="Y112" s="4">
        <f t="shared" si="53"/>
        <v>0</v>
      </c>
      <c r="Z112" s="4">
        <f t="shared" si="54"/>
        <v>0</v>
      </c>
      <c r="AA112" s="4">
        <f t="shared" si="55"/>
        <v>0</v>
      </c>
      <c r="AB112" s="4">
        <f t="shared" si="56"/>
        <v>0</v>
      </c>
      <c r="AC112" s="4">
        <f t="shared" si="57"/>
        <v>0</v>
      </c>
      <c r="AD112" s="4">
        <f t="shared" si="58"/>
        <v>0</v>
      </c>
      <c r="AE112" s="4">
        <f t="shared" si="59"/>
        <v>1</v>
      </c>
    </row>
    <row r="113" spans="1:31" ht="60" customHeight="1" x14ac:dyDescent="0.2">
      <c r="A113" s="3" t="s">
        <v>780</v>
      </c>
      <c r="B113" s="4">
        <v>112</v>
      </c>
      <c r="C113" s="3" t="s">
        <v>35</v>
      </c>
      <c r="D113" s="3" t="s">
        <v>496</v>
      </c>
      <c r="E113" s="3" t="s">
        <v>28</v>
      </c>
      <c r="F113" s="3"/>
      <c r="G113" s="3" t="s">
        <v>15</v>
      </c>
      <c r="H113" s="3" t="s">
        <v>29</v>
      </c>
      <c r="I113" s="3" t="s">
        <v>781</v>
      </c>
      <c r="J113" s="3" t="s">
        <v>782</v>
      </c>
      <c r="K113" s="3" t="s">
        <v>783</v>
      </c>
      <c r="L113" s="3" t="s">
        <v>784</v>
      </c>
      <c r="M113" s="3"/>
      <c r="N113" s="3" t="s">
        <v>72</v>
      </c>
      <c r="O113" s="3"/>
      <c r="P113" s="4">
        <f t="shared" si="45"/>
        <v>0</v>
      </c>
      <c r="Q113" s="4">
        <f t="shared" si="46"/>
        <v>0</v>
      </c>
      <c r="R113" s="4">
        <f t="shared" si="47"/>
        <v>0</v>
      </c>
      <c r="S113" s="4">
        <f t="shared" si="48"/>
        <v>0</v>
      </c>
      <c r="T113" s="4">
        <f t="shared" si="49"/>
        <v>0</v>
      </c>
      <c r="U113" s="4">
        <f t="shared" si="50"/>
        <v>0</v>
      </c>
      <c r="V113" s="4">
        <f t="shared" si="51"/>
        <v>1</v>
      </c>
      <c r="W113" s="4">
        <f t="shared" si="52"/>
        <v>0</v>
      </c>
      <c r="X113" s="13">
        <f>SUM(Paper7Coding[[#This Row],[Subject-matter correction]:[Genre/ writing expertise]])</f>
        <v>0</v>
      </c>
      <c r="Y113" s="4">
        <f t="shared" si="53"/>
        <v>0</v>
      </c>
      <c r="Z113" s="4">
        <f t="shared" si="54"/>
        <v>0</v>
      </c>
      <c r="AA113" s="4">
        <f t="shared" si="55"/>
        <v>0</v>
      </c>
      <c r="AB113" s="4">
        <f t="shared" si="56"/>
        <v>0</v>
      </c>
      <c r="AC113" s="4">
        <f t="shared" si="57"/>
        <v>0</v>
      </c>
      <c r="AD113" s="4">
        <f t="shared" si="58"/>
        <v>0</v>
      </c>
      <c r="AE113" s="4">
        <f t="shared" si="59"/>
        <v>1</v>
      </c>
    </row>
    <row r="114" spans="1:31" ht="60" customHeight="1" x14ac:dyDescent="0.2">
      <c r="A114" s="3" t="s">
        <v>785</v>
      </c>
      <c r="B114" s="4">
        <v>113</v>
      </c>
      <c r="C114" s="3" t="s">
        <v>35</v>
      </c>
      <c r="D114" s="3" t="s">
        <v>786</v>
      </c>
      <c r="E114" s="3" t="s">
        <v>14</v>
      </c>
      <c r="F114" s="3" t="s">
        <v>26</v>
      </c>
      <c r="G114" s="3" t="s">
        <v>15</v>
      </c>
      <c r="H114" s="3" t="s">
        <v>166</v>
      </c>
      <c r="I114" s="3" t="s">
        <v>787</v>
      </c>
      <c r="J114" s="3" t="s">
        <v>788</v>
      </c>
      <c r="K114" s="3" t="s">
        <v>789</v>
      </c>
      <c r="L114" s="3" t="s">
        <v>790</v>
      </c>
      <c r="M114" s="3"/>
      <c r="N114" s="3" t="s">
        <v>72</v>
      </c>
      <c r="O114" s="3"/>
      <c r="P114" s="4">
        <f t="shared" si="45"/>
        <v>0</v>
      </c>
      <c r="Q114" s="4">
        <f t="shared" si="46"/>
        <v>1</v>
      </c>
      <c r="R114" s="4">
        <f t="shared" si="47"/>
        <v>0</v>
      </c>
      <c r="S114" s="4">
        <f t="shared" si="48"/>
        <v>0</v>
      </c>
      <c r="T114" s="4">
        <f t="shared" si="49"/>
        <v>0</v>
      </c>
      <c r="U114" s="4">
        <f t="shared" si="50"/>
        <v>1</v>
      </c>
      <c r="V114" s="4">
        <f t="shared" si="51"/>
        <v>0</v>
      </c>
      <c r="W114" s="4">
        <f t="shared" si="52"/>
        <v>0</v>
      </c>
      <c r="X114" s="13">
        <f>SUM(Paper7Coding[[#This Row],[Subject-matter correction]:[Genre/ writing expertise]])</f>
        <v>3</v>
      </c>
      <c r="Y114" s="4">
        <f t="shared" si="53"/>
        <v>0</v>
      </c>
      <c r="Z114" s="4">
        <f t="shared" si="54"/>
        <v>1</v>
      </c>
      <c r="AA114" s="4">
        <f t="shared" si="55"/>
        <v>0</v>
      </c>
      <c r="AB114" s="4">
        <f t="shared" si="56"/>
        <v>0</v>
      </c>
      <c r="AC114" s="4">
        <f t="shared" si="57"/>
        <v>1</v>
      </c>
      <c r="AD114" s="4">
        <f t="shared" si="58"/>
        <v>1</v>
      </c>
      <c r="AE114" s="4">
        <f t="shared" si="59"/>
        <v>0</v>
      </c>
    </row>
    <row r="115" spans="1:31" ht="63.95" customHeight="1" x14ac:dyDescent="0.2">
      <c r="A115" s="3" t="s">
        <v>791</v>
      </c>
      <c r="B115" s="4">
        <v>114</v>
      </c>
      <c r="C115" s="3" t="s">
        <v>35</v>
      </c>
      <c r="D115" s="3" t="s">
        <v>792</v>
      </c>
      <c r="E115" s="3" t="s">
        <v>14</v>
      </c>
      <c r="F115" s="3" t="s">
        <v>26</v>
      </c>
      <c r="G115" s="3" t="s">
        <v>15</v>
      </c>
      <c r="H115" s="3" t="s">
        <v>166</v>
      </c>
      <c r="I115" s="3" t="s">
        <v>793</v>
      </c>
      <c r="J115" s="3" t="s">
        <v>794</v>
      </c>
      <c r="K115" s="3" t="s">
        <v>795</v>
      </c>
      <c r="L115" s="3" t="s">
        <v>796</v>
      </c>
      <c r="M115" s="3"/>
      <c r="N115" s="3" t="s">
        <v>72</v>
      </c>
      <c r="O115" s="3"/>
      <c r="P115" s="4">
        <f t="shared" si="45"/>
        <v>0</v>
      </c>
      <c r="Q115" s="4">
        <f t="shared" si="46"/>
        <v>1</v>
      </c>
      <c r="R115" s="4">
        <f t="shared" si="47"/>
        <v>0</v>
      </c>
      <c r="S115" s="4">
        <f t="shared" si="48"/>
        <v>0</v>
      </c>
      <c r="T115" s="4">
        <f t="shared" si="49"/>
        <v>0</v>
      </c>
      <c r="U115" s="4">
        <f t="shared" si="50"/>
        <v>1</v>
      </c>
      <c r="V115" s="4">
        <f t="shared" si="51"/>
        <v>0</v>
      </c>
      <c r="W115" s="4">
        <f t="shared" si="52"/>
        <v>0</v>
      </c>
      <c r="X115" s="13">
        <f>SUM(Paper7Coding[[#This Row],[Subject-matter correction]:[Genre/ writing expertise]])</f>
        <v>3</v>
      </c>
      <c r="Y115" s="4">
        <f t="shared" si="53"/>
        <v>0</v>
      </c>
      <c r="Z115" s="4">
        <f t="shared" si="54"/>
        <v>1</v>
      </c>
      <c r="AA115" s="4">
        <f t="shared" si="55"/>
        <v>0</v>
      </c>
      <c r="AB115" s="4">
        <f t="shared" si="56"/>
        <v>0</v>
      </c>
      <c r="AC115" s="4">
        <f t="shared" si="57"/>
        <v>1</v>
      </c>
      <c r="AD115" s="4">
        <f t="shared" si="58"/>
        <v>1</v>
      </c>
      <c r="AE115" s="4">
        <f t="shared" si="59"/>
        <v>0</v>
      </c>
    </row>
    <row r="116" spans="1:31" ht="60" customHeight="1" x14ac:dyDescent="0.2">
      <c r="A116" s="3" t="s">
        <v>797</v>
      </c>
      <c r="B116" s="4">
        <v>115</v>
      </c>
      <c r="C116" s="3" t="s">
        <v>36</v>
      </c>
      <c r="D116" s="3" t="s">
        <v>798</v>
      </c>
      <c r="E116" s="3" t="s">
        <v>11</v>
      </c>
      <c r="F116" s="3"/>
      <c r="G116" s="3" t="s">
        <v>12</v>
      </c>
      <c r="H116" s="3" t="s">
        <v>29</v>
      </c>
      <c r="I116" s="3" t="s">
        <v>799</v>
      </c>
      <c r="J116" s="3" t="s">
        <v>800</v>
      </c>
      <c r="K116" s="3" t="s">
        <v>801</v>
      </c>
      <c r="L116" s="3" t="s">
        <v>802</v>
      </c>
      <c r="M116" s="3"/>
      <c r="N116" s="3" t="s">
        <v>72</v>
      </c>
      <c r="O116" s="3" t="s">
        <v>803</v>
      </c>
      <c r="P116" s="4">
        <f t="shared" si="45"/>
        <v>1</v>
      </c>
      <c r="Q116" s="4">
        <f t="shared" si="46"/>
        <v>0</v>
      </c>
      <c r="R116" s="4">
        <f t="shared" si="47"/>
        <v>0</v>
      </c>
      <c r="S116" s="4">
        <f t="shared" si="48"/>
        <v>0</v>
      </c>
      <c r="T116" s="4">
        <f t="shared" si="49"/>
        <v>0</v>
      </c>
      <c r="U116" s="4">
        <f t="shared" si="50"/>
        <v>0</v>
      </c>
      <c r="V116" s="4">
        <f t="shared" si="51"/>
        <v>0</v>
      </c>
      <c r="W116" s="4">
        <f t="shared" si="52"/>
        <v>0</v>
      </c>
      <c r="X116" s="13">
        <f>SUM(Paper7Coding[[#This Row],[Subject-matter correction]:[Genre/ writing expertise]])</f>
        <v>0</v>
      </c>
      <c r="Y116" s="4">
        <f t="shared" si="53"/>
        <v>0</v>
      </c>
      <c r="Z116" s="4">
        <f t="shared" si="54"/>
        <v>0</v>
      </c>
      <c r="AA116" s="4">
        <f t="shared" si="55"/>
        <v>0</v>
      </c>
      <c r="AB116" s="4">
        <f t="shared" si="56"/>
        <v>0</v>
      </c>
      <c r="AC116" s="4">
        <f t="shared" si="57"/>
        <v>0</v>
      </c>
      <c r="AD116" s="4">
        <f t="shared" si="58"/>
        <v>0</v>
      </c>
      <c r="AE116" s="4">
        <f t="shared" si="59"/>
        <v>1</v>
      </c>
    </row>
    <row r="117" spans="1:31" ht="92.1" customHeight="1" x14ac:dyDescent="0.2">
      <c r="A117" s="3" t="s">
        <v>804</v>
      </c>
      <c r="B117" s="4">
        <v>116</v>
      </c>
      <c r="C117" s="3" t="s">
        <v>36</v>
      </c>
      <c r="D117" s="3" t="s">
        <v>805</v>
      </c>
      <c r="E117" s="3" t="s">
        <v>14</v>
      </c>
      <c r="F117" s="3" t="s">
        <v>26</v>
      </c>
      <c r="G117" s="3" t="s">
        <v>15</v>
      </c>
      <c r="H117" s="3" t="s">
        <v>27</v>
      </c>
      <c r="I117" s="3" t="s">
        <v>806</v>
      </c>
      <c r="J117" s="3" t="s">
        <v>807</v>
      </c>
      <c r="K117" s="3" t="s">
        <v>808</v>
      </c>
      <c r="L117" s="3" t="s">
        <v>809</v>
      </c>
      <c r="M117" s="3"/>
      <c r="N117" s="3" t="s">
        <v>72</v>
      </c>
      <c r="O117" s="3"/>
      <c r="P117" s="4">
        <f t="shared" si="45"/>
        <v>0</v>
      </c>
      <c r="Q117" s="4">
        <f t="shared" si="46"/>
        <v>1</v>
      </c>
      <c r="R117" s="4">
        <f t="shared" si="47"/>
        <v>0</v>
      </c>
      <c r="S117" s="4">
        <f t="shared" si="48"/>
        <v>0</v>
      </c>
      <c r="T117" s="4">
        <f t="shared" si="49"/>
        <v>0</v>
      </c>
      <c r="U117" s="4">
        <f t="shared" si="50"/>
        <v>1</v>
      </c>
      <c r="V117" s="4">
        <f t="shared" si="51"/>
        <v>0</v>
      </c>
      <c r="W117" s="4">
        <f t="shared" si="52"/>
        <v>0</v>
      </c>
      <c r="X117" s="13">
        <f>SUM(Paper7Coding[[#This Row],[Subject-matter correction]:[Genre/ writing expertise]])</f>
        <v>1</v>
      </c>
      <c r="Y117" s="4">
        <f t="shared" si="53"/>
        <v>0</v>
      </c>
      <c r="Z117" s="4">
        <f t="shared" si="54"/>
        <v>0</v>
      </c>
      <c r="AA117" s="4">
        <f t="shared" si="55"/>
        <v>0</v>
      </c>
      <c r="AB117" s="4">
        <f t="shared" si="56"/>
        <v>0</v>
      </c>
      <c r="AC117" s="4">
        <f t="shared" si="57"/>
        <v>0</v>
      </c>
      <c r="AD117" s="4">
        <f t="shared" si="58"/>
        <v>1</v>
      </c>
      <c r="AE117" s="4">
        <f t="shared" si="59"/>
        <v>0</v>
      </c>
    </row>
    <row r="118" spans="1:31" ht="78" customHeight="1" x14ac:dyDescent="0.2">
      <c r="A118" s="3" t="s">
        <v>810</v>
      </c>
      <c r="B118" s="4">
        <v>117</v>
      </c>
      <c r="C118" s="3" t="s">
        <v>36</v>
      </c>
      <c r="D118" s="3" t="s">
        <v>811</v>
      </c>
      <c r="E118" s="3" t="s">
        <v>23</v>
      </c>
      <c r="F118" s="3" t="s">
        <v>82</v>
      </c>
      <c r="G118" s="3" t="s">
        <v>15</v>
      </c>
      <c r="H118" s="3" t="s">
        <v>27</v>
      </c>
      <c r="I118" s="3" t="s">
        <v>812</v>
      </c>
      <c r="J118" s="3" t="s">
        <v>813</v>
      </c>
      <c r="K118" s="3" t="s">
        <v>814</v>
      </c>
      <c r="L118" s="3" t="s">
        <v>815</v>
      </c>
      <c r="M118" s="3" t="s">
        <v>816</v>
      </c>
      <c r="N118" s="3" t="s">
        <v>72</v>
      </c>
      <c r="O118" s="3" t="s">
        <v>817</v>
      </c>
      <c r="P118" s="4">
        <f t="shared" si="45"/>
        <v>0</v>
      </c>
      <c r="Q118" s="4">
        <f t="shared" si="46"/>
        <v>1</v>
      </c>
      <c r="R118" s="4">
        <f t="shared" si="47"/>
        <v>0</v>
      </c>
      <c r="S118" s="4">
        <f t="shared" si="48"/>
        <v>0</v>
      </c>
      <c r="T118" s="4">
        <f t="shared" si="49"/>
        <v>1</v>
      </c>
      <c r="U118" s="4">
        <f t="shared" si="50"/>
        <v>1</v>
      </c>
      <c r="V118" s="4">
        <f t="shared" si="51"/>
        <v>0</v>
      </c>
      <c r="W118" s="4">
        <f t="shared" si="52"/>
        <v>0</v>
      </c>
      <c r="X118" s="13">
        <f>SUM(Paper7Coding[[#This Row],[Subject-matter correction]:[Genre/ writing expertise]])</f>
        <v>1</v>
      </c>
      <c r="Y118" s="4">
        <f t="shared" si="53"/>
        <v>0</v>
      </c>
      <c r="Z118" s="4">
        <f t="shared" si="54"/>
        <v>0</v>
      </c>
      <c r="AA118" s="4">
        <f t="shared" si="55"/>
        <v>0</v>
      </c>
      <c r="AB118" s="4">
        <f t="shared" si="56"/>
        <v>0</v>
      </c>
      <c r="AC118" s="4">
        <f t="shared" si="57"/>
        <v>0</v>
      </c>
      <c r="AD118" s="4">
        <f t="shared" si="58"/>
        <v>1</v>
      </c>
      <c r="AE118" s="4">
        <f t="shared" si="59"/>
        <v>0</v>
      </c>
    </row>
    <row r="119" spans="1:31" ht="60" customHeight="1" x14ac:dyDescent="0.2">
      <c r="A119" s="3" t="s">
        <v>818</v>
      </c>
      <c r="B119" s="4">
        <v>118</v>
      </c>
      <c r="C119" s="3" t="s">
        <v>36</v>
      </c>
      <c r="D119" s="3" t="s">
        <v>819</v>
      </c>
      <c r="E119" s="3" t="s">
        <v>14</v>
      </c>
      <c r="F119" s="3"/>
      <c r="G119" s="3" t="s">
        <v>15</v>
      </c>
      <c r="H119" s="3" t="s">
        <v>134</v>
      </c>
      <c r="I119" s="3" t="s">
        <v>820</v>
      </c>
      <c r="J119" s="3" t="s">
        <v>821</v>
      </c>
      <c r="K119" s="3" t="s">
        <v>822</v>
      </c>
      <c r="L119" s="3" t="s">
        <v>823</v>
      </c>
      <c r="M119" s="3"/>
      <c r="N119" s="3" t="s">
        <v>72</v>
      </c>
      <c r="O119" s="3"/>
      <c r="P119" s="4">
        <f t="shared" si="45"/>
        <v>0</v>
      </c>
      <c r="Q119" s="4">
        <f t="shared" si="46"/>
        <v>1</v>
      </c>
      <c r="R119" s="4">
        <f t="shared" si="47"/>
        <v>0</v>
      </c>
      <c r="S119" s="4">
        <f t="shared" si="48"/>
        <v>0</v>
      </c>
      <c r="T119" s="4">
        <f t="shared" si="49"/>
        <v>0</v>
      </c>
      <c r="U119" s="4">
        <f t="shared" si="50"/>
        <v>0</v>
      </c>
      <c r="V119" s="4">
        <f t="shared" si="51"/>
        <v>0</v>
      </c>
      <c r="W119" s="4">
        <f t="shared" si="52"/>
        <v>0</v>
      </c>
      <c r="X119" s="13">
        <f>SUM(Paper7Coding[[#This Row],[Subject-matter correction]:[Genre/ writing expertise]])</f>
        <v>2</v>
      </c>
      <c r="Y119" s="4">
        <f t="shared" si="53"/>
        <v>0</v>
      </c>
      <c r="Z119" s="4">
        <f t="shared" si="54"/>
        <v>0</v>
      </c>
      <c r="AA119" s="4">
        <f t="shared" si="55"/>
        <v>0</v>
      </c>
      <c r="AB119" s="4">
        <f t="shared" si="56"/>
        <v>1</v>
      </c>
      <c r="AC119" s="4">
        <f t="shared" si="57"/>
        <v>0</v>
      </c>
      <c r="AD119" s="4">
        <f t="shared" si="58"/>
        <v>1</v>
      </c>
      <c r="AE119" s="4">
        <f t="shared" si="59"/>
        <v>0</v>
      </c>
    </row>
    <row r="120" spans="1:31" ht="63.95" customHeight="1" x14ac:dyDescent="0.2">
      <c r="A120" s="3" t="s">
        <v>824</v>
      </c>
      <c r="B120" s="4">
        <v>119</v>
      </c>
      <c r="C120" s="3" t="s">
        <v>36</v>
      </c>
      <c r="D120" s="3" t="s">
        <v>825</v>
      </c>
      <c r="E120" s="3" t="s">
        <v>14</v>
      </c>
      <c r="F120" s="3" t="s">
        <v>398</v>
      </c>
      <c r="G120" s="3" t="s">
        <v>15</v>
      </c>
      <c r="H120" s="3" t="s">
        <v>134</v>
      </c>
      <c r="I120" s="3" t="s">
        <v>826</v>
      </c>
      <c r="J120" s="3" t="s">
        <v>827</v>
      </c>
      <c r="K120" s="3" t="s">
        <v>828</v>
      </c>
      <c r="L120" s="3" t="s">
        <v>829</v>
      </c>
      <c r="M120" s="3" t="s">
        <v>210</v>
      </c>
      <c r="N120" s="3" t="s">
        <v>72</v>
      </c>
      <c r="O120" s="3"/>
      <c r="P120" s="4">
        <f t="shared" si="45"/>
        <v>0</v>
      </c>
      <c r="Q120" s="4">
        <f t="shared" si="46"/>
        <v>1</v>
      </c>
      <c r="R120" s="4">
        <f t="shared" si="47"/>
        <v>0</v>
      </c>
      <c r="S120" s="4">
        <f t="shared" si="48"/>
        <v>0</v>
      </c>
      <c r="T120" s="4">
        <f t="shared" si="49"/>
        <v>1</v>
      </c>
      <c r="U120" s="4">
        <f t="shared" si="50"/>
        <v>1</v>
      </c>
      <c r="V120" s="4">
        <f t="shared" si="51"/>
        <v>0</v>
      </c>
      <c r="W120" s="4">
        <f t="shared" si="52"/>
        <v>0</v>
      </c>
      <c r="X120" s="13">
        <f>SUM(Paper7Coding[[#This Row],[Subject-matter correction]:[Genre/ writing expertise]])</f>
        <v>2</v>
      </c>
      <c r="Y120" s="4">
        <f t="shared" si="53"/>
        <v>0</v>
      </c>
      <c r="Z120" s="4">
        <f t="shared" si="54"/>
        <v>0</v>
      </c>
      <c r="AA120" s="4">
        <f t="shared" si="55"/>
        <v>0</v>
      </c>
      <c r="AB120" s="4">
        <f t="shared" si="56"/>
        <v>1</v>
      </c>
      <c r="AC120" s="4">
        <f t="shared" si="57"/>
        <v>0</v>
      </c>
      <c r="AD120" s="4">
        <f t="shared" si="58"/>
        <v>1</v>
      </c>
      <c r="AE120" s="4">
        <f t="shared" si="59"/>
        <v>0</v>
      </c>
    </row>
    <row r="121" spans="1:31" ht="92.1" customHeight="1" x14ac:dyDescent="0.2">
      <c r="A121" s="3" t="s">
        <v>830</v>
      </c>
      <c r="B121" s="4">
        <v>120</v>
      </c>
      <c r="C121" s="3" t="s">
        <v>36</v>
      </c>
      <c r="D121" s="3" t="s">
        <v>831</v>
      </c>
      <c r="E121" s="3" t="s">
        <v>14</v>
      </c>
      <c r="F121" s="3" t="s">
        <v>26</v>
      </c>
      <c r="G121" s="3" t="s">
        <v>15</v>
      </c>
      <c r="H121" s="3" t="s">
        <v>29</v>
      </c>
      <c r="I121" s="3" t="s">
        <v>832</v>
      </c>
      <c r="J121" s="3" t="s">
        <v>833</v>
      </c>
      <c r="K121" s="3" t="s">
        <v>834</v>
      </c>
      <c r="L121" s="3" t="s">
        <v>835</v>
      </c>
      <c r="M121" s="3" t="s">
        <v>816</v>
      </c>
      <c r="N121" s="3" t="s">
        <v>72</v>
      </c>
      <c r="O121" s="3" t="s">
        <v>836</v>
      </c>
      <c r="P121" s="4">
        <f t="shared" si="45"/>
        <v>0</v>
      </c>
      <c r="Q121" s="4">
        <f t="shared" si="46"/>
        <v>1</v>
      </c>
      <c r="R121" s="4">
        <f t="shared" si="47"/>
        <v>0</v>
      </c>
      <c r="S121" s="4">
        <f t="shared" si="48"/>
        <v>0</v>
      </c>
      <c r="T121" s="4">
        <f t="shared" si="49"/>
        <v>0</v>
      </c>
      <c r="U121" s="4">
        <f t="shared" si="50"/>
        <v>1</v>
      </c>
      <c r="V121" s="4">
        <f t="shared" si="51"/>
        <v>0</v>
      </c>
      <c r="W121" s="4">
        <f t="shared" si="52"/>
        <v>0</v>
      </c>
      <c r="X121" s="13">
        <f>SUM(Paper7Coding[[#This Row],[Subject-matter correction]:[Genre/ writing expertise]])</f>
        <v>0</v>
      </c>
      <c r="Y121" s="4">
        <f t="shared" si="53"/>
        <v>0</v>
      </c>
      <c r="Z121" s="4">
        <f t="shared" si="54"/>
        <v>0</v>
      </c>
      <c r="AA121" s="4">
        <f t="shared" si="55"/>
        <v>0</v>
      </c>
      <c r="AB121" s="4">
        <f t="shared" si="56"/>
        <v>0</v>
      </c>
      <c r="AC121" s="4">
        <f t="shared" si="57"/>
        <v>0</v>
      </c>
      <c r="AD121" s="4">
        <f t="shared" si="58"/>
        <v>0</v>
      </c>
      <c r="AE121" s="4">
        <f t="shared" si="59"/>
        <v>1</v>
      </c>
    </row>
    <row r="122" spans="1:31" ht="92.1" customHeight="1" x14ac:dyDescent="0.2">
      <c r="A122" s="3" t="s">
        <v>837</v>
      </c>
      <c r="B122" s="4">
        <v>121</v>
      </c>
      <c r="C122" s="3" t="s">
        <v>36</v>
      </c>
      <c r="D122" s="3" t="s">
        <v>838</v>
      </c>
      <c r="E122" s="3" t="s">
        <v>14</v>
      </c>
      <c r="F122" s="3" t="s">
        <v>26</v>
      </c>
      <c r="G122" s="3" t="s">
        <v>15</v>
      </c>
      <c r="H122" s="3" t="s">
        <v>29</v>
      </c>
      <c r="I122" s="3" t="s">
        <v>839</v>
      </c>
      <c r="J122" s="3" t="s">
        <v>840</v>
      </c>
      <c r="K122" s="3" t="s">
        <v>841</v>
      </c>
      <c r="L122" s="3" t="s">
        <v>842</v>
      </c>
      <c r="M122" s="3" t="s">
        <v>816</v>
      </c>
      <c r="N122" s="3" t="s">
        <v>72</v>
      </c>
      <c r="O122" s="3" t="s">
        <v>843</v>
      </c>
      <c r="P122" s="4">
        <f t="shared" si="45"/>
        <v>0</v>
      </c>
      <c r="Q122" s="4">
        <f t="shared" si="46"/>
        <v>1</v>
      </c>
      <c r="R122" s="4">
        <f t="shared" si="47"/>
        <v>0</v>
      </c>
      <c r="S122" s="4">
        <f t="shared" si="48"/>
        <v>0</v>
      </c>
      <c r="T122" s="4">
        <f t="shared" si="49"/>
        <v>0</v>
      </c>
      <c r="U122" s="4">
        <f t="shared" si="50"/>
        <v>1</v>
      </c>
      <c r="V122" s="4">
        <f t="shared" si="51"/>
        <v>0</v>
      </c>
      <c r="W122" s="4">
        <f t="shared" si="52"/>
        <v>0</v>
      </c>
      <c r="X122" s="13">
        <f>SUM(Paper7Coding[[#This Row],[Subject-matter correction]:[Genre/ writing expertise]])</f>
        <v>0</v>
      </c>
      <c r="Y122" s="4">
        <f t="shared" si="53"/>
        <v>0</v>
      </c>
      <c r="Z122" s="4">
        <f t="shared" si="54"/>
        <v>0</v>
      </c>
      <c r="AA122" s="4">
        <f t="shared" si="55"/>
        <v>0</v>
      </c>
      <c r="AB122" s="4">
        <f t="shared" si="56"/>
        <v>0</v>
      </c>
      <c r="AC122" s="4">
        <f t="shared" si="57"/>
        <v>0</v>
      </c>
      <c r="AD122" s="4">
        <f t="shared" si="58"/>
        <v>0</v>
      </c>
      <c r="AE122" s="4">
        <f t="shared" si="59"/>
        <v>1</v>
      </c>
    </row>
    <row r="123" spans="1:31" ht="92.1" customHeight="1" x14ac:dyDescent="0.2">
      <c r="A123" s="3" t="s">
        <v>844</v>
      </c>
      <c r="B123" s="4">
        <v>122</v>
      </c>
      <c r="C123" s="3" t="s">
        <v>36</v>
      </c>
      <c r="D123" s="3" t="s">
        <v>845</v>
      </c>
      <c r="E123" s="3" t="s">
        <v>20</v>
      </c>
      <c r="F123" s="3" t="s">
        <v>846</v>
      </c>
      <c r="G123" s="3" t="s">
        <v>21</v>
      </c>
      <c r="H123" s="3" t="s">
        <v>847</v>
      </c>
      <c r="I123" s="3" t="s">
        <v>848</v>
      </c>
      <c r="J123" s="3" t="s">
        <v>849</v>
      </c>
      <c r="K123" s="3" t="s">
        <v>850</v>
      </c>
      <c r="L123" s="3" t="s">
        <v>851</v>
      </c>
      <c r="M123" s="3"/>
      <c r="N123" s="3" t="s">
        <v>72</v>
      </c>
      <c r="O123" s="3" t="s">
        <v>852</v>
      </c>
      <c r="P123" s="4">
        <f t="shared" si="45"/>
        <v>0</v>
      </c>
      <c r="Q123" s="4">
        <f t="shared" si="46"/>
        <v>0</v>
      </c>
      <c r="R123" s="4">
        <f t="shared" si="47"/>
        <v>0</v>
      </c>
      <c r="S123" s="4">
        <f t="shared" si="48"/>
        <v>1</v>
      </c>
      <c r="T123" s="4">
        <f t="shared" si="49"/>
        <v>1</v>
      </c>
      <c r="U123" s="4">
        <f t="shared" si="50"/>
        <v>1</v>
      </c>
      <c r="V123" s="4">
        <f t="shared" si="51"/>
        <v>0</v>
      </c>
      <c r="W123" s="4">
        <f t="shared" si="52"/>
        <v>0</v>
      </c>
      <c r="X123" s="13">
        <f>SUM(Paper7Coding[[#This Row],[Subject-matter correction]:[Genre/ writing expertise]])</f>
        <v>4</v>
      </c>
      <c r="Y123" s="4">
        <f t="shared" si="53"/>
        <v>0</v>
      </c>
      <c r="Z123" s="4">
        <f t="shared" si="54"/>
        <v>1</v>
      </c>
      <c r="AA123" s="4">
        <f t="shared" si="55"/>
        <v>1</v>
      </c>
      <c r="AB123" s="4">
        <f t="shared" si="56"/>
        <v>1</v>
      </c>
      <c r="AC123" s="4">
        <f t="shared" si="57"/>
        <v>1</v>
      </c>
      <c r="AD123" s="4">
        <f t="shared" si="58"/>
        <v>0</v>
      </c>
      <c r="AE123" s="4">
        <f t="shared" si="59"/>
        <v>0</v>
      </c>
    </row>
    <row r="124" spans="1:31" ht="78" customHeight="1" x14ac:dyDescent="0.2">
      <c r="A124" s="3" t="s">
        <v>853</v>
      </c>
      <c r="B124" s="4">
        <v>123</v>
      </c>
      <c r="C124" s="3" t="s">
        <v>36</v>
      </c>
      <c r="D124" s="3" t="s">
        <v>854</v>
      </c>
      <c r="E124" s="3" t="s">
        <v>14</v>
      </c>
      <c r="F124" s="3" t="s">
        <v>26</v>
      </c>
      <c r="G124" s="3" t="s">
        <v>15</v>
      </c>
      <c r="H124" s="3" t="s">
        <v>193</v>
      </c>
      <c r="I124" s="3" t="s">
        <v>855</v>
      </c>
      <c r="J124" s="3" t="s">
        <v>856</v>
      </c>
      <c r="K124" s="3" t="s">
        <v>857</v>
      </c>
      <c r="L124" s="3" t="s">
        <v>858</v>
      </c>
      <c r="M124" s="3"/>
      <c r="N124" s="3" t="s">
        <v>72</v>
      </c>
      <c r="O124" s="3"/>
      <c r="P124" s="4">
        <f t="shared" si="45"/>
        <v>0</v>
      </c>
      <c r="Q124" s="4">
        <f t="shared" si="46"/>
        <v>1</v>
      </c>
      <c r="R124" s="4">
        <f t="shared" si="47"/>
        <v>0</v>
      </c>
      <c r="S124" s="4">
        <f t="shared" si="48"/>
        <v>0</v>
      </c>
      <c r="T124" s="4">
        <f t="shared" si="49"/>
        <v>0</v>
      </c>
      <c r="U124" s="4">
        <f t="shared" si="50"/>
        <v>1</v>
      </c>
      <c r="V124" s="4">
        <f t="shared" si="51"/>
        <v>0</v>
      </c>
      <c r="W124" s="4">
        <f t="shared" si="52"/>
        <v>0</v>
      </c>
      <c r="X124" s="13">
        <f>SUM(Paper7Coding[[#This Row],[Subject-matter correction]:[Genre/ writing expertise]])</f>
        <v>2</v>
      </c>
      <c r="Y124" s="4">
        <f t="shared" si="53"/>
        <v>0</v>
      </c>
      <c r="Z124" s="4">
        <f t="shared" si="54"/>
        <v>0</v>
      </c>
      <c r="AA124" s="4">
        <f t="shared" si="55"/>
        <v>0</v>
      </c>
      <c r="AB124" s="4">
        <f t="shared" si="56"/>
        <v>0</v>
      </c>
      <c r="AC124" s="4">
        <f t="shared" si="57"/>
        <v>1</v>
      </c>
      <c r="AD124" s="4">
        <f t="shared" si="58"/>
        <v>1</v>
      </c>
      <c r="AE124" s="4">
        <f t="shared" si="59"/>
        <v>0</v>
      </c>
    </row>
    <row r="125" spans="1:31" ht="92.1" customHeight="1" x14ac:dyDescent="0.2">
      <c r="A125" s="3" t="s">
        <v>859</v>
      </c>
      <c r="B125" s="4">
        <v>124</v>
      </c>
      <c r="C125" s="3" t="s">
        <v>36</v>
      </c>
      <c r="D125" s="3" t="s">
        <v>860</v>
      </c>
      <c r="E125" s="3" t="s">
        <v>20</v>
      </c>
      <c r="F125" s="3" t="s">
        <v>82</v>
      </c>
      <c r="G125" s="3" t="s">
        <v>21</v>
      </c>
      <c r="H125" s="3" t="s">
        <v>193</v>
      </c>
      <c r="I125" s="3" t="s">
        <v>861</v>
      </c>
      <c r="J125" s="3" t="s">
        <v>862</v>
      </c>
      <c r="K125" s="3" t="s">
        <v>863</v>
      </c>
      <c r="L125" s="3" t="s">
        <v>864</v>
      </c>
      <c r="M125" s="3" t="s">
        <v>816</v>
      </c>
      <c r="N125" s="3" t="s">
        <v>72</v>
      </c>
      <c r="O125" s="3"/>
      <c r="P125" s="4">
        <f t="shared" si="45"/>
        <v>0</v>
      </c>
      <c r="Q125" s="4">
        <f t="shared" si="46"/>
        <v>1</v>
      </c>
      <c r="R125" s="4">
        <f t="shared" si="47"/>
        <v>0</v>
      </c>
      <c r="S125" s="4">
        <f t="shared" si="48"/>
        <v>1</v>
      </c>
      <c r="T125" s="4">
        <f t="shared" si="49"/>
        <v>0</v>
      </c>
      <c r="U125" s="4">
        <f t="shared" si="50"/>
        <v>1</v>
      </c>
      <c r="V125" s="4">
        <f t="shared" si="51"/>
        <v>0</v>
      </c>
      <c r="W125" s="4">
        <f t="shared" si="52"/>
        <v>0</v>
      </c>
      <c r="X125" s="13">
        <f>SUM(Paper7Coding[[#This Row],[Subject-matter correction]:[Genre/ writing expertise]])</f>
        <v>2</v>
      </c>
      <c r="Y125" s="4">
        <f t="shared" si="53"/>
        <v>0</v>
      </c>
      <c r="Z125" s="4">
        <f t="shared" si="54"/>
        <v>0</v>
      </c>
      <c r="AA125" s="4">
        <f t="shared" si="55"/>
        <v>0</v>
      </c>
      <c r="AB125" s="4">
        <f t="shared" si="56"/>
        <v>0</v>
      </c>
      <c r="AC125" s="4">
        <f t="shared" si="57"/>
        <v>1</v>
      </c>
      <c r="AD125" s="4">
        <f t="shared" si="58"/>
        <v>1</v>
      </c>
      <c r="AE125" s="4">
        <f t="shared" si="59"/>
        <v>0</v>
      </c>
    </row>
    <row r="126" spans="1:31" ht="92.1" customHeight="1" x14ac:dyDescent="0.2">
      <c r="A126" s="3" t="s">
        <v>865</v>
      </c>
      <c r="B126" s="4">
        <v>125</v>
      </c>
      <c r="C126" s="3" t="s">
        <v>36</v>
      </c>
      <c r="D126" s="3" t="s">
        <v>866</v>
      </c>
      <c r="E126" s="3" t="s">
        <v>26</v>
      </c>
      <c r="F126" s="3" t="s">
        <v>14</v>
      </c>
      <c r="G126" s="3" t="s">
        <v>15</v>
      </c>
      <c r="H126" s="3" t="s">
        <v>867</v>
      </c>
      <c r="I126" s="3" t="s">
        <v>868</v>
      </c>
      <c r="J126" s="3" t="s">
        <v>869</v>
      </c>
      <c r="K126" s="3" t="s">
        <v>870</v>
      </c>
      <c r="L126" s="3" t="s">
        <v>871</v>
      </c>
      <c r="M126" s="3"/>
      <c r="N126" s="3" t="s">
        <v>72</v>
      </c>
      <c r="O126" s="3"/>
      <c r="P126" s="4">
        <f t="shared" si="45"/>
        <v>0</v>
      </c>
      <c r="Q126" s="4">
        <f t="shared" si="46"/>
        <v>1</v>
      </c>
      <c r="R126" s="4">
        <f t="shared" si="47"/>
        <v>0</v>
      </c>
      <c r="S126" s="4">
        <f t="shared" si="48"/>
        <v>0</v>
      </c>
      <c r="T126" s="4">
        <f t="shared" si="49"/>
        <v>0</v>
      </c>
      <c r="U126" s="4">
        <f t="shared" si="50"/>
        <v>1</v>
      </c>
      <c r="V126" s="4">
        <f t="shared" si="51"/>
        <v>0</v>
      </c>
      <c r="W126" s="4">
        <f t="shared" si="52"/>
        <v>0</v>
      </c>
      <c r="X126" s="13">
        <f>SUM(Paper7Coding[[#This Row],[Subject-matter correction]:[Genre/ writing expertise]])</f>
        <v>3</v>
      </c>
      <c r="Y126" s="4">
        <f t="shared" si="53"/>
        <v>0</v>
      </c>
      <c r="Z126" s="4">
        <f t="shared" si="54"/>
        <v>1</v>
      </c>
      <c r="AA126" s="4">
        <f t="shared" si="55"/>
        <v>1</v>
      </c>
      <c r="AB126" s="4">
        <f t="shared" si="56"/>
        <v>0</v>
      </c>
      <c r="AC126" s="4">
        <f t="shared" si="57"/>
        <v>1</v>
      </c>
      <c r="AD126" s="4">
        <f t="shared" si="58"/>
        <v>0</v>
      </c>
      <c r="AE126" s="4">
        <f t="shared" si="59"/>
        <v>0</v>
      </c>
    </row>
    <row r="127" spans="1:31" ht="60" customHeight="1" x14ac:dyDescent="0.2">
      <c r="A127" s="3" t="s">
        <v>872</v>
      </c>
      <c r="B127" s="4">
        <v>126</v>
      </c>
      <c r="C127" s="3" t="s">
        <v>36</v>
      </c>
      <c r="D127" s="3" t="s">
        <v>873</v>
      </c>
      <c r="E127" s="3" t="s">
        <v>20</v>
      </c>
      <c r="F127" s="3" t="s">
        <v>254</v>
      </c>
      <c r="G127" s="3" t="s">
        <v>21</v>
      </c>
      <c r="H127" s="3" t="s">
        <v>27</v>
      </c>
      <c r="I127" s="3" t="s">
        <v>874</v>
      </c>
      <c r="J127" s="3" t="s">
        <v>875</v>
      </c>
      <c r="K127" s="3" t="s">
        <v>876</v>
      </c>
      <c r="L127" s="3" t="s">
        <v>877</v>
      </c>
      <c r="M127" s="3"/>
      <c r="N127" s="3" t="s">
        <v>72</v>
      </c>
      <c r="O127" s="3"/>
      <c r="P127" s="4">
        <f t="shared" si="45"/>
        <v>0</v>
      </c>
      <c r="Q127" s="4">
        <f t="shared" si="46"/>
        <v>1</v>
      </c>
      <c r="R127" s="4">
        <f t="shared" si="47"/>
        <v>0</v>
      </c>
      <c r="S127" s="4">
        <f t="shared" si="48"/>
        <v>1</v>
      </c>
      <c r="T127" s="4">
        <f t="shared" si="49"/>
        <v>1</v>
      </c>
      <c r="U127" s="4">
        <f t="shared" si="50"/>
        <v>0</v>
      </c>
      <c r="V127" s="4">
        <f t="shared" si="51"/>
        <v>0</v>
      </c>
      <c r="W127" s="4">
        <f t="shared" si="52"/>
        <v>0</v>
      </c>
      <c r="X127" s="13">
        <f>SUM(Paper7Coding[[#This Row],[Subject-matter correction]:[Genre/ writing expertise]])</f>
        <v>1</v>
      </c>
      <c r="Y127" s="4">
        <f t="shared" si="53"/>
        <v>0</v>
      </c>
      <c r="Z127" s="4">
        <f t="shared" si="54"/>
        <v>0</v>
      </c>
      <c r="AA127" s="4">
        <f t="shared" si="55"/>
        <v>0</v>
      </c>
      <c r="AB127" s="4">
        <f t="shared" si="56"/>
        <v>0</v>
      </c>
      <c r="AC127" s="4">
        <f t="shared" si="57"/>
        <v>0</v>
      </c>
      <c r="AD127" s="4">
        <f t="shared" si="58"/>
        <v>1</v>
      </c>
      <c r="AE127" s="4">
        <f t="shared" si="59"/>
        <v>0</v>
      </c>
    </row>
    <row r="128" spans="1:31" ht="78" customHeight="1" x14ac:dyDescent="0.2">
      <c r="A128" s="3" t="s">
        <v>878</v>
      </c>
      <c r="B128" s="4">
        <v>127</v>
      </c>
      <c r="C128" s="3" t="s">
        <v>36</v>
      </c>
      <c r="D128" s="3" t="s">
        <v>879</v>
      </c>
      <c r="E128" s="3" t="s">
        <v>14</v>
      </c>
      <c r="F128" s="3" t="s">
        <v>26</v>
      </c>
      <c r="G128" s="3" t="s">
        <v>15</v>
      </c>
      <c r="H128" s="3" t="s">
        <v>880</v>
      </c>
      <c r="I128" s="3" t="s">
        <v>881</v>
      </c>
      <c r="J128" s="3" t="s">
        <v>882</v>
      </c>
      <c r="K128" s="3" t="s">
        <v>883</v>
      </c>
      <c r="L128" s="3" t="s">
        <v>884</v>
      </c>
      <c r="M128" s="3" t="s">
        <v>885</v>
      </c>
      <c r="N128" s="3" t="s">
        <v>72</v>
      </c>
      <c r="O128" s="3" t="s">
        <v>886</v>
      </c>
      <c r="P128" s="4">
        <f t="shared" si="45"/>
        <v>0</v>
      </c>
      <c r="Q128" s="4">
        <f t="shared" si="46"/>
        <v>1</v>
      </c>
      <c r="R128" s="4">
        <f t="shared" si="47"/>
        <v>0</v>
      </c>
      <c r="S128" s="4">
        <f t="shared" si="48"/>
        <v>0</v>
      </c>
      <c r="T128" s="4">
        <f t="shared" si="49"/>
        <v>0</v>
      </c>
      <c r="U128" s="4">
        <f t="shared" si="50"/>
        <v>1</v>
      </c>
      <c r="V128" s="4">
        <f t="shared" si="51"/>
        <v>0</v>
      </c>
      <c r="W128" s="4">
        <f t="shared" si="52"/>
        <v>0</v>
      </c>
      <c r="X128" s="13">
        <f>SUM(Paper7Coding[[#This Row],[Subject-matter correction]:[Genre/ writing expertise]])</f>
        <v>3</v>
      </c>
      <c r="Y128" s="4">
        <f t="shared" si="53"/>
        <v>0</v>
      </c>
      <c r="Z128" s="4">
        <f t="shared" si="54"/>
        <v>0</v>
      </c>
      <c r="AA128" s="4">
        <f t="shared" si="55"/>
        <v>1</v>
      </c>
      <c r="AB128" s="4">
        <f t="shared" si="56"/>
        <v>1</v>
      </c>
      <c r="AC128" s="4">
        <f t="shared" si="57"/>
        <v>1</v>
      </c>
      <c r="AD128" s="4">
        <f t="shared" si="58"/>
        <v>0</v>
      </c>
      <c r="AE128" s="4">
        <f t="shared" si="59"/>
        <v>0</v>
      </c>
    </row>
    <row r="129" spans="1:31" ht="92.1" customHeight="1" x14ac:dyDescent="0.2">
      <c r="A129" s="3" t="s">
        <v>887</v>
      </c>
      <c r="B129" s="4">
        <v>128</v>
      </c>
      <c r="C129" s="3" t="s">
        <v>36</v>
      </c>
      <c r="D129" s="3" t="s">
        <v>888</v>
      </c>
      <c r="E129" s="3" t="s">
        <v>20</v>
      </c>
      <c r="F129" s="3" t="s">
        <v>889</v>
      </c>
      <c r="G129" s="3" t="s">
        <v>21</v>
      </c>
      <c r="H129" s="3" t="s">
        <v>193</v>
      </c>
      <c r="I129" s="3" t="s">
        <v>890</v>
      </c>
      <c r="J129" s="3" t="s">
        <v>891</v>
      </c>
      <c r="K129" s="3" t="s">
        <v>892</v>
      </c>
      <c r="L129" s="3" t="s">
        <v>893</v>
      </c>
      <c r="M129" s="3"/>
      <c r="N129" s="3" t="s">
        <v>72</v>
      </c>
      <c r="O129" s="3"/>
      <c r="P129" s="4">
        <f t="shared" si="45"/>
        <v>0</v>
      </c>
      <c r="Q129" s="4">
        <f t="shared" si="46"/>
        <v>0</v>
      </c>
      <c r="R129" s="4">
        <f t="shared" si="47"/>
        <v>1</v>
      </c>
      <c r="S129" s="4">
        <f t="shared" si="48"/>
        <v>1</v>
      </c>
      <c r="T129" s="4">
        <f t="shared" si="49"/>
        <v>1</v>
      </c>
      <c r="U129" s="4">
        <f t="shared" si="50"/>
        <v>0</v>
      </c>
      <c r="V129" s="4">
        <f t="shared" si="51"/>
        <v>1</v>
      </c>
      <c r="W129" s="4">
        <f t="shared" si="52"/>
        <v>0</v>
      </c>
      <c r="X129" s="13">
        <f>SUM(Paper7Coding[[#This Row],[Subject-matter correction]:[Genre/ writing expertise]])</f>
        <v>2</v>
      </c>
      <c r="Y129" s="4">
        <f t="shared" si="53"/>
        <v>0</v>
      </c>
      <c r="Z129" s="4">
        <f t="shared" si="54"/>
        <v>0</v>
      </c>
      <c r="AA129" s="4">
        <f t="shared" si="55"/>
        <v>0</v>
      </c>
      <c r="AB129" s="4">
        <f t="shared" si="56"/>
        <v>0</v>
      </c>
      <c r="AC129" s="4">
        <f t="shared" si="57"/>
        <v>1</v>
      </c>
      <c r="AD129" s="4">
        <f t="shared" si="58"/>
        <v>1</v>
      </c>
      <c r="AE129" s="4">
        <f t="shared" si="59"/>
        <v>0</v>
      </c>
    </row>
    <row r="130" spans="1:31" ht="78" customHeight="1" x14ac:dyDescent="0.2">
      <c r="A130" s="3" t="s">
        <v>894</v>
      </c>
      <c r="B130" s="4">
        <v>129</v>
      </c>
      <c r="C130" s="3" t="s">
        <v>36</v>
      </c>
      <c r="D130" s="3" t="s">
        <v>895</v>
      </c>
      <c r="E130" s="3" t="s">
        <v>14</v>
      </c>
      <c r="F130" s="3" t="s">
        <v>26</v>
      </c>
      <c r="G130" s="3" t="s">
        <v>15</v>
      </c>
      <c r="H130" s="3" t="s">
        <v>134</v>
      </c>
      <c r="I130" s="3" t="s">
        <v>896</v>
      </c>
      <c r="J130" s="3" t="s">
        <v>897</v>
      </c>
      <c r="K130" s="3" t="s">
        <v>898</v>
      </c>
      <c r="L130" s="3" t="s">
        <v>899</v>
      </c>
      <c r="M130" s="3" t="s">
        <v>885</v>
      </c>
      <c r="N130" s="3" t="s">
        <v>72</v>
      </c>
      <c r="O130" s="3" t="s">
        <v>900</v>
      </c>
      <c r="P130" s="4">
        <f t="shared" si="45"/>
        <v>0</v>
      </c>
      <c r="Q130" s="4">
        <f t="shared" si="46"/>
        <v>1</v>
      </c>
      <c r="R130" s="4">
        <f t="shared" si="47"/>
        <v>0</v>
      </c>
      <c r="S130" s="4">
        <f t="shared" si="48"/>
        <v>0</v>
      </c>
      <c r="T130" s="4">
        <f t="shared" si="49"/>
        <v>0</v>
      </c>
      <c r="U130" s="4">
        <f t="shared" si="50"/>
        <v>1</v>
      </c>
      <c r="V130" s="4">
        <f t="shared" si="51"/>
        <v>0</v>
      </c>
      <c r="W130" s="4">
        <f t="shared" si="52"/>
        <v>0</v>
      </c>
      <c r="X130" s="13">
        <f>SUM(Paper7Coding[[#This Row],[Subject-matter correction]:[Genre/ writing expertise]])</f>
        <v>2</v>
      </c>
      <c r="Y130" s="4">
        <f t="shared" si="53"/>
        <v>0</v>
      </c>
      <c r="Z130" s="4">
        <f t="shared" si="54"/>
        <v>0</v>
      </c>
      <c r="AA130" s="4">
        <f t="shared" si="55"/>
        <v>0</v>
      </c>
      <c r="AB130" s="4">
        <f t="shared" si="56"/>
        <v>1</v>
      </c>
      <c r="AC130" s="4">
        <f t="shared" si="57"/>
        <v>0</v>
      </c>
      <c r="AD130" s="4">
        <f t="shared" si="58"/>
        <v>1</v>
      </c>
      <c r="AE130" s="4">
        <f t="shared" si="59"/>
        <v>0</v>
      </c>
    </row>
    <row r="131" spans="1:31" ht="92.1" customHeight="1" x14ac:dyDescent="0.2">
      <c r="A131" s="3" t="s">
        <v>901</v>
      </c>
      <c r="B131" s="4">
        <v>130</v>
      </c>
      <c r="C131" s="3" t="s">
        <v>36</v>
      </c>
      <c r="D131" s="3" t="s">
        <v>902</v>
      </c>
      <c r="E131" s="3" t="s">
        <v>26</v>
      </c>
      <c r="F131" s="3" t="s">
        <v>254</v>
      </c>
      <c r="G131" s="3" t="s">
        <v>15</v>
      </c>
      <c r="H131" s="3" t="s">
        <v>903</v>
      </c>
      <c r="I131" s="3" t="s">
        <v>904</v>
      </c>
      <c r="J131" s="3" t="s">
        <v>905</v>
      </c>
      <c r="K131" s="3" t="s">
        <v>906</v>
      </c>
      <c r="L131" s="3" t="s">
        <v>907</v>
      </c>
      <c r="M131" s="3"/>
      <c r="N131" s="3" t="s">
        <v>72</v>
      </c>
      <c r="O131" s="3"/>
      <c r="P131" s="4">
        <f t="shared" si="45"/>
        <v>0</v>
      </c>
      <c r="Q131" s="4">
        <f t="shared" si="46"/>
        <v>1</v>
      </c>
      <c r="R131" s="4">
        <f t="shared" si="47"/>
        <v>0</v>
      </c>
      <c r="S131" s="4">
        <f t="shared" si="48"/>
        <v>0</v>
      </c>
      <c r="T131" s="4">
        <f t="shared" si="49"/>
        <v>1</v>
      </c>
      <c r="U131" s="4">
        <f t="shared" si="50"/>
        <v>1</v>
      </c>
      <c r="V131" s="4">
        <f t="shared" si="51"/>
        <v>0</v>
      </c>
      <c r="W131" s="4">
        <f t="shared" si="52"/>
        <v>0</v>
      </c>
      <c r="X131" s="13">
        <f>SUM(Paper7Coding[[#This Row],[Subject-matter correction]:[Genre/ writing expertise]])</f>
        <v>3</v>
      </c>
      <c r="Y131" s="4">
        <f t="shared" si="53"/>
        <v>0</v>
      </c>
      <c r="Z131" s="4">
        <f t="shared" si="54"/>
        <v>0</v>
      </c>
      <c r="AA131" s="4">
        <f t="shared" si="55"/>
        <v>0</v>
      </c>
      <c r="AB131" s="4">
        <f t="shared" si="56"/>
        <v>1</v>
      </c>
      <c r="AC131" s="4">
        <f t="shared" si="57"/>
        <v>1</v>
      </c>
      <c r="AD131" s="4">
        <f t="shared" si="58"/>
        <v>1</v>
      </c>
      <c r="AE131" s="4">
        <f t="shared" si="59"/>
        <v>0</v>
      </c>
    </row>
    <row r="132" spans="1:31" ht="78" customHeight="1" x14ac:dyDescent="0.2">
      <c r="A132" s="3" t="s">
        <v>908</v>
      </c>
      <c r="B132" s="4">
        <v>131</v>
      </c>
      <c r="C132" s="3" t="s">
        <v>36</v>
      </c>
      <c r="D132" s="3" t="s">
        <v>909</v>
      </c>
      <c r="E132" s="3" t="s">
        <v>14</v>
      </c>
      <c r="F132" s="3" t="s">
        <v>26</v>
      </c>
      <c r="G132" s="3" t="s">
        <v>15</v>
      </c>
      <c r="H132" s="3" t="s">
        <v>29</v>
      </c>
      <c r="I132" s="3" t="s">
        <v>910</v>
      </c>
      <c r="J132" s="3" t="s">
        <v>911</v>
      </c>
      <c r="K132" s="3" t="s">
        <v>912</v>
      </c>
      <c r="L132" s="3" t="s">
        <v>913</v>
      </c>
      <c r="M132" s="3" t="s">
        <v>816</v>
      </c>
      <c r="N132" s="3" t="s">
        <v>72</v>
      </c>
      <c r="O132" s="3" t="s">
        <v>914</v>
      </c>
      <c r="P132" s="4">
        <f t="shared" si="45"/>
        <v>0</v>
      </c>
      <c r="Q132" s="4">
        <f t="shared" si="46"/>
        <v>1</v>
      </c>
      <c r="R132" s="4">
        <f t="shared" si="47"/>
        <v>0</v>
      </c>
      <c r="S132" s="4">
        <f t="shared" si="48"/>
        <v>0</v>
      </c>
      <c r="T132" s="4">
        <f t="shared" si="49"/>
        <v>0</v>
      </c>
      <c r="U132" s="4">
        <f t="shared" si="50"/>
        <v>1</v>
      </c>
      <c r="V132" s="4">
        <f t="shared" si="51"/>
        <v>0</v>
      </c>
      <c r="W132" s="4">
        <f t="shared" si="52"/>
        <v>0</v>
      </c>
      <c r="X132" s="13">
        <f>SUM(Paper7Coding[[#This Row],[Subject-matter correction]:[Genre/ writing expertise]])</f>
        <v>0</v>
      </c>
      <c r="Y132" s="4">
        <f t="shared" si="53"/>
        <v>0</v>
      </c>
      <c r="Z132" s="4">
        <f t="shared" si="54"/>
        <v>0</v>
      </c>
      <c r="AA132" s="4">
        <f t="shared" si="55"/>
        <v>0</v>
      </c>
      <c r="AB132" s="4">
        <f t="shared" si="56"/>
        <v>0</v>
      </c>
      <c r="AC132" s="4">
        <f t="shared" si="57"/>
        <v>0</v>
      </c>
      <c r="AD132" s="4">
        <f t="shared" si="58"/>
        <v>0</v>
      </c>
      <c r="AE132" s="4">
        <f t="shared" si="59"/>
        <v>1</v>
      </c>
    </row>
    <row r="133" spans="1:31" ht="78" customHeight="1" x14ac:dyDescent="0.2">
      <c r="A133" s="3" t="s">
        <v>915</v>
      </c>
      <c r="B133" s="4">
        <v>132</v>
      </c>
      <c r="C133" s="3" t="s">
        <v>36</v>
      </c>
      <c r="D133" s="3" t="s">
        <v>916</v>
      </c>
      <c r="E133" s="3" t="s">
        <v>30</v>
      </c>
      <c r="F133" s="3" t="s">
        <v>917</v>
      </c>
      <c r="G133" s="3" t="s">
        <v>24</v>
      </c>
      <c r="H133" s="3" t="s">
        <v>134</v>
      </c>
      <c r="I133" s="3" t="s">
        <v>918</v>
      </c>
      <c r="J133" s="3" t="s">
        <v>919</v>
      </c>
      <c r="K133" s="3" t="s">
        <v>920</v>
      </c>
      <c r="L133" s="3" t="s">
        <v>921</v>
      </c>
      <c r="M133" s="3"/>
      <c r="N133" s="3" t="s">
        <v>72</v>
      </c>
      <c r="O133" s="3" t="s">
        <v>922</v>
      </c>
      <c r="P133" s="4">
        <f t="shared" si="45"/>
        <v>0</v>
      </c>
      <c r="Q133" s="4">
        <f t="shared" si="46"/>
        <v>0</v>
      </c>
      <c r="R133" s="4">
        <f t="shared" si="47"/>
        <v>1</v>
      </c>
      <c r="S133" s="4">
        <f t="shared" si="48"/>
        <v>0</v>
      </c>
      <c r="T133" s="4">
        <f t="shared" si="49"/>
        <v>1</v>
      </c>
      <c r="U133" s="4">
        <f t="shared" si="50"/>
        <v>0</v>
      </c>
      <c r="V133" s="4">
        <f t="shared" si="51"/>
        <v>0</v>
      </c>
      <c r="W133" s="4">
        <f t="shared" si="52"/>
        <v>1</v>
      </c>
      <c r="X133" s="13">
        <f>SUM(Paper7Coding[[#This Row],[Subject-matter correction]:[Genre/ writing expertise]])</f>
        <v>2</v>
      </c>
      <c r="Y133" s="4">
        <f t="shared" si="53"/>
        <v>0</v>
      </c>
      <c r="Z133" s="4">
        <f t="shared" si="54"/>
        <v>0</v>
      </c>
      <c r="AA133" s="4">
        <f t="shared" si="55"/>
        <v>0</v>
      </c>
      <c r="AB133" s="4">
        <f t="shared" si="56"/>
        <v>1</v>
      </c>
      <c r="AC133" s="4">
        <f t="shared" si="57"/>
        <v>0</v>
      </c>
      <c r="AD133" s="4">
        <f t="shared" si="58"/>
        <v>1</v>
      </c>
      <c r="AE133" s="4">
        <f t="shared" si="59"/>
        <v>0</v>
      </c>
    </row>
  </sheetData>
  <conditionalFormatting sqref="N2:N133">
    <cfRule type="containsText" dxfId="0" priority="1" operator="containsText" text="No substantiv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3"/>
  <sheetViews>
    <sheetView showGridLines="0" workbookViewId="0">
      <pane xSplit="2" ySplit="1" topLeftCell="E2" activePane="bottomRight" state="frozen"/>
      <selection pane="topRight"/>
      <selection pane="bottomLeft"/>
      <selection pane="bottomRight" activeCell="E2" sqref="E2"/>
    </sheetView>
  </sheetViews>
  <sheetFormatPr defaultRowHeight="14.25" x14ac:dyDescent="0.2"/>
  <cols>
    <col min="1" max="1" width="17" customWidth="1"/>
    <col min="2" max="2" width="9" customWidth="1"/>
    <col min="3" max="3" width="27" customWidth="1"/>
    <col min="4" max="4" width="55" customWidth="1"/>
    <col min="5" max="7" width="165" customWidth="1"/>
  </cols>
  <sheetData>
    <row r="1" spans="1:7" ht="48" customHeight="1" x14ac:dyDescent="0.2">
      <c r="A1" s="2" t="s">
        <v>52</v>
      </c>
      <c r="B1" s="2" t="s">
        <v>53</v>
      </c>
      <c r="C1" s="2" t="s">
        <v>60</v>
      </c>
      <c r="D1" s="2" t="s">
        <v>62</v>
      </c>
      <c r="E1" s="2" t="s">
        <v>923</v>
      </c>
      <c r="F1" s="2" t="s">
        <v>924</v>
      </c>
      <c r="G1" s="2" t="s">
        <v>925</v>
      </c>
    </row>
    <row r="2" spans="1:7" ht="48" customHeight="1" x14ac:dyDescent="0.2">
      <c r="A2" s="3" t="s">
        <v>65</v>
      </c>
      <c r="B2" s="4">
        <v>1</v>
      </c>
      <c r="C2" s="3" t="s">
        <v>69</v>
      </c>
      <c r="D2" s="3" t="s">
        <v>71</v>
      </c>
      <c r="E2" s="3" t="s">
        <v>926</v>
      </c>
      <c r="F2" s="3"/>
      <c r="G2" s="3"/>
    </row>
    <row r="3" spans="1:7" ht="48" customHeight="1" x14ac:dyDescent="0.2">
      <c r="A3" s="3" t="s">
        <v>74</v>
      </c>
      <c r="B3" s="4">
        <v>2</v>
      </c>
      <c r="C3" s="3" t="s">
        <v>78</v>
      </c>
      <c r="D3" s="3"/>
      <c r="E3" s="3" t="s">
        <v>75</v>
      </c>
      <c r="F3" s="3"/>
      <c r="G3" s="3"/>
    </row>
    <row r="4" spans="1:7" ht="48" customHeight="1" x14ac:dyDescent="0.2">
      <c r="A4" s="3" t="s">
        <v>80</v>
      </c>
      <c r="B4" s="4">
        <v>3</v>
      </c>
      <c r="C4" s="3" t="s">
        <v>86</v>
      </c>
      <c r="D4" s="3"/>
      <c r="E4" s="3" t="s">
        <v>927</v>
      </c>
      <c r="F4" s="3"/>
      <c r="G4" s="3"/>
    </row>
    <row r="5" spans="1:7" ht="48" customHeight="1" x14ac:dyDescent="0.2">
      <c r="A5" s="3" t="s">
        <v>88</v>
      </c>
      <c r="B5" s="4">
        <v>4</v>
      </c>
      <c r="C5" s="3" t="s">
        <v>92</v>
      </c>
      <c r="D5" s="3"/>
      <c r="E5" s="3" t="s">
        <v>928</v>
      </c>
      <c r="F5" s="3"/>
      <c r="G5" s="3"/>
    </row>
    <row r="6" spans="1:7" ht="135" customHeight="1" x14ac:dyDescent="0.2">
      <c r="A6" s="3" t="s">
        <v>94</v>
      </c>
      <c r="B6" s="4">
        <v>5</v>
      </c>
      <c r="C6" s="3" t="s">
        <v>98</v>
      </c>
      <c r="D6" s="3"/>
      <c r="E6" s="3" t="s">
        <v>929</v>
      </c>
      <c r="F6" s="3"/>
      <c r="G6" s="3"/>
    </row>
    <row r="7" spans="1:7" ht="48" customHeight="1" x14ac:dyDescent="0.2">
      <c r="A7" s="3" t="s">
        <v>100</v>
      </c>
      <c r="B7" s="4">
        <v>6</v>
      </c>
      <c r="C7" s="3" t="s">
        <v>104</v>
      </c>
      <c r="D7" s="3"/>
      <c r="E7" s="3" t="s">
        <v>101</v>
      </c>
      <c r="F7" s="3"/>
      <c r="G7" s="3"/>
    </row>
    <row r="8" spans="1:7" ht="48" customHeight="1" x14ac:dyDescent="0.2">
      <c r="A8" s="3" t="s">
        <v>106</v>
      </c>
      <c r="B8" s="4">
        <v>7</v>
      </c>
      <c r="C8" s="3" t="s">
        <v>110</v>
      </c>
      <c r="D8" s="3"/>
      <c r="E8" s="3" t="s">
        <v>107</v>
      </c>
      <c r="F8" s="3"/>
      <c r="G8" s="3"/>
    </row>
    <row r="9" spans="1:7" ht="48" customHeight="1" x14ac:dyDescent="0.2">
      <c r="A9" s="3" t="s">
        <v>112</v>
      </c>
      <c r="B9" s="4">
        <v>8</v>
      </c>
      <c r="C9" s="3" t="s">
        <v>116</v>
      </c>
      <c r="D9" s="3"/>
      <c r="E9" s="3" t="s">
        <v>113</v>
      </c>
      <c r="F9" s="3"/>
      <c r="G9" s="3"/>
    </row>
    <row r="10" spans="1:7" ht="48" customHeight="1" x14ac:dyDescent="0.2">
      <c r="A10" s="3" t="s">
        <v>118</v>
      </c>
      <c r="B10" s="4">
        <v>9</v>
      </c>
      <c r="C10" s="3" t="s">
        <v>122</v>
      </c>
      <c r="D10" s="3"/>
      <c r="E10" s="3" t="s">
        <v>119</v>
      </c>
      <c r="F10" s="3"/>
      <c r="G10" s="3"/>
    </row>
    <row r="11" spans="1:7" ht="48" customHeight="1" x14ac:dyDescent="0.2">
      <c r="A11" s="3" t="s">
        <v>124</v>
      </c>
      <c r="B11" s="4">
        <v>10</v>
      </c>
      <c r="C11" s="3" t="s">
        <v>129</v>
      </c>
      <c r="D11" s="3"/>
      <c r="E11" s="3" t="s">
        <v>125</v>
      </c>
      <c r="F11" s="3"/>
      <c r="G11" s="3"/>
    </row>
    <row r="12" spans="1:7" ht="48" customHeight="1" x14ac:dyDescent="0.2">
      <c r="A12" s="3" t="s">
        <v>131</v>
      </c>
      <c r="B12" s="4">
        <v>11</v>
      </c>
      <c r="C12" s="3" t="s">
        <v>137</v>
      </c>
      <c r="D12" s="3"/>
      <c r="E12" s="3" t="s">
        <v>930</v>
      </c>
      <c r="F12" s="3"/>
      <c r="G12" s="3"/>
    </row>
    <row r="13" spans="1:7" ht="48" customHeight="1" x14ac:dyDescent="0.2">
      <c r="A13" s="3" t="s">
        <v>139</v>
      </c>
      <c r="B13" s="4">
        <v>12</v>
      </c>
      <c r="C13" s="3" t="s">
        <v>143</v>
      </c>
      <c r="D13" s="3"/>
      <c r="E13" s="3" t="s">
        <v>140</v>
      </c>
      <c r="F13" s="3"/>
      <c r="G13" s="3"/>
    </row>
    <row r="14" spans="1:7" ht="48" customHeight="1" x14ac:dyDescent="0.2">
      <c r="A14" s="3" t="s">
        <v>145</v>
      </c>
      <c r="B14" s="4">
        <v>13</v>
      </c>
      <c r="C14" s="3" t="s">
        <v>149</v>
      </c>
      <c r="D14" s="3"/>
      <c r="E14" s="3" t="s">
        <v>931</v>
      </c>
      <c r="F14" s="3"/>
      <c r="G14" s="3"/>
    </row>
    <row r="15" spans="1:7" ht="48" customHeight="1" x14ac:dyDescent="0.2">
      <c r="A15" s="3" t="s">
        <v>151</v>
      </c>
      <c r="B15" s="4">
        <v>14</v>
      </c>
      <c r="C15" s="3" t="s">
        <v>155</v>
      </c>
      <c r="D15" s="3"/>
      <c r="E15" s="3" t="s">
        <v>152</v>
      </c>
      <c r="F15" s="3"/>
      <c r="G15" s="3"/>
    </row>
    <row r="16" spans="1:7" ht="48" customHeight="1" x14ac:dyDescent="0.2">
      <c r="A16" s="3" t="s">
        <v>157</v>
      </c>
      <c r="B16" s="4">
        <v>15</v>
      </c>
      <c r="C16" s="3" t="s">
        <v>161</v>
      </c>
      <c r="D16" s="3"/>
      <c r="E16" s="3" t="s">
        <v>932</v>
      </c>
      <c r="F16" s="3"/>
      <c r="G16" s="3"/>
    </row>
    <row r="17" spans="1:7" ht="48" customHeight="1" x14ac:dyDescent="0.2">
      <c r="A17" s="3" t="s">
        <v>163</v>
      </c>
      <c r="B17" s="4">
        <v>16</v>
      </c>
      <c r="C17" s="3" t="s">
        <v>169</v>
      </c>
      <c r="D17" s="3"/>
      <c r="E17" s="3" t="s">
        <v>933</v>
      </c>
      <c r="F17" s="3"/>
      <c r="G17" s="3"/>
    </row>
    <row r="18" spans="1:7" ht="48" customHeight="1" x14ac:dyDescent="0.2">
      <c r="A18" s="3" t="s">
        <v>171</v>
      </c>
      <c r="B18" s="4">
        <v>17</v>
      </c>
      <c r="C18" s="3" t="s">
        <v>175</v>
      </c>
      <c r="D18" s="3"/>
      <c r="E18" s="3" t="s">
        <v>172</v>
      </c>
      <c r="F18" s="3"/>
      <c r="G18" s="3"/>
    </row>
    <row r="19" spans="1:7" ht="48" customHeight="1" x14ac:dyDescent="0.2">
      <c r="A19" s="3" t="s">
        <v>177</v>
      </c>
      <c r="B19" s="4">
        <v>18</v>
      </c>
      <c r="C19" s="3" t="s">
        <v>182</v>
      </c>
      <c r="D19" s="3"/>
      <c r="E19" s="3" t="s">
        <v>178</v>
      </c>
      <c r="F19" s="3"/>
      <c r="G19" s="3"/>
    </row>
    <row r="20" spans="1:7" ht="48" customHeight="1" x14ac:dyDescent="0.2">
      <c r="A20" s="3" t="s">
        <v>184</v>
      </c>
      <c r="B20" s="4">
        <v>19</v>
      </c>
      <c r="C20" s="3" t="s">
        <v>189</v>
      </c>
      <c r="D20" s="3"/>
      <c r="E20" s="3" t="s">
        <v>185</v>
      </c>
      <c r="F20" s="3"/>
      <c r="G20" s="3"/>
    </row>
    <row r="21" spans="1:7" ht="48" customHeight="1" x14ac:dyDescent="0.2">
      <c r="A21" s="3" t="s">
        <v>191</v>
      </c>
      <c r="B21" s="4">
        <v>20</v>
      </c>
      <c r="C21" s="3" t="s">
        <v>196</v>
      </c>
      <c r="D21" s="3"/>
      <c r="E21" s="3" t="s">
        <v>192</v>
      </c>
      <c r="F21" s="3"/>
      <c r="G21" s="3"/>
    </row>
    <row r="22" spans="1:7" ht="57" customHeight="1" x14ac:dyDescent="0.2">
      <c r="A22" s="3" t="s">
        <v>198</v>
      </c>
      <c r="B22" s="4">
        <v>21</v>
      </c>
      <c r="C22" s="3" t="s">
        <v>202</v>
      </c>
      <c r="D22" s="3"/>
      <c r="E22" s="3" t="s">
        <v>934</v>
      </c>
      <c r="F22" s="3"/>
      <c r="G22" s="3"/>
    </row>
    <row r="23" spans="1:7" ht="108.95" customHeight="1" x14ac:dyDescent="0.2">
      <c r="A23" s="3" t="s">
        <v>204</v>
      </c>
      <c r="B23" s="4">
        <v>22</v>
      </c>
      <c r="C23" s="3" t="s">
        <v>208</v>
      </c>
      <c r="D23" s="3" t="s">
        <v>210</v>
      </c>
      <c r="E23" s="3" t="s">
        <v>935</v>
      </c>
      <c r="F23" s="3"/>
      <c r="G23" s="3"/>
    </row>
    <row r="24" spans="1:7" ht="48" customHeight="1" x14ac:dyDescent="0.2">
      <c r="A24" s="3" t="s">
        <v>211</v>
      </c>
      <c r="B24" s="4">
        <v>23</v>
      </c>
      <c r="C24" s="3" t="s">
        <v>215</v>
      </c>
      <c r="D24" s="3"/>
      <c r="E24" s="3" t="s">
        <v>212</v>
      </c>
      <c r="F24" s="3"/>
      <c r="G24" s="3"/>
    </row>
    <row r="25" spans="1:7" ht="48" customHeight="1" x14ac:dyDescent="0.2">
      <c r="A25" s="3" t="s">
        <v>217</v>
      </c>
      <c r="B25" s="4">
        <v>24</v>
      </c>
      <c r="C25" s="3" t="s">
        <v>221</v>
      </c>
      <c r="D25" s="3"/>
      <c r="E25" s="3" t="s">
        <v>218</v>
      </c>
      <c r="F25" s="3"/>
      <c r="G25" s="3"/>
    </row>
    <row r="26" spans="1:7" ht="147.94999999999999" customHeight="1" x14ac:dyDescent="0.2">
      <c r="A26" s="3" t="s">
        <v>223</v>
      </c>
      <c r="B26" s="4">
        <v>25</v>
      </c>
      <c r="C26" s="3" t="s">
        <v>228</v>
      </c>
      <c r="D26" s="3" t="s">
        <v>210</v>
      </c>
      <c r="E26" s="3" t="s">
        <v>936</v>
      </c>
      <c r="F26" s="3"/>
      <c r="G26" s="3"/>
    </row>
    <row r="27" spans="1:7" ht="48" customHeight="1" x14ac:dyDescent="0.2">
      <c r="A27" s="3" t="s">
        <v>230</v>
      </c>
      <c r="B27" s="4">
        <v>26</v>
      </c>
      <c r="C27" s="3" t="s">
        <v>234</v>
      </c>
      <c r="D27" s="3"/>
      <c r="E27" s="3" t="s">
        <v>231</v>
      </c>
      <c r="F27" s="3"/>
      <c r="G27" s="3"/>
    </row>
    <row r="28" spans="1:7" ht="48" customHeight="1" x14ac:dyDescent="0.2">
      <c r="A28" s="3" t="s">
        <v>236</v>
      </c>
      <c r="B28" s="4">
        <v>27</v>
      </c>
      <c r="C28" s="3" t="s">
        <v>242</v>
      </c>
      <c r="D28" s="3" t="s">
        <v>71</v>
      </c>
      <c r="E28" s="3" t="s">
        <v>937</v>
      </c>
      <c r="F28" s="3"/>
      <c r="G28" s="3"/>
    </row>
    <row r="29" spans="1:7" ht="57" customHeight="1" x14ac:dyDescent="0.2">
      <c r="A29" s="3" t="s">
        <v>245</v>
      </c>
      <c r="B29" s="4">
        <v>28</v>
      </c>
      <c r="C29" s="3" t="s">
        <v>250</v>
      </c>
      <c r="D29" s="3"/>
      <c r="E29" s="3" t="s">
        <v>938</v>
      </c>
      <c r="F29" s="3"/>
      <c r="G29" s="3"/>
    </row>
    <row r="30" spans="1:7" ht="48" customHeight="1" x14ac:dyDescent="0.2">
      <c r="A30" s="3" t="s">
        <v>252</v>
      </c>
      <c r="B30" s="4">
        <v>29</v>
      </c>
      <c r="C30" s="3" t="s">
        <v>257</v>
      </c>
      <c r="D30" s="3"/>
      <c r="E30" s="3" t="s">
        <v>939</v>
      </c>
      <c r="F30" s="3"/>
      <c r="G30" s="3"/>
    </row>
    <row r="31" spans="1:7" ht="48" customHeight="1" x14ac:dyDescent="0.2">
      <c r="A31" s="3" t="s">
        <v>259</v>
      </c>
      <c r="B31" s="4">
        <v>30</v>
      </c>
      <c r="C31" s="3" t="s">
        <v>263</v>
      </c>
      <c r="D31" s="3"/>
      <c r="E31" s="3" t="s">
        <v>260</v>
      </c>
      <c r="F31" s="3"/>
      <c r="G31" s="3"/>
    </row>
    <row r="32" spans="1:7" ht="48" customHeight="1" x14ac:dyDescent="0.2">
      <c r="A32" s="3" t="s">
        <v>265</v>
      </c>
      <c r="B32" s="4">
        <v>31</v>
      </c>
      <c r="C32" s="3" t="s">
        <v>269</v>
      </c>
      <c r="D32" s="3"/>
      <c r="E32" s="3" t="s">
        <v>940</v>
      </c>
      <c r="F32" s="3"/>
      <c r="G32" s="3"/>
    </row>
    <row r="33" spans="1:7" ht="48" customHeight="1" x14ac:dyDescent="0.2">
      <c r="A33" s="3" t="s">
        <v>271</v>
      </c>
      <c r="B33" s="4">
        <v>32</v>
      </c>
      <c r="C33" s="3" t="s">
        <v>275</v>
      </c>
      <c r="D33" s="3"/>
      <c r="E33" s="3" t="s">
        <v>272</v>
      </c>
      <c r="F33" s="3"/>
      <c r="G33" s="3"/>
    </row>
    <row r="34" spans="1:7" ht="48" customHeight="1" x14ac:dyDescent="0.2">
      <c r="A34" s="3" t="s">
        <v>277</v>
      </c>
      <c r="B34" s="4">
        <v>33</v>
      </c>
      <c r="C34" s="3" t="s">
        <v>281</v>
      </c>
      <c r="D34" s="3"/>
      <c r="E34" s="3" t="s">
        <v>278</v>
      </c>
      <c r="F34" s="3"/>
      <c r="G34" s="3"/>
    </row>
    <row r="35" spans="1:7" ht="48" customHeight="1" x14ac:dyDescent="0.2">
      <c r="A35" s="3" t="s">
        <v>283</v>
      </c>
      <c r="B35" s="4">
        <v>34</v>
      </c>
      <c r="C35" s="3" t="s">
        <v>287</v>
      </c>
      <c r="D35" s="3"/>
      <c r="E35" s="3" t="s">
        <v>284</v>
      </c>
      <c r="F35" s="3"/>
      <c r="G35" s="3"/>
    </row>
    <row r="36" spans="1:7" ht="48" customHeight="1" x14ac:dyDescent="0.2">
      <c r="A36" s="3" t="s">
        <v>289</v>
      </c>
      <c r="B36" s="4">
        <v>35</v>
      </c>
      <c r="C36" s="3" t="s">
        <v>293</v>
      </c>
      <c r="D36" s="3"/>
      <c r="E36" s="3" t="s">
        <v>290</v>
      </c>
      <c r="F36" s="3"/>
      <c r="G36" s="3"/>
    </row>
    <row r="37" spans="1:7" ht="48" customHeight="1" x14ac:dyDescent="0.2">
      <c r="A37" s="3" t="s">
        <v>295</v>
      </c>
      <c r="B37" s="4">
        <v>36</v>
      </c>
      <c r="C37" s="3" t="s">
        <v>299</v>
      </c>
      <c r="D37" s="3"/>
      <c r="E37" s="3" t="s">
        <v>296</v>
      </c>
      <c r="F37" s="3"/>
      <c r="G37" s="3"/>
    </row>
    <row r="38" spans="1:7" ht="48" customHeight="1" x14ac:dyDescent="0.2">
      <c r="A38" s="3" t="s">
        <v>301</v>
      </c>
      <c r="B38" s="4">
        <v>37</v>
      </c>
      <c r="C38" s="3" t="s">
        <v>305</v>
      </c>
      <c r="D38" s="3"/>
      <c r="E38" s="3" t="s">
        <v>302</v>
      </c>
      <c r="F38" s="3"/>
      <c r="G38" s="3"/>
    </row>
    <row r="39" spans="1:7" ht="48" customHeight="1" x14ac:dyDescent="0.2">
      <c r="A39" s="3" t="s">
        <v>307</v>
      </c>
      <c r="B39" s="4">
        <v>38</v>
      </c>
      <c r="C39" s="3" t="s">
        <v>311</v>
      </c>
      <c r="D39" s="3"/>
      <c r="E39" s="3" t="s">
        <v>941</v>
      </c>
      <c r="F39" s="3"/>
      <c r="G39" s="3"/>
    </row>
    <row r="40" spans="1:7" ht="48" customHeight="1" x14ac:dyDescent="0.2">
      <c r="A40" s="3" t="s">
        <v>313</v>
      </c>
      <c r="B40" s="4">
        <v>39</v>
      </c>
      <c r="C40" s="3" t="s">
        <v>317</v>
      </c>
      <c r="D40" s="3"/>
      <c r="E40" s="3" t="s">
        <v>314</v>
      </c>
      <c r="F40" s="3"/>
      <c r="G40" s="3"/>
    </row>
    <row r="41" spans="1:7" ht="48" customHeight="1" x14ac:dyDescent="0.2">
      <c r="A41" s="3" t="s">
        <v>319</v>
      </c>
      <c r="B41" s="4">
        <v>40</v>
      </c>
      <c r="C41" s="3" t="s">
        <v>323</v>
      </c>
      <c r="D41" s="3"/>
      <c r="E41" s="3" t="s">
        <v>942</v>
      </c>
      <c r="F41" s="3"/>
      <c r="G41" s="3"/>
    </row>
    <row r="42" spans="1:7" ht="48" customHeight="1" x14ac:dyDescent="0.2">
      <c r="A42" s="3" t="s">
        <v>325</v>
      </c>
      <c r="B42" s="4">
        <v>41</v>
      </c>
      <c r="C42" s="3" t="s">
        <v>330</v>
      </c>
      <c r="D42" s="3"/>
      <c r="E42" s="3" t="s">
        <v>326</v>
      </c>
      <c r="F42" s="3"/>
      <c r="G42" s="3"/>
    </row>
    <row r="43" spans="1:7" ht="48" customHeight="1" x14ac:dyDescent="0.2">
      <c r="A43" s="3" t="s">
        <v>332</v>
      </c>
      <c r="B43" s="4">
        <v>42</v>
      </c>
      <c r="C43" s="3" t="s">
        <v>336</v>
      </c>
      <c r="D43" s="3"/>
      <c r="E43" s="3" t="s">
        <v>333</v>
      </c>
      <c r="F43" s="3"/>
      <c r="G43" s="3"/>
    </row>
    <row r="44" spans="1:7" ht="57" customHeight="1" x14ac:dyDescent="0.2">
      <c r="A44" s="3" t="s">
        <v>338</v>
      </c>
      <c r="B44" s="4">
        <v>43</v>
      </c>
      <c r="C44" s="3" t="s">
        <v>342</v>
      </c>
      <c r="D44" s="3"/>
      <c r="E44" s="3" t="s">
        <v>943</v>
      </c>
      <c r="F44" s="3"/>
      <c r="G44" s="3"/>
    </row>
    <row r="45" spans="1:7" ht="83.1" customHeight="1" x14ac:dyDescent="0.2">
      <c r="A45" s="3" t="s">
        <v>345</v>
      </c>
      <c r="B45" s="4">
        <v>44</v>
      </c>
      <c r="C45" s="3" t="s">
        <v>349</v>
      </c>
      <c r="D45" s="3" t="s">
        <v>210</v>
      </c>
      <c r="E45" s="3" t="s">
        <v>944</v>
      </c>
      <c r="F45" s="3"/>
      <c r="G45" s="3"/>
    </row>
    <row r="46" spans="1:7" ht="48" customHeight="1" x14ac:dyDescent="0.2">
      <c r="A46" s="3" t="s">
        <v>351</v>
      </c>
      <c r="B46" s="4">
        <v>45</v>
      </c>
      <c r="C46" s="3" t="s">
        <v>355</v>
      </c>
      <c r="D46" s="3"/>
      <c r="E46" s="3" t="s">
        <v>352</v>
      </c>
      <c r="F46" s="3"/>
      <c r="G46" s="3"/>
    </row>
    <row r="47" spans="1:7" ht="48" customHeight="1" x14ac:dyDescent="0.2">
      <c r="A47" s="3" t="s">
        <v>357</v>
      </c>
      <c r="B47" s="4">
        <v>46</v>
      </c>
      <c r="C47" s="3" t="s">
        <v>361</v>
      </c>
      <c r="D47" s="3"/>
      <c r="E47" s="3" t="s">
        <v>358</v>
      </c>
      <c r="F47" s="3"/>
      <c r="G47" s="3"/>
    </row>
    <row r="48" spans="1:7" ht="48" customHeight="1" x14ac:dyDescent="0.2">
      <c r="A48" s="3" t="s">
        <v>363</v>
      </c>
      <c r="B48" s="4">
        <v>47</v>
      </c>
      <c r="C48" s="3" t="s">
        <v>367</v>
      </c>
      <c r="D48" s="3"/>
      <c r="E48" s="3" t="s">
        <v>364</v>
      </c>
      <c r="F48" s="3"/>
      <c r="G48" s="3"/>
    </row>
    <row r="49" spans="1:7" ht="48" customHeight="1" x14ac:dyDescent="0.2">
      <c r="A49" s="3" t="s">
        <v>369</v>
      </c>
      <c r="B49" s="4">
        <v>48</v>
      </c>
      <c r="C49" s="3" t="s">
        <v>373</v>
      </c>
      <c r="D49" s="3"/>
      <c r="E49" s="3" t="s">
        <v>370</v>
      </c>
      <c r="F49" s="3"/>
      <c r="G49" s="3"/>
    </row>
    <row r="50" spans="1:7" ht="48" customHeight="1" x14ac:dyDescent="0.2">
      <c r="A50" s="3" t="s">
        <v>375</v>
      </c>
      <c r="B50" s="4">
        <v>49</v>
      </c>
      <c r="C50" s="3" t="s">
        <v>381</v>
      </c>
      <c r="D50" s="3"/>
      <c r="E50" s="3" t="s">
        <v>945</v>
      </c>
      <c r="F50" s="3"/>
      <c r="G50" s="3"/>
    </row>
    <row r="51" spans="1:7" ht="48" customHeight="1" x14ac:dyDescent="0.2">
      <c r="A51" s="3" t="s">
        <v>383</v>
      </c>
      <c r="B51" s="4">
        <v>50</v>
      </c>
      <c r="C51" s="3" t="s">
        <v>388</v>
      </c>
      <c r="D51" s="3"/>
      <c r="E51" s="3" t="s">
        <v>946</v>
      </c>
      <c r="F51" s="3"/>
      <c r="G51" s="3"/>
    </row>
    <row r="52" spans="1:7" ht="48" customHeight="1" x14ac:dyDescent="0.2">
      <c r="A52" s="3" t="s">
        <v>391</v>
      </c>
      <c r="B52" s="4">
        <v>51</v>
      </c>
      <c r="C52" s="3" t="s">
        <v>394</v>
      </c>
      <c r="D52" s="3"/>
      <c r="E52" s="3" t="s">
        <v>272</v>
      </c>
      <c r="F52" s="3"/>
      <c r="G52" s="3"/>
    </row>
    <row r="53" spans="1:7" ht="48" customHeight="1" x14ac:dyDescent="0.2">
      <c r="A53" s="3" t="s">
        <v>396</v>
      </c>
      <c r="B53" s="4">
        <v>52</v>
      </c>
      <c r="C53" s="3" t="s">
        <v>402</v>
      </c>
      <c r="D53" s="3"/>
      <c r="E53" s="3" t="s">
        <v>947</v>
      </c>
      <c r="F53" s="3"/>
      <c r="G53" s="3"/>
    </row>
    <row r="54" spans="1:7" ht="48" customHeight="1" x14ac:dyDescent="0.2">
      <c r="A54" s="3" t="s">
        <v>404</v>
      </c>
      <c r="B54" s="4">
        <v>53</v>
      </c>
      <c r="C54" s="3" t="s">
        <v>408</v>
      </c>
      <c r="D54" s="3"/>
      <c r="E54" s="3" t="s">
        <v>405</v>
      </c>
      <c r="F54" s="3"/>
      <c r="G54" s="3"/>
    </row>
    <row r="55" spans="1:7" ht="48" customHeight="1" x14ac:dyDescent="0.2">
      <c r="A55" s="3" t="s">
        <v>410</v>
      </c>
      <c r="B55" s="4">
        <v>54</v>
      </c>
      <c r="C55" s="3" t="s">
        <v>414</v>
      </c>
      <c r="D55" s="3"/>
      <c r="E55" s="3" t="s">
        <v>948</v>
      </c>
      <c r="F55" s="3"/>
      <c r="G55" s="3"/>
    </row>
    <row r="56" spans="1:7" ht="48" customHeight="1" x14ac:dyDescent="0.2">
      <c r="A56" s="3" t="s">
        <v>416</v>
      </c>
      <c r="B56" s="4">
        <v>55</v>
      </c>
      <c r="C56" s="3" t="s">
        <v>421</v>
      </c>
      <c r="D56" s="3"/>
      <c r="E56" s="3" t="s">
        <v>949</v>
      </c>
      <c r="F56" s="3"/>
      <c r="G56" s="3"/>
    </row>
    <row r="57" spans="1:7" ht="48" customHeight="1" x14ac:dyDescent="0.2">
      <c r="A57" s="3" t="s">
        <v>423</v>
      </c>
      <c r="B57" s="4">
        <v>56</v>
      </c>
      <c r="C57" s="3" t="s">
        <v>427</v>
      </c>
      <c r="D57" s="3"/>
      <c r="E57" s="3" t="s">
        <v>424</v>
      </c>
      <c r="F57" s="3"/>
      <c r="G57" s="3"/>
    </row>
    <row r="58" spans="1:7" ht="96" customHeight="1" x14ac:dyDescent="0.2">
      <c r="A58" s="3" t="s">
        <v>429</v>
      </c>
      <c r="B58" s="4">
        <v>57</v>
      </c>
      <c r="C58" s="3" t="s">
        <v>433</v>
      </c>
      <c r="D58" s="3" t="s">
        <v>71</v>
      </c>
      <c r="E58" s="3" t="s">
        <v>950</v>
      </c>
      <c r="F58" s="3"/>
      <c r="G58" s="3"/>
    </row>
    <row r="59" spans="1:7" ht="57" customHeight="1" x14ac:dyDescent="0.2">
      <c r="A59" s="3" t="s">
        <v>435</v>
      </c>
      <c r="B59" s="4">
        <v>58</v>
      </c>
      <c r="C59" s="3" t="s">
        <v>439</v>
      </c>
      <c r="D59" s="3"/>
      <c r="E59" s="3" t="s">
        <v>951</v>
      </c>
      <c r="F59" s="3"/>
      <c r="G59" s="3"/>
    </row>
    <row r="60" spans="1:7" ht="48" customHeight="1" x14ac:dyDescent="0.2">
      <c r="A60" s="3" t="s">
        <v>441</v>
      </c>
      <c r="B60" s="4">
        <v>59</v>
      </c>
      <c r="C60" s="3" t="s">
        <v>445</v>
      </c>
      <c r="D60" s="3"/>
      <c r="E60" s="3" t="s">
        <v>442</v>
      </c>
      <c r="F60" s="3"/>
      <c r="G60" s="3"/>
    </row>
    <row r="61" spans="1:7" ht="48" customHeight="1" x14ac:dyDescent="0.2">
      <c r="A61" s="3" t="s">
        <v>447</v>
      </c>
      <c r="B61" s="4">
        <v>60</v>
      </c>
      <c r="C61" s="3" t="s">
        <v>451</v>
      </c>
      <c r="D61" s="3" t="s">
        <v>71</v>
      </c>
      <c r="E61" s="3" t="s">
        <v>448</v>
      </c>
      <c r="F61" s="3"/>
      <c r="G61" s="3"/>
    </row>
    <row r="62" spans="1:7" ht="48" customHeight="1" x14ac:dyDescent="0.2">
      <c r="A62" s="3" t="s">
        <v>454</v>
      </c>
      <c r="B62" s="4">
        <v>61</v>
      </c>
      <c r="C62" s="3" t="s">
        <v>458</v>
      </c>
      <c r="D62" s="3" t="s">
        <v>71</v>
      </c>
      <c r="E62" s="3" t="s">
        <v>455</v>
      </c>
      <c r="F62" s="3"/>
      <c r="G62" s="3"/>
    </row>
    <row r="63" spans="1:7" ht="135" customHeight="1" x14ac:dyDescent="0.2">
      <c r="A63" s="3" t="s">
        <v>461</v>
      </c>
      <c r="B63" s="4">
        <v>62</v>
      </c>
      <c r="C63" s="3" t="s">
        <v>466</v>
      </c>
      <c r="D63" s="3" t="s">
        <v>71</v>
      </c>
      <c r="E63" s="3" t="s">
        <v>952</v>
      </c>
      <c r="F63" s="3"/>
      <c r="G63" s="3"/>
    </row>
    <row r="64" spans="1:7" ht="57" customHeight="1" x14ac:dyDescent="0.2">
      <c r="A64" s="3" t="s">
        <v>468</v>
      </c>
      <c r="B64" s="4">
        <v>63</v>
      </c>
      <c r="C64" s="3" t="s">
        <v>472</v>
      </c>
      <c r="D64" s="3"/>
      <c r="E64" s="3" t="s">
        <v>953</v>
      </c>
      <c r="F64" s="3"/>
      <c r="G64" s="3"/>
    </row>
    <row r="65" spans="1:7" ht="48" customHeight="1" x14ac:dyDescent="0.2">
      <c r="A65" s="3" t="s">
        <v>475</v>
      </c>
      <c r="B65" s="4">
        <v>64</v>
      </c>
      <c r="C65" s="3" t="s">
        <v>479</v>
      </c>
      <c r="D65" s="3"/>
      <c r="E65" s="3" t="s">
        <v>954</v>
      </c>
      <c r="F65" s="3"/>
      <c r="G65" s="3"/>
    </row>
    <row r="66" spans="1:7" ht="57" customHeight="1" x14ac:dyDescent="0.2">
      <c r="A66" s="3" t="s">
        <v>482</v>
      </c>
      <c r="B66" s="4">
        <v>65</v>
      </c>
      <c r="C66" s="3" t="s">
        <v>486</v>
      </c>
      <c r="D66" s="3"/>
      <c r="E66" s="3" t="s">
        <v>955</v>
      </c>
      <c r="F66" s="3"/>
      <c r="G66" s="3"/>
    </row>
    <row r="67" spans="1:7" ht="186.95" customHeight="1" x14ac:dyDescent="0.2">
      <c r="A67" s="3" t="s">
        <v>489</v>
      </c>
      <c r="B67" s="4">
        <v>66</v>
      </c>
      <c r="C67" s="3" t="s">
        <v>493</v>
      </c>
      <c r="D67" s="3" t="s">
        <v>71</v>
      </c>
      <c r="E67" s="3" t="s">
        <v>956</v>
      </c>
      <c r="F67" s="3"/>
      <c r="G67" s="3"/>
    </row>
    <row r="68" spans="1:7" ht="48" customHeight="1" x14ac:dyDescent="0.2">
      <c r="A68" s="3" t="s">
        <v>495</v>
      </c>
      <c r="B68" s="4">
        <v>67</v>
      </c>
      <c r="C68" s="3" t="s">
        <v>499</v>
      </c>
      <c r="D68" s="3"/>
      <c r="E68" s="3" t="s">
        <v>496</v>
      </c>
      <c r="F68" s="3"/>
      <c r="G68" s="3"/>
    </row>
    <row r="69" spans="1:7" ht="48" customHeight="1" x14ac:dyDescent="0.2">
      <c r="A69" s="3" t="s">
        <v>501</v>
      </c>
      <c r="B69" s="4">
        <v>68</v>
      </c>
      <c r="C69" s="3" t="s">
        <v>505</v>
      </c>
      <c r="D69" s="3"/>
      <c r="E69" s="3" t="s">
        <v>502</v>
      </c>
      <c r="F69" s="3"/>
      <c r="G69" s="3"/>
    </row>
    <row r="70" spans="1:7" ht="48" customHeight="1" x14ac:dyDescent="0.2">
      <c r="A70" s="3" t="s">
        <v>508</v>
      </c>
      <c r="B70" s="4">
        <v>69</v>
      </c>
      <c r="C70" s="3" t="s">
        <v>512</v>
      </c>
      <c r="D70" s="3"/>
      <c r="E70" s="3" t="s">
        <v>957</v>
      </c>
      <c r="F70" s="3"/>
      <c r="G70" s="3"/>
    </row>
    <row r="71" spans="1:7" ht="317.10000000000002" customHeight="1" x14ac:dyDescent="0.2">
      <c r="A71" s="3" t="s">
        <v>514</v>
      </c>
      <c r="B71" s="4">
        <v>70</v>
      </c>
      <c r="C71" s="3" t="s">
        <v>519</v>
      </c>
      <c r="D71" s="3" t="s">
        <v>71</v>
      </c>
      <c r="E71" s="3" t="s">
        <v>958</v>
      </c>
      <c r="F71" s="3"/>
      <c r="G71" s="3"/>
    </row>
    <row r="72" spans="1:7" ht="48" customHeight="1" x14ac:dyDescent="0.2">
      <c r="A72" s="3" t="s">
        <v>521</v>
      </c>
      <c r="B72" s="4">
        <v>71</v>
      </c>
      <c r="C72" s="3" t="s">
        <v>525</v>
      </c>
      <c r="D72" s="3"/>
      <c r="E72" s="3" t="s">
        <v>522</v>
      </c>
      <c r="F72" s="3"/>
      <c r="G72" s="3"/>
    </row>
    <row r="73" spans="1:7" ht="83.1" customHeight="1" x14ac:dyDescent="0.2">
      <c r="A73" s="3" t="s">
        <v>528</v>
      </c>
      <c r="B73" s="4">
        <v>72</v>
      </c>
      <c r="C73" s="3" t="s">
        <v>533</v>
      </c>
      <c r="D73" s="3"/>
      <c r="E73" s="3" t="s">
        <v>959</v>
      </c>
      <c r="F73" s="3"/>
      <c r="G73" s="3"/>
    </row>
    <row r="74" spans="1:7" ht="48" customHeight="1" x14ac:dyDescent="0.2">
      <c r="A74" s="3" t="s">
        <v>535</v>
      </c>
      <c r="B74" s="4">
        <v>73</v>
      </c>
      <c r="C74" s="3" t="s">
        <v>539</v>
      </c>
      <c r="D74" s="3"/>
      <c r="E74" s="3" t="s">
        <v>960</v>
      </c>
      <c r="F74" s="3"/>
      <c r="G74" s="3"/>
    </row>
    <row r="75" spans="1:7" ht="48" customHeight="1" x14ac:dyDescent="0.2">
      <c r="A75" s="3" t="s">
        <v>541</v>
      </c>
      <c r="B75" s="4">
        <v>74</v>
      </c>
      <c r="C75" s="3" t="s">
        <v>545</v>
      </c>
      <c r="D75" s="3"/>
      <c r="E75" s="3" t="s">
        <v>542</v>
      </c>
      <c r="F75" s="3"/>
      <c r="G75" s="3"/>
    </row>
    <row r="76" spans="1:7" ht="48" customHeight="1" x14ac:dyDescent="0.2">
      <c r="A76" s="3" t="s">
        <v>548</v>
      </c>
      <c r="B76" s="4">
        <v>75</v>
      </c>
      <c r="C76" s="3" t="s">
        <v>552</v>
      </c>
      <c r="D76" s="3"/>
      <c r="E76" s="3" t="s">
        <v>961</v>
      </c>
      <c r="F76" s="3"/>
      <c r="G76" s="3"/>
    </row>
    <row r="77" spans="1:7" ht="48" customHeight="1" x14ac:dyDescent="0.2">
      <c r="A77" s="3" t="s">
        <v>555</v>
      </c>
      <c r="B77" s="4">
        <v>76</v>
      </c>
      <c r="C77" s="3" t="s">
        <v>560</v>
      </c>
      <c r="D77" s="3"/>
      <c r="E77" s="3" t="s">
        <v>962</v>
      </c>
      <c r="F77" s="3"/>
      <c r="G77" s="3"/>
    </row>
    <row r="78" spans="1:7" ht="200.1" customHeight="1" x14ac:dyDescent="0.2">
      <c r="A78" s="3" t="s">
        <v>563</v>
      </c>
      <c r="B78" s="4">
        <v>77</v>
      </c>
      <c r="C78" s="3" t="s">
        <v>568</v>
      </c>
      <c r="D78" s="3" t="s">
        <v>71</v>
      </c>
      <c r="E78" s="3" t="s">
        <v>963</v>
      </c>
      <c r="F78" s="3"/>
      <c r="G78" s="3"/>
    </row>
    <row r="79" spans="1:7" ht="108.95" customHeight="1" x14ac:dyDescent="0.2">
      <c r="A79" s="3" t="s">
        <v>571</v>
      </c>
      <c r="B79" s="4">
        <v>78</v>
      </c>
      <c r="C79" s="3" t="s">
        <v>575</v>
      </c>
      <c r="D79" s="3" t="s">
        <v>576</v>
      </c>
      <c r="E79" s="3" t="s">
        <v>964</v>
      </c>
      <c r="F79" s="3"/>
      <c r="G79" s="3"/>
    </row>
    <row r="80" spans="1:7" ht="342.95" customHeight="1" x14ac:dyDescent="0.2">
      <c r="A80" s="3" t="s">
        <v>579</v>
      </c>
      <c r="B80" s="4">
        <v>79</v>
      </c>
      <c r="C80" s="3" t="s">
        <v>584</v>
      </c>
      <c r="D80" s="3" t="s">
        <v>586</v>
      </c>
      <c r="E80" s="3" t="s">
        <v>965</v>
      </c>
      <c r="F80" s="3" t="s">
        <v>966</v>
      </c>
      <c r="G80" s="3" t="s">
        <v>967</v>
      </c>
    </row>
    <row r="81" spans="1:7" ht="48" customHeight="1" x14ac:dyDescent="0.2">
      <c r="A81" s="3" t="s">
        <v>588</v>
      </c>
      <c r="B81" s="4">
        <v>80</v>
      </c>
      <c r="C81" s="3" t="s">
        <v>592</v>
      </c>
      <c r="D81" s="3"/>
      <c r="E81" s="3" t="s">
        <v>589</v>
      </c>
      <c r="F81" s="3"/>
      <c r="G81" s="3"/>
    </row>
    <row r="82" spans="1:7" ht="48" customHeight="1" x14ac:dyDescent="0.2">
      <c r="A82" s="3" t="s">
        <v>595</v>
      </c>
      <c r="B82" s="4">
        <v>81</v>
      </c>
      <c r="C82" s="3" t="s">
        <v>599</v>
      </c>
      <c r="D82" s="3"/>
      <c r="E82" s="3" t="s">
        <v>968</v>
      </c>
      <c r="F82" s="3"/>
      <c r="G82" s="3"/>
    </row>
    <row r="83" spans="1:7" ht="48" customHeight="1" x14ac:dyDescent="0.2">
      <c r="A83" s="3" t="s">
        <v>601</v>
      </c>
      <c r="B83" s="4">
        <v>82</v>
      </c>
      <c r="C83" s="3" t="s">
        <v>605</v>
      </c>
      <c r="D83" s="3"/>
      <c r="E83" s="3" t="s">
        <v>602</v>
      </c>
      <c r="F83" s="3"/>
      <c r="G83" s="3"/>
    </row>
    <row r="84" spans="1:7" ht="48" customHeight="1" x14ac:dyDescent="0.2">
      <c r="A84" s="3" t="s">
        <v>607</v>
      </c>
      <c r="B84" s="4">
        <v>83</v>
      </c>
      <c r="C84" s="3" t="s">
        <v>611</v>
      </c>
      <c r="D84" s="3"/>
      <c r="E84" s="3" t="s">
        <v>969</v>
      </c>
      <c r="F84" s="3"/>
      <c r="G84" s="3"/>
    </row>
    <row r="85" spans="1:7" ht="48" customHeight="1" x14ac:dyDescent="0.2">
      <c r="A85" s="3" t="s">
        <v>613</v>
      </c>
      <c r="B85" s="4">
        <v>84</v>
      </c>
      <c r="C85" s="3" t="s">
        <v>616</v>
      </c>
      <c r="D85" s="3"/>
      <c r="E85" s="3" t="s">
        <v>272</v>
      </c>
      <c r="F85" s="3"/>
      <c r="G85" s="3"/>
    </row>
    <row r="86" spans="1:7" ht="330" customHeight="1" x14ac:dyDescent="0.2">
      <c r="A86" s="3" t="s">
        <v>619</v>
      </c>
      <c r="B86" s="4">
        <v>85</v>
      </c>
      <c r="C86" s="3" t="s">
        <v>623</v>
      </c>
      <c r="D86" s="3" t="s">
        <v>210</v>
      </c>
      <c r="E86" s="3" t="s">
        <v>970</v>
      </c>
      <c r="F86" s="3"/>
      <c r="G86" s="3"/>
    </row>
    <row r="87" spans="1:7" ht="48" customHeight="1" x14ac:dyDescent="0.2">
      <c r="A87" s="3" t="s">
        <v>626</v>
      </c>
      <c r="B87" s="4">
        <v>86</v>
      </c>
      <c r="C87" s="3" t="s">
        <v>630</v>
      </c>
      <c r="D87" s="3"/>
      <c r="E87" s="3" t="s">
        <v>627</v>
      </c>
      <c r="F87" s="3"/>
      <c r="G87" s="3"/>
    </row>
    <row r="88" spans="1:7" ht="48" customHeight="1" x14ac:dyDescent="0.2">
      <c r="A88" s="3" t="s">
        <v>632</v>
      </c>
      <c r="B88" s="4">
        <v>87</v>
      </c>
      <c r="C88" s="3" t="s">
        <v>636</v>
      </c>
      <c r="D88" s="3"/>
      <c r="E88" s="3" t="s">
        <v>633</v>
      </c>
      <c r="F88" s="3"/>
      <c r="G88" s="3"/>
    </row>
    <row r="89" spans="1:7" ht="48" customHeight="1" x14ac:dyDescent="0.2">
      <c r="A89" s="3" t="s">
        <v>639</v>
      </c>
      <c r="B89" s="4">
        <v>88</v>
      </c>
      <c r="C89" s="3" t="s">
        <v>642</v>
      </c>
      <c r="D89" s="3"/>
      <c r="E89" s="3" t="s">
        <v>272</v>
      </c>
      <c r="F89" s="3"/>
      <c r="G89" s="3"/>
    </row>
    <row r="90" spans="1:7" ht="48" customHeight="1" x14ac:dyDescent="0.2">
      <c r="A90" s="3" t="s">
        <v>644</v>
      </c>
      <c r="B90" s="4">
        <v>89</v>
      </c>
      <c r="C90" s="3" t="s">
        <v>648</v>
      </c>
      <c r="D90" s="3"/>
      <c r="E90" s="3" t="s">
        <v>971</v>
      </c>
      <c r="F90" s="3"/>
      <c r="G90" s="3"/>
    </row>
    <row r="91" spans="1:7" ht="48" customHeight="1" x14ac:dyDescent="0.2">
      <c r="A91" s="3" t="s">
        <v>651</v>
      </c>
      <c r="B91" s="4">
        <v>90</v>
      </c>
      <c r="C91" s="3" t="s">
        <v>655</v>
      </c>
      <c r="D91" s="3"/>
      <c r="E91" s="3" t="s">
        <v>972</v>
      </c>
      <c r="F91" s="3"/>
      <c r="G91" s="3"/>
    </row>
    <row r="92" spans="1:7" ht="48" customHeight="1" x14ac:dyDescent="0.2">
      <c r="A92" s="3" t="s">
        <v>657</v>
      </c>
      <c r="B92" s="4">
        <v>91</v>
      </c>
      <c r="C92" s="3" t="s">
        <v>661</v>
      </c>
      <c r="D92" s="3"/>
      <c r="E92" s="3" t="s">
        <v>658</v>
      </c>
      <c r="F92" s="3"/>
      <c r="G92" s="3"/>
    </row>
    <row r="93" spans="1:7" ht="48" customHeight="1" x14ac:dyDescent="0.2">
      <c r="A93" s="3" t="s">
        <v>664</v>
      </c>
      <c r="B93" s="4">
        <v>92</v>
      </c>
      <c r="C93" s="3" t="s">
        <v>668</v>
      </c>
      <c r="D93" s="3"/>
      <c r="E93" s="3" t="s">
        <v>973</v>
      </c>
      <c r="F93" s="3"/>
      <c r="G93" s="3"/>
    </row>
    <row r="94" spans="1:7" ht="48" customHeight="1" x14ac:dyDescent="0.2">
      <c r="A94" s="3" t="s">
        <v>670</v>
      </c>
      <c r="B94" s="4">
        <v>93</v>
      </c>
      <c r="C94" s="3" t="s">
        <v>674</v>
      </c>
      <c r="D94" s="3"/>
      <c r="E94" s="3" t="s">
        <v>671</v>
      </c>
      <c r="F94" s="3"/>
      <c r="G94" s="3"/>
    </row>
    <row r="95" spans="1:7" ht="48" customHeight="1" x14ac:dyDescent="0.2">
      <c r="A95" s="3" t="s">
        <v>676</v>
      </c>
      <c r="B95" s="4">
        <v>94</v>
      </c>
      <c r="C95" s="3" t="s">
        <v>679</v>
      </c>
      <c r="D95" s="3"/>
      <c r="E95" s="3" t="s">
        <v>272</v>
      </c>
      <c r="F95" s="3"/>
      <c r="G95" s="3"/>
    </row>
    <row r="96" spans="1:7" ht="48" customHeight="1" x14ac:dyDescent="0.2">
      <c r="A96" s="3" t="s">
        <v>681</v>
      </c>
      <c r="B96" s="4">
        <v>95</v>
      </c>
      <c r="C96" s="3" t="s">
        <v>684</v>
      </c>
      <c r="D96" s="3"/>
      <c r="E96" s="3" t="s">
        <v>272</v>
      </c>
      <c r="F96" s="3"/>
      <c r="G96" s="3"/>
    </row>
    <row r="97" spans="1:7" ht="48" customHeight="1" x14ac:dyDescent="0.2">
      <c r="A97" s="3" t="s">
        <v>686</v>
      </c>
      <c r="B97" s="4">
        <v>96</v>
      </c>
      <c r="C97" s="3" t="s">
        <v>691</v>
      </c>
      <c r="D97" s="3"/>
      <c r="E97" s="3" t="s">
        <v>687</v>
      </c>
      <c r="F97" s="3"/>
      <c r="G97" s="3"/>
    </row>
    <row r="98" spans="1:7" ht="48" customHeight="1" x14ac:dyDescent="0.2">
      <c r="A98" s="3" t="s">
        <v>693</v>
      </c>
      <c r="B98" s="4">
        <v>97</v>
      </c>
      <c r="C98" s="3" t="s">
        <v>697</v>
      </c>
      <c r="D98" s="3"/>
      <c r="E98" s="3" t="s">
        <v>694</v>
      </c>
      <c r="F98" s="3"/>
      <c r="G98" s="3"/>
    </row>
    <row r="99" spans="1:7" ht="48" customHeight="1" x14ac:dyDescent="0.2">
      <c r="A99" s="3" t="s">
        <v>699</v>
      </c>
      <c r="B99" s="4">
        <v>98</v>
      </c>
      <c r="C99" s="3" t="s">
        <v>702</v>
      </c>
      <c r="D99" s="3"/>
      <c r="E99" s="3" t="s">
        <v>272</v>
      </c>
      <c r="F99" s="3"/>
      <c r="G99" s="3"/>
    </row>
    <row r="100" spans="1:7" ht="48" customHeight="1" x14ac:dyDescent="0.2">
      <c r="A100" s="3" t="s">
        <v>704</v>
      </c>
      <c r="B100" s="4">
        <v>99</v>
      </c>
      <c r="C100" s="3" t="s">
        <v>708</v>
      </c>
      <c r="D100" s="3"/>
      <c r="E100" s="3" t="s">
        <v>705</v>
      </c>
      <c r="F100" s="3"/>
      <c r="G100" s="3"/>
    </row>
    <row r="101" spans="1:7" ht="48" customHeight="1" x14ac:dyDescent="0.2">
      <c r="A101" s="3" t="s">
        <v>710</v>
      </c>
      <c r="B101" s="4">
        <v>100</v>
      </c>
      <c r="C101" s="3" t="s">
        <v>714</v>
      </c>
      <c r="D101" s="3"/>
      <c r="E101" s="3" t="s">
        <v>711</v>
      </c>
      <c r="F101" s="3"/>
      <c r="G101" s="3"/>
    </row>
    <row r="102" spans="1:7" ht="48" customHeight="1" x14ac:dyDescent="0.2">
      <c r="A102" s="3" t="s">
        <v>716</v>
      </c>
      <c r="B102" s="4">
        <v>101</v>
      </c>
      <c r="C102" s="3" t="s">
        <v>720</v>
      </c>
      <c r="D102" s="3"/>
      <c r="E102" s="3" t="s">
        <v>717</v>
      </c>
      <c r="F102" s="3"/>
      <c r="G102" s="3"/>
    </row>
    <row r="103" spans="1:7" ht="48" customHeight="1" x14ac:dyDescent="0.2">
      <c r="A103" s="3" t="s">
        <v>722</v>
      </c>
      <c r="B103" s="4">
        <v>102</v>
      </c>
      <c r="C103" s="3" t="s">
        <v>726</v>
      </c>
      <c r="D103" s="3"/>
      <c r="E103" s="3" t="s">
        <v>974</v>
      </c>
      <c r="F103" s="3"/>
      <c r="G103" s="3"/>
    </row>
    <row r="104" spans="1:7" ht="48" customHeight="1" x14ac:dyDescent="0.2">
      <c r="A104" s="3" t="s">
        <v>728</v>
      </c>
      <c r="B104" s="4">
        <v>103</v>
      </c>
      <c r="C104" s="3" t="s">
        <v>731</v>
      </c>
      <c r="D104" s="3"/>
      <c r="E104" s="3" t="s">
        <v>272</v>
      </c>
      <c r="F104" s="3"/>
      <c r="G104" s="3"/>
    </row>
    <row r="105" spans="1:7" ht="48" customHeight="1" x14ac:dyDescent="0.2">
      <c r="A105" s="3" t="s">
        <v>733</v>
      </c>
      <c r="B105" s="4">
        <v>104</v>
      </c>
      <c r="C105" s="3" t="s">
        <v>737</v>
      </c>
      <c r="D105" s="3"/>
      <c r="E105" s="3" t="s">
        <v>734</v>
      </c>
      <c r="F105" s="3"/>
      <c r="G105" s="3"/>
    </row>
    <row r="106" spans="1:7" ht="69.95" customHeight="1" x14ac:dyDescent="0.2">
      <c r="A106" s="3" t="s">
        <v>740</v>
      </c>
      <c r="B106" s="4">
        <v>105</v>
      </c>
      <c r="C106" s="3" t="s">
        <v>744</v>
      </c>
      <c r="D106" s="3"/>
      <c r="E106" s="3" t="s">
        <v>975</v>
      </c>
      <c r="F106" s="3"/>
      <c r="G106" s="3"/>
    </row>
    <row r="107" spans="1:7" ht="48" customHeight="1" x14ac:dyDescent="0.2">
      <c r="A107" s="3" t="s">
        <v>747</v>
      </c>
      <c r="B107" s="4">
        <v>106</v>
      </c>
      <c r="C107" s="3" t="s">
        <v>751</v>
      </c>
      <c r="D107" s="3"/>
      <c r="E107" s="3" t="s">
        <v>748</v>
      </c>
      <c r="F107" s="3"/>
      <c r="G107" s="3"/>
    </row>
    <row r="108" spans="1:7" ht="48" customHeight="1" x14ac:dyDescent="0.2">
      <c r="A108" s="3" t="s">
        <v>753</v>
      </c>
      <c r="B108" s="4">
        <v>107</v>
      </c>
      <c r="C108" s="3" t="s">
        <v>757</v>
      </c>
      <c r="D108" s="3"/>
      <c r="E108" s="3" t="s">
        <v>976</v>
      </c>
      <c r="F108" s="3"/>
      <c r="G108" s="3"/>
    </row>
    <row r="109" spans="1:7" ht="48" customHeight="1" x14ac:dyDescent="0.2">
      <c r="A109" s="3" t="s">
        <v>759</v>
      </c>
      <c r="B109" s="4">
        <v>108</v>
      </c>
      <c r="C109" s="3" t="s">
        <v>762</v>
      </c>
      <c r="D109" s="3"/>
      <c r="E109" s="3" t="s">
        <v>496</v>
      </c>
      <c r="F109" s="3"/>
      <c r="G109" s="3"/>
    </row>
    <row r="110" spans="1:7" ht="48" customHeight="1" x14ac:dyDescent="0.2">
      <c r="A110" s="3" t="s">
        <v>764</v>
      </c>
      <c r="B110" s="4">
        <v>109</v>
      </c>
      <c r="C110" s="3" t="s">
        <v>768</v>
      </c>
      <c r="D110" s="3"/>
      <c r="E110" s="3" t="s">
        <v>765</v>
      </c>
      <c r="F110" s="3"/>
      <c r="G110" s="3"/>
    </row>
    <row r="111" spans="1:7" ht="48" customHeight="1" x14ac:dyDescent="0.2">
      <c r="A111" s="3" t="s">
        <v>770</v>
      </c>
      <c r="B111" s="4">
        <v>110</v>
      </c>
      <c r="C111" s="3" t="s">
        <v>773</v>
      </c>
      <c r="D111" s="3"/>
      <c r="E111" s="3" t="s">
        <v>765</v>
      </c>
      <c r="F111" s="3"/>
      <c r="G111" s="3"/>
    </row>
    <row r="112" spans="1:7" ht="48" customHeight="1" x14ac:dyDescent="0.2">
      <c r="A112" s="3" t="s">
        <v>775</v>
      </c>
      <c r="B112" s="4">
        <v>111</v>
      </c>
      <c r="C112" s="3" t="s">
        <v>778</v>
      </c>
      <c r="D112" s="3"/>
      <c r="E112" s="3" t="s">
        <v>765</v>
      </c>
      <c r="F112" s="3"/>
      <c r="G112" s="3"/>
    </row>
    <row r="113" spans="1:7" ht="48" customHeight="1" x14ac:dyDescent="0.2">
      <c r="A113" s="3" t="s">
        <v>780</v>
      </c>
      <c r="B113" s="4">
        <v>112</v>
      </c>
      <c r="C113" s="3" t="s">
        <v>783</v>
      </c>
      <c r="D113" s="3"/>
      <c r="E113" s="3" t="s">
        <v>496</v>
      </c>
      <c r="F113" s="3"/>
      <c r="G113" s="3"/>
    </row>
    <row r="114" spans="1:7" ht="48" customHeight="1" x14ac:dyDescent="0.2">
      <c r="A114" s="3" t="s">
        <v>785</v>
      </c>
      <c r="B114" s="4">
        <v>113</v>
      </c>
      <c r="C114" s="3" t="s">
        <v>789</v>
      </c>
      <c r="D114" s="3"/>
      <c r="E114" s="3" t="s">
        <v>977</v>
      </c>
      <c r="F114" s="3"/>
      <c r="G114" s="3"/>
    </row>
    <row r="115" spans="1:7" ht="48" customHeight="1" x14ac:dyDescent="0.2">
      <c r="A115" s="3" t="s">
        <v>791</v>
      </c>
      <c r="B115" s="4">
        <v>114</v>
      </c>
      <c r="C115" s="3" t="s">
        <v>795</v>
      </c>
      <c r="D115" s="3"/>
      <c r="E115" s="3" t="s">
        <v>978</v>
      </c>
      <c r="F115" s="3"/>
      <c r="G115" s="3"/>
    </row>
    <row r="116" spans="1:7" ht="48" customHeight="1" x14ac:dyDescent="0.2">
      <c r="A116" s="3" t="s">
        <v>797</v>
      </c>
      <c r="B116" s="4">
        <v>115</v>
      </c>
      <c r="C116" s="3" t="s">
        <v>801</v>
      </c>
      <c r="D116" s="3"/>
      <c r="E116" s="3" t="s">
        <v>798</v>
      </c>
      <c r="F116" s="3"/>
      <c r="G116" s="3"/>
    </row>
    <row r="117" spans="1:7" ht="69.95" customHeight="1" x14ac:dyDescent="0.2">
      <c r="A117" s="3" t="s">
        <v>804</v>
      </c>
      <c r="B117" s="4">
        <v>116</v>
      </c>
      <c r="C117" s="3" t="s">
        <v>808</v>
      </c>
      <c r="D117" s="3"/>
      <c r="E117" s="3" t="s">
        <v>979</v>
      </c>
      <c r="F117" s="3"/>
      <c r="G117" s="3"/>
    </row>
    <row r="118" spans="1:7" ht="96" customHeight="1" x14ac:dyDescent="0.2">
      <c r="A118" s="3" t="s">
        <v>810</v>
      </c>
      <c r="B118" s="4">
        <v>117</v>
      </c>
      <c r="C118" s="3" t="s">
        <v>814</v>
      </c>
      <c r="D118" s="3" t="s">
        <v>816</v>
      </c>
      <c r="E118" s="3" t="s">
        <v>980</v>
      </c>
      <c r="F118" s="3"/>
      <c r="G118" s="3"/>
    </row>
    <row r="119" spans="1:7" ht="48" customHeight="1" x14ac:dyDescent="0.2">
      <c r="A119" s="3" t="s">
        <v>818</v>
      </c>
      <c r="B119" s="4">
        <v>118</v>
      </c>
      <c r="C119" s="3" t="s">
        <v>822</v>
      </c>
      <c r="D119" s="3"/>
      <c r="E119" s="3" t="s">
        <v>819</v>
      </c>
      <c r="F119" s="3"/>
      <c r="G119" s="3"/>
    </row>
    <row r="120" spans="1:7" ht="161.1" customHeight="1" x14ac:dyDescent="0.2">
      <c r="A120" s="3" t="s">
        <v>824</v>
      </c>
      <c r="B120" s="4">
        <v>119</v>
      </c>
      <c r="C120" s="3" t="s">
        <v>828</v>
      </c>
      <c r="D120" s="3" t="s">
        <v>210</v>
      </c>
      <c r="E120" s="3" t="s">
        <v>981</v>
      </c>
      <c r="F120" s="3"/>
      <c r="G120" s="3"/>
    </row>
    <row r="121" spans="1:7" ht="83.1" customHeight="1" x14ac:dyDescent="0.2">
      <c r="A121" s="3" t="s">
        <v>830</v>
      </c>
      <c r="B121" s="4">
        <v>120</v>
      </c>
      <c r="C121" s="3" t="s">
        <v>834</v>
      </c>
      <c r="D121" s="3" t="s">
        <v>816</v>
      </c>
      <c r="E121" s="3" t="s">
        <v>982</v>
      </c>
      <c r="F121" s="3"/>
      <c r="G121" s="3"/>
    </row>
    <row r="122" spans="1:7" ht="57" customHeight="1" x14ac:dyDescent="0.2">
      <c r="A122" s="3" t="s">
        <v>837</v>
      </c>
      <c r="B122" s="4">
        <v>121</v>
      </c>
      <c r="C122" s="3" t="s">
        <v>841</v>
      </c>
      <c r="D122" s="3" t="s">
        <v>816</v>
      </c>
      <c r="E122" s="3" t="s">
        <v>983</v>
      </c>
      <c r="F122" s="3"/>
      <c r="G122" s="3"/>
    </row>
    <row r="123" spans="1:7" ht="83.1" customHeight="1" x14ac:dyDescent="0.2">
      <c r="A123" s="3" t="s">
        <v>844</v>
      </c>
      <c r="B123" s="4">
        <v>122</v>
      </c>
      <c r="C123" s="3" t="s">
        <v>850</v>
      </c>
      <c r="D123" s="3"/>
      <c r="E123" s="3" t="s">
        <v>984</v>
      </c>
      <c r="F123" s="3"/>
      <c r="G123" s="3"/>
    </row>
    <row r="124" spans="1:7" ht="48" customHeight="1" x14ac:dyDescent="0.2">
      <c r="A124" s="3" t="s">
        <v>853</v>
      </c>
      <c r="B124" s="4">
        <v>123</v>
      </c>
      <c r="C124" s="3" t="s">
        <v>857</v>
      </c>
      <c r="D124" s="3"/>
      <c r="E124" s="3" t="s">
        <v>985</v>
      </c>
      <c r="F124" s="3"/>
      <c r="G124" s="3"/>
    </row>
    <row r="125" spans="1:7" ht="57" customHeight="1" x14ac:dyDescent="0.2">
      <c r="A125" s="3" t="s">
        <v>859</v>
      </c>
      <c r="B125" s="4">
        <v>124</v>
      </c>
      <c r="C125" s="3" t="s">
        <v>863</v>
      </c>
      <c r="D125" s="3" t="s">
        <v>816</v>
      </c>
      <c r="E125" s="3" t="s">
        <v>986</v>
      </c>
      <c r="F125" s="3"/>
      <c r="G125" s="3"/>
    </row>
    <row r="126" spans="1:7" ht="57" customHeight="1" x14ac:dyDescent="0.2">
      <c r="A126" s="3" t="s">
        <v>865</v>
      </c>
      <c r="B126" s="4">
        <v>125</v>
      </c>
      <c r="C126" s="3" t="s">
        <v>870</v>
      </c>
      <c r="D126" s="3"/>
      <c r="E126" s="3" t="s">
        <v>987</v>
      </c>
      <c r="F126" s="3"/>
      <c r="G126" s="3"/>
    </row>
    <row r="127" spans="1:7" ht="48" customHeight="1" x14ac:dyDescent="0.2">
      <c r="A127" s="3" t="s">
        <v>872</v>
      </c>
      <c r="B127" s="4">
        <v>126</v>
      </c>
      <c r="C127" s="3" t="s">
        <v>876</v>
      </c>
      <c r="D127" s="3"/>
      <c r="E127" s="3" t="s">
        <v>873</v>
      </c>
      <c r="F127" s="3"/>
      <c r="G127" s="3"/>
    </row>
    <row r="128" spans="1:7" ht="342.95" customHeight="1" x14ac:dyDescent="0.2">
      <c r="A128" s="3" t="s">
        <v>878</v>
      </c>
      <c r="B128" s="4">
        <v>127</v>
      </c>
      <c r="C128" s="3" t="s">
        <v>883</v>
      </c>
      <c r="D128" s="3" t="s">
        <v>885</v>
      </c>
      <c r="E128" s="3" t="s">
        <v>988</v>
      </c>
      <c r="F128" s="3" t="s">
        <v>989</v>
      </c>
      <c r="G128" s="3"/>
    </row>
    <row r="129" spans="1:7" ht="69.95" customHeight="1" x14ac:dyDescent="0.2">
      <c r="A129" s="3" t="s">
        <v>887</v>
      </c>
      <c r="B129" s="4">
        <v>128</v>
      </c>
      <c r="C129" s="3" t="s">
        <v>892</v>
      </c>
      <c r="D129" s="3"/>
      <c r="E129" s="3" t="s">
        <v>990</v>
      </c>
      <c r="F129" s="3"/>
      <c r="G129" s="3"/>
    </row>
    <row r="130" spans="1:7" ht="252" customHeight="1" x14ac:dyDescent="0.2">
      <c r="A130" s="3" t="s">
        <v>894</v>
      </c>
      <c r="B130" s="4">
        <v>129</v>
      </c>
      <c r="C130" s="3" t="s">
        <v>898</v>
      </c>
      <c r="D130" s="3" t="s">
        <v>885</v>
      </c>
      <c r="E130" s="3" t="s">
        <v>991</v>
      </c>
      <c r="F130" s="3"/>
      <c r="G130" s="3"/>
    </row>
    <row r="131" spans="1:7" ht="83.1" customHeight="1" x14ac:dyDescent="0.2">
      <c r="A131" s="3" t="s">
        <v>901</v>
      </c>
      <c r="B131" s="4">
        <v>130</v>
      </c>
      <c r="C131" s="3" t="s">
        <v>906</v>
      </c>
      <c r="D131" s="3"/>
      <c r="E131" s="3" t="s">
        <v>992</v>
      </c>
      <c r="F131" s="3"/>
      <c r="G131" s="3"/>
    </row>
    <row r="132" spans="1:7" ht="83.1" customHeight="1" x14ac:dyDescent="0.2">
      <c r="A132" s="3" t="s">
        <v>908</v>
      </c>
      <c r="B132" s="4">
        <v>131</v>
      </c>
      <c r="C132" s="3" t="s">
        <v>912</v>
      </c>
      <c r="D132" s="3" t="s">
        <v>816</v>
      </c>
      <c r="E132" s="3" t="s">
        <v>993</v>
      </c>
      <c r="F132" s="3"/>
      <c r="G132" s="3"/>
    </row>
    <row r="133" spans="1:7" ht="48" customHeight="1" x14ac:dyDescent="0.2">
      <c r="A133" s="3" t="s">
        <v>915</v>
      </c>
      <c r="B133" s="4">
        <v>132</v>
      </c>
      <c r="C133" s="3" t="s">
        <v>920</v>
      </c>
      <c r="D133" s="3"/>
      <c r="E133" s="3" t="s">
        <v>916</v>
      </c>
      <c r="F133" s="3"/>
      <c r="G133" s="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6"/>
  <sheetViews>
    <sheetView showGridLines="0" workbookViewId="0">
      <pane ySplit="1" topLeftCell="A2" activePane="bottomLeft" state="frozen"/>
      <selection pane="bottomLeft"/>
    </sheetView>
  </sheetViews>
  <sheetFormatPr defaultRowHeight="14.25" x14ac:dyDescent="0.2"/>
  <cols>
    <col min="1" max="1" width="23" customWidth="1"/>
    <col min="2" max="2" width="31" customWidth="1"/>
    <col min="3" max="3" width="145" customWidth="1"/>
  </cols>
  <sheetData>
    <row r="1" spans="1:3" ht="48" customHeight="1" x14ac:dyDescent="0.2">
      <c r="A1" s="2" t="s">
        <v>994</v>
      </c>
      <c r="B1" s="2" t="s">
        <v>995</v>
      </c>
      <c r="C1" s="2" t="s">
        <v>996</v>
      </c>
    </row>
    <row r="2" spans="1:3" ht="48" customHeight="1" x14ac:dyDescent="0.2">
      <c r="A2" s="3" t="s">
        <v>997</v>
      </c>
      <c r="B2" s="3" t="s">
        <v>998</v>
      </c>
      <c r="C2" s="3" t="s">
        <v>999</v>
      </c>
    </row>
    <row r="3" spans="1:3" ht="62.1" customHeight="1" x14ac:dyDescent="0.2">
      <c r="A3" s="3" t="s">
        <v>997</v>
      </c>
      <c r="B3" s="3" t="s">
        <v>1000</v>
      </c>
      <c r="C3" s="3" t="s">
        <v>1001</v>
      </c>
    </row>
    <row r="4" spans="1:3" ht="48" customHeight="1" x14ac:dyDescent="0.2">
      <c r="A4" s="3" t="s">
        <v>997</v>
      </c>
      <c r="B4" s="3" t="s">
        <v>1002</v>
      </c>
      <c r="C4" s="3" t="s">
        <v>1003</v>
      </c>
    </row>
    <row r="5" spans="1:3" ht="48" customHeight="1" x14ac:dyDescent="0.2">
      <c r="A5" s="3" t="s">
        <v>997</v>
      </c>
      <c r="B5" s="3" t="s">
        <v>1004</v>
      </c>
      <c r="C5" s="3" t="s">
        <v>1005</v>
      </c>
    </row>
    <row r="6" spans="1:3" ht="48" customHeight="1" x14ac:dyDescent="0.2">
      <c r="A6" s="3" t="s">
        <v>997</v>
      </c>
      <c r="B6" s="3" t="s">
        <v>1006</v>
      </c>
      <c r="C6" s="3" t="s">
        <v>1007</v>
      </c>
    </row>
    <row r="7" spans="1:3" ht="48" customHeight="1" x14ac:dyDescent="0.2">
      <c r="A7" s="3" t="s">
        <v>997</v>
      </c>
      <c r="B7" s="3" t="s">
        <v>1008</v>
      </c>
      <c r="C7" s="3" t="s">
        <v>1009</v>
      </c>
    </row>
    <row r="8" spans="1:3" ht="62.1" customHeight="1" x14ac:dyDescent="0.2">
      <c r="A8" s="3" t="s">
        <v>997</v>
      </c>
      <c r="B8" s="3" t="s">
        <v>7</v>
      </c>
      <c r="C8" s="3" t="s">
        <v>1010</v>
      </c>
    </row>
    <row r="9" spans="1:3" ht="62.1" customHeight="1" x14ac:dyDescent="0.2">
      <c r="A9" s="3" t="s">
        <v>997</v>
      </c>
      <c r="B9" s="3" t="s">
        <v>1011</v>
      </c>
      <c r="C9" s="3" t="s">
        <v>1012</v>
      </c>
    </row>
    <row r="10" spans="1:3" ht="48" customHeight="1" x14ac:dyDescent="0.2">
      <c r="A10" s="3" t="s">
        <v>997</v>
      </c>
      <c r="B10" s="3" t="s">
        <v>1013</v>
      </c>
      <c r="C10" s="3" t="s">
        <v>1014</v>
      </c>
    </row>
    <row r="11" spans="1:3" ht="62.1" customHeight="1" x14ac:dyDescent="0.2">
      <c r="A11" s="3" t="s">
        <v>997</v>
      </c>
      <c r="B11" s="3" t="s">
        <v>1015</v>
      </c>
      <c r="C11" s="3" t="s">
        <v>1016</v>
      </c>
    </row>
    <row r="12" spans="1:3" ht="62.1" customHeight="1" x14ac:dyDescent="0.2">
      <c r="A12" s="3" t="s">
        <v>997</v>
      </c>
      <c r="B12" s="3" t="s">
        <v>1017</v>
      </c>
      <c r="C12" s="3" t="s">
        <v>1018</v>
      </c>
    </row>
    <row r="13" spans="1:3" ht="48" customHeight="1" x14ac:dyDescent="0.2">
      <c r="A13" s="3" t="s">
        <v>997</v>
      </c>
      <c r="B13" s="3" t="s">
        <v>1019</v>
      </c>
      <c r="C13" s="3" t="s">
        <v>1020</v>
      </c>
    </row>
    <row r="14" spans="1:3" ht="48" customHeight="1" x14ac:dyDescent="0.2">
      <c r="A14" s="3" t="s">
        <v>997</v>
      </c>
      <c r="B14" s="3" t="s">
        <v>1021</v>
      </c>
      <c r="C14" s="3" t="s">
        <v>1022</v>
      </c>
    </row>
    <row r="15" spans="1:3" ht="48" customHeight="1" x14ac:dyDescent="0.2">
      <c r="A15" s="3" t="s">
        <v>997</v>
      </c>
      <c r="B15" s="3" t="s">
        <v>1023</v>
      </c>
      <c r="C15" s="3" t="s">
        <v>1024</v>
      </c>
    </row>
    <row r="16" spans="1:3" ht="48" customHeight="1" x14ac:dyDescent="0.2">
      <c r="A16" s="3" t="s">
        <v>997</v>
      </c>
      <c r="B16" s="3" t="s">
        <v>1025</v>
      </c>
      <c r="C16" s="3" t="s">
        <v>1026</v>
      </c>
    </row>
    <row r="17" spans="1:3" ht="48" customHeight="1" x14ac:dyDescent="0.2">
      <c r="A17" s="3" t="s">
        <v>997</v>
      </c>
      <c r="B17" s="3" t="s">
        <v>1027</v>
      </c>
      <c r="C17" s="3" t="s">
        <v>1028</v>
      </c>
    </row>
    <row r="18" spans="1:3" ht="62.1" customHeight="1" x14ac:dyDescent="0.2">
      <c r="A18" s="3" t="s">
        <v>997</v>
      </c>
      <c r="B18" s="3" t="s">
        <v>1029</v>
      </c>
      <c r="C18" s="3" t="s">
        <v>1030</v>
      </c>
    </row>
    <row r="19" spans="1:3" ht="48" customHeight="1" x14ac:dyDescent="0.2">
      <c r="A19" s="3" t="s">
        <v>997</v>
      </c>
      <c r="B19" s="3" t="s">
        <v>1031</v>
      </c>
      <c r="C19" s="3" t="s">
        <v>1032</v>
      </c>
    </row>
    <row r="20" spans="1:3" ht="48" customHeight="1" x14ac:dyDescent="0.2">
      <c r="A20" s="3" t="s">
        <v>997</v>
      </c>
      <c r="B20" s="3" t="s">
        <v>1033</v>
      </c>
      <c r="C20" s="3" t="s">
        <v>1034</v>
      </c>
    </row>
    <row r="21" spans="1:3" ht="62.1" customHeight="1" x14ac:dyDescent="0.2">
      <c r="A21" s="3" t="s">
        <v>997</v>
      </c>
      <c r="B21" s="3" t="s">
        <v>1035</v>
      </c>
      <c r="C21" s="3" t="s">
        <v>1036</v>
      </c>
    </row>
    <row r="22" spans="1:3" ht="62.1" customHeight="1" x14ac:dyDescent="0.2">
      <c r="A22" s="3" t="s">
        <v>997</v>
      </c>
      <c r="B22" s="3" t="s">
        <v>1037</v>
      </c>
      <c r="C22" s="3" t="s">
        <v>1038</v>
      </c>
    </row>
    <row r="23" spans="1:3" ht="48" customHeight="1" x14ac:dyDescent="0.2">
      <c r="A23" s="3" t="s">
        <v>4</v>
      </c>
      <c r="B23" s="3" t="s">
        <v>11</v>
      </c>
      <c r="C23" s="3" t="s">
        <v>1039</v>
      </c>
    </row>
    <row r="24" spans="1:3" ht="42" customHeight="1" x14ac:dyDescent="0.2">
      <c r="A24" s="3" t="s">
        <v>4</v>
      </c>
      <c r="B24" s="3" t="s">
        <v>14</v>
      </c>
      <c r="C24" s="3" t="s">
        <v>1040</v>
      </c>
    </row>
    <row r="25" spans="1:3" ht="42" customHeight="1" x14ac:dyDescent="0.2">
      <c r="A25" s="3" t="s">
        <v>4</v>
      </c>
      <c r="B25" s="3" t="s">
        <v>17</v>
      </c>
      <c r="C25" s="3" t="s">
        <v>1041</v>
      </c>
    </row>
    <row r="26" spans="1:3" ht="42" customHeight="1" x14ac:dyDescent="0.2">
      <c r="A26" s="3" t="s">
        <v>4</v>
      </c>
      <c r="B26" s="3" t="s">
        <v>20</v>
      </c>
      <c r="C26" s="3" t="s">
        <v>1042</v>
      </c>
    </row>
    <row r="27" spans="1:3" ht="42" customHeight="1" x14ac:dyDescent="0.2">
      <c r="A27" s="3" t="s">
        <v>4</v>
      </c>
      <c r="B27" s="3" t="s">
        <v>23</v>
      </c>
      <c r="C27" s="3" t="s">
        <v>1043</v>
      </c>
    </row>
    <row r="28" spans="1:3" ht="48" customHeight="1" x14ac:dyDescent="0.2">
      <c r="A28" s="3" t="s">
        <v>4</v>
      </c>
      <c r="B28" s="3" t="s">
        <v>26</v>
      </c>
      <c r="C28" s="3" t="s">
        <v>1044</v>
      </c>
    </row>
    <row r="29" spans="1:3" ht="42" customHeight="1" x14ac:dyDescent="0.2">
      <c r="A29" s="3" t="s">
        <v>4</v>
      </c>
      <c r="B29" s="3" t="s">
        <v>28</v>
      </c>
      <c r="C29" s="3" t="s">
        <v>1045</v>
      </c>
    </row>
    <row r="30" spans="1:3" ht="48" customHeight="1" x14ac:dyDescent="0.2">
      <c r="A30" s="3" t="s">
        <v>4</v>
      </c>
      <c r="B30" s="3" t="s">
        <v>30</v>
      </c>
      <c r="C30" s="3" t="s">
        <v>1046</v>
      </c>
    </row>
    <row r="31" spans="1:3" ht="42" customHeight="1" x14ac:dyDescent="0.2">
      <c r="A31" s="3" t="s">
        <v>7</v>
      </c>
      <c r="B31" s="3" t="s">
        <v>12</v>
      </c>
      <c r="C31" s="3" t="s">
        <v>1047</v>
      </c>
    </row>
    <row r="32" spans="1:3" ht="42" customHeight="1" x14ac:dyDescent="0.2">
      <c r="A32" s="3" t="s">
        <v>7</v>
      </c>
      <c r="B32" s="3" t="s">
        <v>15</v>
      </c>
      <c r="C32" s="3" t="s">
        <v>1048</v>
      </c>
    </row>
    <row r="33" spans="1:3" ht="42" customHeight="1" x14ac:dyDescent="0.2">
      <c r="A33" s="3" t="s">
        <v>7</v>
      </c>
      <c r="B33" s="3" t="s">
        <v>18</v>
      </c>
      <c r="C33" s="3" t="s">
        <v>1049</v>
      </c>
    </row>
    <row r="34" spans="1:3" ht="42" customHeight="1" x14ac:dyDescent="0.2">
      <c r="A34" s="3" t="s">
        <v>7</v>
      </c>
      <c r="B34" s="3" t="s">
        <v>21</v>
      </c>
      <c r="C34" s="3" t="s">
        <v>1050</v>
      </c>
    </row>
    <row r="35" spans="1:3" ht="42" customHeight="1" x14ac:dyDescent="0.2">
      <c r="A35" s="3" t="s">
        <v>7</v>
      </c>
      <c r="B35" s="3" t="s">
        <v>24</v>
      </c>
      <c r="C35" s="3" t="s">
        <v>1051</v>
      </c>
    </row>
    <row r="36" spans="1:3" ht="48" customHeight="1" x14ac:dyDescent="0.2">
      <c r="A36" s="3" t="s">
        <v>10</v>
      </c>
      <c r="B36" s="3" t="s">
        <v>13</v>
      </c>
      <c r="C36" s="3" t="s">
        <v>1052</v>
      </c>
    </row>
    <row r="37" spans="1:3" ht="48" customHeight="1" x14ac:dyDescent="0.2">
      <c r="A37" s="3" t="s">
        <v>10</v>
      </c>
      <c r="B37" s="3" t="s">
        <v>16</v>
      </c>
      <c r="C37" s="3" t="s">
        <v>1053</v>
      </c>
    </row>
    <row r="38" spans="1:3" ht="48" customHeight="1" x14ac:dyDescent="0.2">
      <c r="A38" s="3" t="s">
        <v>10</v>
      </c>
      <c r="B38" s="3" t="s">
        <v>19</v>
      </c>
      <c r="C38" s="3" t="s">
        <v>1054</v>
      </c>
    </row>
    <row r="39" spans="1:3" ht="48" customHeight="1" x14ac:dyDescent="0.2">
      <c r="A39" s="3" t="s">
        <v>10</v>
      </c>
      <c r="B39" s="3" t="s">
        <v>22</v>
      </c>
      <c r="C39" s="3" t="s">
        <v>1055</v>
      </c>
    </row>
    <row r="40" spans="1:3" ht="42" customHeight="1" x14ac:dyDescent="0.2">
      <c r="A40" s="3" t="s">
        <v>10</v>
      </c>
      <c r="B40" s="3" t="s">
        <v>25</v>
      </c>
      <c r="C40" s="3" t="s">
        <v>1056</v>
      </c>
    </row>
    <row r="41" spans="1:3" ht="48" customHeight="1" x14ac:dyDescent="0.2">
      <c r="A41" s="3" t="s">
        <v>10</v>
      </c>
      <c r="B41" s="3" t="s">
        <v>27</v>
      </c>
      <c r="C41" s="3" t="s">
        <v>1057</v>
      </c>
    </row>
    <row r="42" spans="1:3" ht="48" customHeight="1" x14ac:dyDescent="0.2">
      <c r="A42" s="3" t="s">
        <v>10</v>
      </c>
      <c r="B42" s="3" t="s">
        <v>29</v>
      </c>
      <c r="C42" s="3" t="s">
        <v>1058</v>
      </c>
    </row>
    <row r="43" spans="1:3" ht="42" customHeight="1" x14ac:dyDescent="0.2">
      <c r="A43" s="3" t="s">
        <v>1059</v>
      </c>
      <c r="B43" s="3" t="s">
        <v>1060</v>
      </c>
      <c r="C43" s="3" t="s">
        <v>1061</v>
      </c>
    </row>
    <row r="44" spans="1:3" ht="42" customHeight="1" x14ac:dyDescent="0.2">
      <c r="A44" s="3" t="s">
        <v>1059</v>
      </c>
      <c r="B44" s="3" t="s">
        <v>1062</v>
      </c>
      <c r="C44" s="3" t="s">
        <v>1063</v>
      </c>
    </row>
    <row r="45" spans="1:3" ht="42" customHeight="1" x14ac:dyDescent="0.2">
      <c r="A45" s="3" t="s">
        <v>1059</v>
      </c>
      <c r="B45" s="3" t="s">
        <v>1064</v>
      </c>
      <c r="C45" s="3" t="s">
        <v>1065</v>
      </c>
    </row>
    <row r="46" spans="1:3" ht="62.1" customHeight="1" x14ac:dyDescent="0.2">
      <c r="A46" s="3" t="s">
        <v>1059</v>
      </c>
      <c r="B46" s="3" t="s">
        <v>1066</v>
      </c>
      <c r="C46" s="3" t="s">
        <v>1067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Coding</vt:lpstr>
      <vt:lpstr>Human prompts</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Vahid Garousi</cp:lastModifiedBy>
  <dcterms:modified xsi:type="dcterms:W3CDTF">2026-10-05T21:20:16Z</dcterms:modified>
</cp:coreProperties>
</file>