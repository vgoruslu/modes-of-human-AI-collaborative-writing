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7510427cbb34be3" /></Relationships>
</file>

<file path=xl/workbook.xml><?xml version="1.0" encoding="utf-8"?>
<x:workbook xmlns:x="http://schemas.openxmlformats.org/spreadsheetml/2006/main">
  <x:sheets>
    <x:sheet xmlns:r="http://schemas.openxmlformats.org/officeDocument/2006/relationships" name="Summary" sheetId="1" r:id="Red7730464e88434b"/>
    <x:sheet xmlns:r="http://schemas.openxmlformats.org/officeDocument/2006/relationships" name="Coding" sheetId="2" r:id="R2a1dc15ba6cd4720"/>
    <x:sheet xmlns:r="http://schemas.openxmlformats.org/officeDocument/2006/relationships" name="Human prompts" sheetId="3" r:id="Rc462cca818b54a17"/>
    <x:sheet xmlns:r="http://schemas.openxmlformats.org/officeDocument/2006/relationships" name="Source occurrences" sheetId="4" r:id="R0dc9e43d08734003"/>
    <x:sheet xmlns:r="http://schemas.openxmlformats.org/officeDocument/2006/relationships" name="Codebook" sheetId="5" r:id="R4dc910a4f7324364"/>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
  </x:numFmts>
  <x:fonts count="5">
    <x:font>
      <x:sz val="11"/>
      <x:name val="Carlito"/>
    </x:font>
    <x:font>
      <x:sz val="10"/>
      <x:color rgb="FF223449"/>
      <x:name val="Arial"/>
    </x:font>
    <x:font>
      <x:b/>
      <x:sz val="10"/>
      <x:color rgb="FFFFFFFF"/>
      <x:name val="Arial"/>
    </x:font>
    <x:font>
      <x:b/>
      <x:sz val="14"/>
      <x:color rgb="FF223449"/>
      <x:name val="Arial"/>
    </x:font>
    <x:font>
      <x:b/>
      <x:sz val="10"/>
      <x:color rgb="FF223449"/>
      <x:name val="Arial"/>
    </x:font>
  </x:fonts>
  <x:fills count="3">
    <x:fill>
      <x:patternFill patternType="none"/>
    </x:fill>
    <x:fill>
      <x:patternFill patternType="gray125"/>
    </x:fill>
    <x:fill>
      <x:patternFill patternType="solid">
        <x:fgColor rgb="FF29435C"/>
      </x:patternFill>
    </x:fill>
  </x:fills>
  <x:borders count="1">
    <x:border/>
  </x:borders>
  <x:cellStyleXfs count="1">
    <x:xf numFmtId="0" fontId="0" fillId="0" borderId="0"/>
  </x:cellStyleXfs>
  <x:cellXfs count="14">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2" fillId="2" borderId="0" xfId="0" applyNumberFormat="1" applyFont="1" applyFill="1" applyBorder="1" applyAlignment="1">
      <x:alignment vertical="top"/>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0" fontId="3" fillId="0" borderId="0" xfId="0" applyNumberFormat="1" applyFont="1" applyFill="1" applyBorder="1" applyAlignment="1">
      <x:alignment vertical="top"/>
    </x:xf>
    <x:xf numFmtId="201" fontId="1" fillId="0" borderId="0" xfId="0" applyNumberFormat="1" applyFont="1" applyFill="1" applyBorder="1" applyAlignment="1">
      <x:alignment vertical="top"/>
    </x:xf>
    <x:xf numFmtId="0" fontId="4" fillId="0" borderId="0" xfId="0" applyNumberFormat="1" applyFont="1" applyFill="1" applyBorder="1" applyAlignment="1">
      <x:alignment vertical="top"/>
    </x:xf>
    <x:xf numFmtId="200" fontId="1" fillId="0" borderId="0" xfId="0" applyNumberFormat="1" applyFont="1" applyFill="1" applyBorder="1" applyAlignment="1">
      <x:alignment vertical="top"/>
    </x:xf>
  </x:cellXfs>
  <x:cellStyles count="1">
    <x:cellStyle name="Normal" xfId="0"/>
  </x:cellStyles>
  <x:dxfs count="2">
    <x:dxf>
      <x:fill>
        <x:patternFill patternType="solid">
          <x:bgColor rgb="FFFFF2CC"/>
        </x:patternFill>
      </x:fill>
    </x:dxf>
    <x:dxf>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1aa8645517f4e31" /><Relationship Type="http://schemas.openxmlformats.org/officeDocument/2006/relationships/theme" Target="/xl/theme/theme1.xml" Id="R6e5b1fd6298d4f37" /><Relationship Type="http://schemas.openxmlformats.org/officeDocument/2006/relationships/sharedStrings" Target="/xl/sharedStrings.xml" Id="R372d66332fbf41f1" /><Relationship Type="http://schemas.openxmlformats.org/officeDocument/2006/relationships/worksheet" Target="/xl/worksheets/sheet1.xml" Id="Red7730464e88434b" /><Relationship Type="http://schemas.openxmlformats.org/officeDocument/2006/relationships/worksheet" Target="/xl/worksheets/sheet2.xml" Id="R2a1dc15ba6cd4720" /><Relationship Type="http://schemas.openxmlformats.org/officeDocument/2006/relationships/worksheet" Target="/xl/worksheets/sheet3.xml" Id="Rc462cca818b54a17" /><Relationship Type="http://schemas.openxmlformats.org/officeDocument/2006/relationships/worksheet" Target="/xl/worksheets/sheet4.xml" Id="R0dc9e43d08734003" /><Relationship Type="http://schemas.openxmlformats.org/officeDocument/2006/relationships/worksheet" Target="/xl/worksheets/sheet5.xml" Id="R4dc910a4f7324364" /></Relationships>
</file>

<file path=xl/tables/table1.xml><?xml version="1.0" encoding="utf-8"?>
<x:table xmlns:x="http://schemas.openxmlformats.org/spreadsheetml/2006/main" id="1" name="Paper4Coding" displayName="Paper4Coding" ref="A1:AD131" headerRowCount="1" totalsRowCount="0" totalsRowShown="0">
  <x:tableColumns count="30">
    <x:tableColumn id="1" name="Turn ID"/>
    <x:tableColumn id="2" name="Sequence"/>
    <x:tableColumn id="3" name="Phase"/>
    <x:tableColumn id="4" name="Prompt excerpt"/>
    <x:tableColumn id="5" name="Primary interaction type"/>
    <x:tableColumn id="6" name="Additional interaction types"/>
    <x:tableColumn id="7" name="Agency mode"/>
    <x:tableColumn id="8" name="Expertise evidence"/>
    <x:tableColumn id="9" name="Coding rationale"/>
    <x:tableColumn id="10" name="Observed outcome / notes"/>
    <x:tableColumn id="11" name="Prompt provenance"/>
    <x:tableColumn id="12" name="Response provenance"/>
    <x:tableColumn id="13" name="Attachment / contextual material"/>
    <x:tableColumn id="14" name="Response availability"/>
    <x:tableColumn id="15" name="Coding caution"/>
    <x:tableColumn id="16" name="Type: Delegation"/>
    <x:tableColumn id="17" name="Type: Directed delegation"/>
    <x:tableColumn id="18" name="Type: Evaluation"/>
    <x:tableColumn id="19" name="Type: Correction/Challenge"/>
    <x:tableColumn id="20" name="Type: Redirection"/>
    <x:tableColumn id="21" name="Type: Knowledge injection"/>
    <x:tableColumn id="22" name="Type: Selection/Rejection"/>
    <x:tableColumn id="23" name="Type: Deliberation"/>
    <x:tableColumn id="24" name="Expertise: domain correction"/>
    <x:tableColumn id="25" name="Expertise: conceptual discrimination"/>
    <x:tableColumn id="26" name="Expertise: evidence judgment"/>
    <x:tableColumn id="27" name="Expertise: methodological judgment"/>
    <x:tableColumn id="28" name="Expertise: argumentative judgment"/>
    <x:tableColumn id="29" name="Expertise: genre/writing expertise"/>
    <x:tableColumn id="30" name="Expertise: none"/>
  </x:tableColumns>
  <x:tableStyleInfo name="TableStyleMedium2" showFirstColumn="0" showLastColumn="0" showRowStripes="1" showColumnStripes="0"/>
</x:table>
</file>

<file path=xl/tables/table2.xml><?xml version="1.0" encoding="utf-8"?>
<x:table xmlns:x="http://schemas.openxmlformats.org/spreadsheetml/2006/main" id="2" name="Paper4HumanPrompts" displayName="Paper4HumanPrompts" ref="A1:F131" headerRowCount="1" totalsRowCount="0" totalsRowShown="0">
  <x:tableColumns count="6">
    <x:tableColumn id="1" name="Turn ID"/>
    <x:tableColumn id="2" name="Sequence"/>
    <x:tableColumn id="3" name="Prompt provenance"/>
    <x:tableColumn id="4" name="Attachment / contextual material"/>
    <x:tableColumn id="5" name="Full human prompt (part 1)"/>
    <x:tableColumn id="6" name="Prompt continuation (part 2)"/>
  </x:tableColumns>
  <x:tableStyleInfo name="TableStyleMedium2" showFirstColumn="0" showLastColumn="0" showRowStripes="1" showColumnStripes="0"/>
</x:table>
</file>

<file path=xl/tables/table3.xml><?xml version="1.0" encoding="utf-8"?>
<x:table xmlns:x="http://schemas.openxmlformats.org/spreadsheetml/2006/main" id="3" name="Paper4SourceOccurrences" displayName="Paper4SourceOccurrences" ref="A1:F137" headerRowCount="1" totalsRowCount="0" totalsRowShown="0">
  <x:tableColumns count="6">
    <x:tableColumn id="1" name="Source occurrence ID"/>
    <x:tableColumn id="2" name="Coded turn ID"/>
    <x:tableColumn id="3" name="Unique sequence"/>
    <x:tableColumn id="4" name="Document phase"/>
    <x:tableColumn id="5" name="Message-block provenance"/>
    <x:tableColumn id="6" name="Export status"/>
  </x:tableColumns>
  <x:tableStyleInfo name="TableStyleMedium2" showFirstColumn="0" showLastColumn="0" showRowStripes="1" showColumnStripes="0"/>
</x:table>
</file>

<file path=xl/tables/table4.xml><?xml version="1.0" encoding="utf-8"?>
<x:table xmlns:x="http://schemas.openxmlformats.org/spreadsheetml/2006/main" id="4" name="Paper4Codebook" displayName="Paper4Codebook" ref="A1:C46" headerRowCount="1" totalsRowCount="0" totalsRowShown="0">
  <x:tableColumns count="3">
    <x:tableColumn id="1" name="Dimension"/>
    <x:tableColumn id="2" name="Code / rule"/>
    <x:tableColumn id="3" name="Definition / interpretation limi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f1b2480ce294ee1" /></Relationships>
</file>

<file path=xl/worksheets/_rels/sheet3.xml.rels>&#65279;<?xml version="1.0" encoding="utf-8"?><Relationships xmlns="http://schemas.openxmlformats.org/package/2006/relationships"><Relationship Type="http://schemas.openxmlformats.org/officeDocument/2006/relationships/table" Target="/xl/tables/table2.xml" Id="R3c995c24e8a04cd3" /></Relationships>
</file>

<file path=xl/worksheets/_rels/sheet4.xml.rels>&#65279;<?xml version="1.0" encoding="utf-8"?><Relationships xmlns="http://schemas.openxmlformats.org/package/2006/relationships"><Relationship Type="http://schemas.openxmlformats.org/officeDocument/2006/relationships/table" Target="/xl/tables/table3.xml" Id="R1dc831f237864162" /></Relationships>
</file>

<file path=xl/worksheets/_rels/sheet5.xml.rels>&#65279;<?xml version="1.0" encoding="utf-8"?><Relationships xmlns="http://schemas.openxmlformats.org/package/2006/relationships"><Relationship Type="http://schemas.openxmlformats.org/officeDocument/2006/relationships/table" Target="/xl/tables/table4.xml" Id="Rf6118936bd704a97" /></Relationships>
</file>

<file path=xl/worksheets/sheet1.xml><?xml version="1.0" encoding="utf-8"?>
<x:worksheet xmlns:x="http://schemas.openxmlformats.org/spreadsheetml/2006/main">
  <x:sheetPr>
    <x:tabColor rgb="FF29435C"/>
  </x:sheetPr>
  <x:sheetViews>
    <x:sheetView showGridLines="0" workbookViewId="0"/>
  </x:sheetViews>
  <x:sheetFormatPr defaultRowHeight="15"/>
  <x:cols>
    <x:col min="1" max="1" width="43" hidden="0" customWidth="1"/>
    <x:col min="2" max="2" width="14" hidden="0" customWidth="1"/>
    <x:col min="3" max="3" width="16" hidden="0" customWidth="1"/>
    <x:col min="4" max="4" width="23" hidden="0" customWidth="1"/>
    <x:col min="5" max="5" width="14" hidden="0" customWidth="1"/>
    <x:col min="6" max="6" width="20" hidden="0" customWidth="1"/>
    <x:col min="7" max="7" width="12" hidden="0" customWidth="1"/>
    <x:col min="8" max="8" width="15" hidden="0" customWidth="1"/>
    <x:col min="9" max="9" width="15" hidden="0" customWidth="1"/>
    <x:col min="10" max="10" width="31" hidden="0" customWidth="1"/>
    <x:col min="11" max="11" width="12" hidden="0" customWidth="1"/>
    <x:col min="12" max="12" width="12" hidden="0" customWidth="1"/>
    <x:col min="13" max="13" width="5" hidden="0" customWidth="1"/>
    <x:col min="14" max="14" width="5" hidden="0" customWidth="1"/>
  </x:cols>
  <x:sheetData>
    <x:row r="1">
      <x:c r="A1" s="2"/>
      <x:c r="B1" s="2"/>
      <x:c r="C1" s="2"/>
      <x:c r="D1" s="2"/>
      <x:c r="E1" s="2"/>
      <x:c r="F1" s="2"/>
      <x:c r="G1" s="2"/>
      <x:c r="H1" s="2"/>
      <x:c r="I1" s="2"/>
      <x:c r="J1" s="2"/>
      <x:c r="K1" s="2"/>
      <x:c r="L1" s="2"/>
      <x:c r="M1" s="2"/>
      <x:c r="N1" s="2"/>
    </x:row>
    <x:row r="2">
      <x:c r="A2" s="10" t="str">
        <x:v>Paper 4: Human agency and expertise</x:v>
      </x:c>
      <x:c r="B2" s="2"/>
      <x:c r="C2" s="2"/>
      <x:c r="D2" s="2"/>
      <x:c r="E2" s="2"/>
      <x:c r="F2" s="2"/>
      <x:c r="G2" s="2"/>
      <x:c r="H2" s="2"/>
      <x:c r="I2" s="2"/>
      <x:c r="J2" s="2"/>
      <x:c r="K2" s="2"/>
      <x:c r="L2" s="2"/>
      <x:c r="M2" s="2"/>
      <x:c r="N2" s="2"/>
    </x:row>
    <x:row r="3">
      <x:c r="A3" s="2"/>
      <x:c r="B3" s="2"/>
      <x:c r="C3" s="2"/>
      <x:c r="D3" s="2"/>
      <x:c r="E3" s="2"/>
      <x:c r="F3" s="2"/>
      <x:c r="G3" s="2"/>
      <x:c r="H3" s="2"/>
      <x:c r="I3" s="2"/>
      <x:c r="J3" s="2"/>
      <x:c r="K3" s="2"/>
      <x:c r="L3" s="2"/>
      <x:c r="M3" s="2"/>
      <x:c r="N3" s="2"/>
    </x:row>
    <x:row r="4">
      <x:c r="A4" s="2" t="str">
        <x:v>Distinct human turns</x:v>
      </x:c>
      <x:c r="B4" s="13" t="n">
        <x:v>130</x:v>
      </x:c>
      <x:c r="C4" s="2"/>
      <x:c r="D4" s="2" t="str">
        <x:v>136 exported occurrences; 6 are repeated shared history.</x:v>
      </x:c>
      <x:c r="E4" s="2"/>
      <x:c r="F4" s="2"/>
      <x:c r="G4" s="2"/>
      <x:c r="H4" s="2"/>
      <x:c r="I4" s="2"/>
      <x:c r="J4" s="2"/>
      <x:c r="K4" s="2"/>
      <x:c r="L4" s="2"/>
      <x:c r="M4" s="2"/>
      <x:c r="N4" s="2"/>
    </x:row>
    <x:row r="5">
      <x:c r="A5" s="2" t="str">
        <x:v>No substantive next AI reply</x:v>
      </x:c>
      <x:c r="B5" s="13" t="n">
        <x:v>3</x:v>
      </x:c>
      <x:c r="C5" s="2"/>
      <x:c r="D5" s="2" t="str">
        <x:v>130 distinct exchanges across four research/writing logs.</x:v>
      </x:c>
      <x:c r="E5" s="2"/>
      <x:c r="F5" s="2"/>
      <x:c r="G5" s="2"/>
      <x:c r="H5" s="2"/>
      <x:c r="I5" s="2"/>
      <x:c r="J5" s="2"/>
      <x:c r="K5" s="2"/>
      <x:c r="L5" s="2"/>
      <x:c r="M5" s="2"/>
      <x:c r="N5" s="2"/>
    </x:row>
    <x:row r="6">
      <x:c r="A6" s="2"/>
      <x:c r="B6" s="2"/>
      <x:c r="C6" s="2"/>
      <x:c r="D6" s="2"/>
      <x:c r="E6" s="2"/>
      <x:c r="F6" s="2"/>
      <x:c r="G6" s="2"/>
      <x:c r="H6" s="2"/>
      <x:c r="I6" s="2"/>
      <x:c r="J6" s="2"/>
      <x:c r="K6" s="2"/>
      <x:c r="L6" s="2"/>
      <x:c r="M6" s="2"/>
      <x:c r="N6" s="2"/>
    </x:row>
    <x:row r="7" ht="48" customHeight="1">
      <x:c r="A7" s="7" t="str">
        <x:v>Interaction type</x:v>
      </x:c>
      <x:c r="B7" s="7" t="str">
        <x:v>Primary count</x:v>
      </x:c>
      <x:c r="C7" s="7" t="str">
        <x:v>Any occurrence</x:v>
      </x:c>
      <x:c r="D7" s="7" t="str">
        <x:v>Share of turns (any)</x:v>
      </x:c>
      <x:c r="E7" s="2"/>
      <x:c r="F7" s="7" t="str">
        <x:v>Agency mode</x:v>
      </x:c>
      <x:c r="G7" s="7" t="str">
        <x:v>Turns</x:v>
      </x:c>
      <x:c r="H7" s="7" t="str">
        <x:v>Share</x:v>
      </x:c>
      <x:c r="I7" s="2"/>
      <x:c r="J7" s="7" t="str">
        <x:v>Expertise evidence</x:v>
      </x:c>
      <x:c r="K7" s="7" t="str">
        <x:v>Turns</x:v>
      </x:c>
      <x:c r="L7" s="7" t="str">
        <x:v>Share</x:v>
      </x:c>
      <x:c r="M7" s="2"/>
      <x:c r="N7" s="2"/>
    </x:row>
    <x:row r="8" ht="30" customHeight="1">
      <x:c r="A8" s="2" t="str">
        <x:v>Delegation</x:v>
      </x:c>
      <x:c r="B8" s="13" t="n">
        <x:f>COUNTIFS(Coding!$E$2:$E$131,A8)</x:f>
        <x:v>5</x:v>
      </x:c>
      <x:c r="C8" s="13" t="n">
        <x:f>SUM(Coding!P2:P131)</x:f>
        <x:v>5</x:v>
      </x:c>
      <x:c r="D8" s="11" t="n">
        <x:f>C8/$B$4</x:f>
        <x:v>0.038461538461538464</x:v>
      </x:c>
      <x:c r="E8" s="2"/>
      <x:c r="F8" s="2" t="str">
        <x:v>Delegative</x:v>
      </x:c>
      <x:c r="G8" s="13" t="n">
        <x:f>COUNTIFS(Coding!$G$2:$G$131,F8)</x:f>
        <x:v>5</x:v>
      </x:c>
      <x:c r="H8" s="11" t="n">
        <x:f>G8/$B$4</x:f>
        <x:v>0.038461538461538464</x:v>
      </x:c>
      <x:c r="I8" s="2"/>
      <x:c r="J8" s="8" t="str">
        <x:v>domain correction</x:v>
      </x:c>
      <x:c r="K8" s="13" t="n">
        <x:f>SUM(Coding!X2:X131)</x:f>
        <x:v>0</x:v>
      </x:c>
      <x:c r="L8" s="11" t="n">
        <x:f>K8/$B$4</x:f>
        <x:v>0</x:v>
      </x:c>
      <x:c r="M8" s="2"/>
      <x:c r="N8" s="2"/>
    </x:row>
    <x:row r="9" ht="30" customHeight="1">
      <x:c r="A9" s="2" t="str">
        <x:v>Directed delegation</x:v>
      </x:c>
      <x:c r="B9" s="13" t="n">
        <x:f>COUNTIFS(Coding!$E$2:$E$131,A9)</x:f>
        <x:v>61</x:v>
      </x:c>
      <x:c r="C9" s="13" t="n">
        <x:f>SUM(Coding!Q2:Q131)</x:f>
        <x:v>96</x:v>
      </x:c>
      <x:c r="D9" s="11" t="n">
        <x:f>C9/$B$4</x:f>
        <x:v>0.7384615384615385</x:v>
      </x:c>
      <x:c r="E9" s="2"/>
      <x:c r="F9" s="2" t="str">
        <x:v>Directive</x:v>
      </x:c>
      <x:c r="G9" s="13" t="n">
        <x:f>COUNTIFS(Coding!$G$2:$G$131,F9)</x:f>
        <x:v>84</x:v>
      </x:c>
      <x:c r="H9" s="11" t="n">
        <x:f>G9/$B$4</x:f>
        <x:v>0.6461538461538462</x:v>
      </x:c>
      <x:c r="I9" s="2"/>
      <x:c r="J9" s="8" t="str">
        <x:v>conceptual discrimination</x:v>
      </x:c>
      <x:c r="K9" s="13" t="n">
        <x:f>SUM(Coding!Y2:Y131)</x:f>
        <x:v>12</x:v>
      </x:c>
      <x:c r="L9" s="11" t="n">
        <x:f>K9/$B$4</x:f>
        <x:v>0.09230769230769231</x:v>
      </x:c>
      <x:c r="M9" s="2"/>
      <x:c r="N9" s="2"/>
    </x:row>
    <x:row r="10" ht="30" customHeight="1">
      <x:c r="A10" s="2" t="str">
        <x:v>Evaluation</x:v>
      </x:c>
      <x:c r="B10" s="13" t="n">
        <x:f>COUNTIFS(Coding!$E$2:$E$131,A10)</x:f>
        <x:v>18</x:v>
      </x:c>
      <x:c r="C10" s="13" t="n">
        <x:f>SUM(Coding!R2:R131)</x:f>
        <x:v>32</x:v>
      </x:c>
      <x:c r="D10" s="11" t="n">
        <x:f>C10/$B$4</x:f>
        <x:v>0.24615384615384617</x:v>
      </x:c>
      <x:c r="E10" s="2"/>
      <x:c r="F10" s="2" t="str">
        <x:v>Evaluative</x:v>
      </x:c>
      <x:c r="G10" s="13" t="n">
        <x:f>COUNTIFS(Coding!$G$2:$G$131,F10)</x:f>
        <x:v>18</x:v>
      </x:c>
      <x:c r="H10" s="11" t="n">
        <x:f>G10/$B$4</x:f>
        <x:v>0.13846153846153847</x:v>
      </x:c>
      <x:c r="I10" s="2"/>
      <x:c r="J10" s="8" t="str">
        <x:v>evidence judgment</x:v>
      </x:c>
      <x:c r="K10" s="13" t="n">
        <x:f>SUM(Coding!Z2:Z131)</x:f>
        <x:v>49</x:v>
      </x:c>
      <x:c r="L10" s="11" t="n">
        <x:f>K10/$B$4</x:f>
        <x:v>0.3769230769230769</x:v>
      </x:c>
      <x:c r="M10" s="2"/>
      <x:c r="N10" s="2"/>
    </x:row>
    <x:row r="11" ht="30" customHeight="1">
      <x:c r="A11" s="2" t="str">
        <x:v>Correction/Challenge</x:v>
      </x:c>
      <x:c r="B11" s="13" t="n">
        <x:f>COUNTIFS(Coding!$E$2:$E$131,A11)</x:f>
        <x:v>18</x:v>
      </x:c>
      <x:c r="C11" s="13" t="n">
        <x:f>SUM(Coding!S2:S131)</x:f>
        <x:v>20</x:v>
      </x:c>
      <x:c r="D11" s="11" t="n">
        <x:f>C11/$B$4</x:f>
        <x:v>0.15384615384615385</x:v>
      </x:c>
      <x:c r="E11" s="2"/>
      <x:c r="F11" s="2" t="str">
        <x:v>Critical</x:v>
      </x:c>
      <x:c r="G11" s="13" t="n">
        <x:f>COUNTIFS(Coding!$G$2:$G$131,F11)</x:f>
        <x:v>18</x:v>
      </x:c>
      <x:c r="H11" s="11" t="n">
        <x:f>G11/$B$4</x:f>
        <x:v>0.13846153846153847</x:v>
      </x:c>
      <x:c r="I11" s="2"/>
      <x:c r="J11" s="8" t="str">
        <x:v>methodological judgment</x:v>
      </x:c>
      <x:c r="K11" s="13" t="n">
        <x:f>SUM(Coding!AA2:AA131)</x:f>
        <x:v>59</x:v>
      </x:c>
      <x:c r="L11" s="11" t="n">
        <x:f>K11/$B$4</x:f>
        <x:v>0.45384615384615384</x:v>
      </x:c>
      <x:c r="M11" s="2"/>
      <x:c r="N11" s="2"/>
    </x:row>
    <x:row r="12" ht="30" customHeight="1">
      <x:c r="A12" s="2" t="str">
        <x:v>Redirection</x:v>
      </x:c>
      <x:c r="B12" s="13" t="n">
        <x:f>COUNTIFS(Coding!$E$2:$E$131,A12)</x:f>
        <x:v>6</x:v>
      </x:c>
      <x:c r="C12" s="13" t="n">
        <x:f>SUM(Coding!T2:T131)</x:f>
        <x:v>23</x:v>
      </x:c>
      <x:c r="D12" s="11" t="n">
        <x:f>C12/$B$4</x:f>
        <x:v>0.17692307692307693</x:v>
      </x:c>
      <x:c r="E12" s="2"/>
      <x:c r="F12" s="2" t="str">
        <x:v>Deliberative</x:v>
      </x:c>
      <x:c r="G12" s="13" t="n">
        <x:f>COUNTIFS(Coding!$G$2:$G$131,F12)</x:f>
        <x:v>5</x:v>
      </x:c>
      <x:c r="H12" s="11" t="n">
        <x:f>G12/$B$4</x:f>
        <x:v>0.038461538461538464</x:v>
      </x:c>
      <x:c r="I12" s="2"/>
      <x:c r="J12" s="8" t="str">
        <x:v>argumentative judgment</x:v>
      </x:c>
      <x:c r="K12" s="13" t="n">
        <x:f>SUM(Coding!AB2:AB131)</x:f>
        <x:v>25</x:v>
      </x:c>
      <x:c r="L12" s="11" t="n">
        <x:f>K12/$B$4</x:f>
        <x:v>0.19230769230769232</x:v>
      </x:c>
      <x:c r="M12" s="2"/>
      <x:c r="N12" s="2"/>
    </x:row>
    <x:row r="13" ht="30" customHeight="1">
      <x:c r="A13" s="2" t="str">
        <x:v>Knowledge injection</x:v>
      </x:c>
      <x:c r="B13" s="13" t="n">
        <x:f>COUNTIFS(Coding!$E$2:$E$131,A13)</x:f>
        <x:v>7</x:v>
      </x:c>
      <x:c r="C13" s="13" t="n">
        <x:f>SUM(Coding!U2:U131)</x:f>
        <x:v>70</x:v>
      </x:c>
      <x:c r="D13" s="11" t="n">
        <x:f>C13/$B$4</x:f>
        <x:v>0.5384615384615384</x:v>
      </x:c>
      <x:c r="E13" s="2"/>
      <x:c r="F13" s="2"/>
      <x:c r="G13" s="2"/>
      <x:c r="H13" s="2"/>
      <x:c r="I13" s="2"/>
      <x:c r="J13" s="8" t="str">
        <x:v>genre/writing expertise</x:v>
      </x:c>
      <x:c r="K13" s="13" t="n">
        <x:f>SUM(Coding!AC2:AC131)</x:f>
        <x:v>66</x:v>
      </x:c>
      <x:c r="L13" s="11" t="n">
        <x:f>K13/$B$4</x:f>
        <x:v>0.5076923076923077</x:v>
      </x:c>
      <x:c r="M13" s="2"/>
      <x:c r="N13" s="2"/>
    </x:row>
    <x:row r="14" ht="30" customHeight="1">
      <x:c r="A14" s="2" t="str">
        <x:v>Selection/Rejection</x:v>
      </x:c>
      <x:c r="B14" s="13" t="n">
        <x:f>COUNTIFS(Coding!$E$2:$E$131,A14)</x:f>
        <x:v>11</x:v>
      </x:c>
      <x:c r="C14" s="13" t="n">
        <x:f>SUM(Coding!V2:V131)</x:f>
        <x:v>17</x:v>
      </x:c>
      <x:c r="D14" s="11" t="n">
        <x:f>C14/$B$4</x:f>
        <x:v>0.13076923076923078</x:v>
      </x:c>
      <x:c r="E14" s="2"/>
      <x:c r="F14" s="2"/>
      <x:c r="G14" s="2"/>
      <x:c r="H14" s="2"/>
      <x:c r="I14" s="2"/>
      <x:c r="J14" s="8" t="str">
        <x:v>none</x:v>
      </x:c>
      <x:c r="K14" s="13" t="n">
        <x:f>SUM(Coding!AD2:AD131)</x:f>
        <x:v>19</x:v>
      </x:c>
      <x:c r="L14" s="11" t="n">
        <x:f>K14/$B$4</x:f>
        <x:v>0.14615384615384616</x:v>
      </x:c>
      <x:c r="M14" s="2"/>
      <x:c r="N14" s="2"/>
    </x:row>
    <x:row r="15" ht="30" customHeight="1">
      <x:c r="A15" s="2" t="str">
        <x:v>Deliberation</x:v>
      </x:c>
      <x:c r="B15" s="13" t="n">
        <x:f>COUNTIFS(Coding!$E$2:$E$131,A15)</x:f>
        <x:v>4</x:v>
      </x:c>
      <x:c r="C15" s="13" t="n">
        <x:f>SUM(Coding!W2:W131)</x:f>
        <x:v>8</x:v>
      </x:c>
      <x:c r="D15" s="11" t="n">
        <x:f>C15/$B$4</x:f>
        <x:v>0.06153846153846154</x:v>
      </x:c>
      <x:c r="E15" s="2"/>
      <x:c r="F15" s="2"/>
      <x:c r="G15" s="2"/>
      <x:c r="H15" s="2"/>
      <x:c r="I15" s="2"/>
      <x:c r="J15" s="2"/>
      <x:c r="K15" s="2"/>
      <x:c r="L15" s="2"/>
      <x:c r="M15" s="2"/>
      <x:c r="N15" s="2"/>
    </x:row>
    <x:row r="16">
      <x:c r="A16" s="2"/>
      <x:c r="B16" s="2"/>
      <x:c r="C16" s="2"/>
      <x:c r="D16" s="2"/>
      <x:c r="E16" s="2"/>
      <x:c r="F16" s="2"/>
      <x:c r="G16" s="2"/>
      <x:c r="H16" s="2"/>
      <x:c r="I16" s="2"/>
      <x:c r="J16" s="2"/>
      <x:c r="K16" s="2"/>
      <x:c r="L16" s="2"/>
      <x:c r="M16" s="2"/>
      <x:c r="N16" s="2"/>
    </x:row>
    <x:row r="17">
      <x:c r="A17" s="2"/>
      <x:c r="B17" s="2"/>
      <x:c r="C17" s="2"/>
      <x:c r="D17" s="2"/>
      <x:c r="E17" s="2"/>
      <x:c r="F17" s="2"/>
      <x:c r="G17" s="2"/>
      <x:c r="H17" s="2"/>
      <x:c r="I17" s="2"/>
      <x:c r="J17" s="2"/>
      <x:c r="K17" s="2"/>
      <x:c r="L17" s="2"/>
      <x:c r="M17" s="2"/>
      <x:c r="N17" s="2"/>
    </x:row>
    <x:row r="18" ht="48" customHeight="1">
      <x:c r="A18" s="7" t="str">
        <x:v>Source / phase</x:v>
      </x:c>
      <x:c r="B18" s="7" t="str">
        <x:v>First turn</x:v>
      </x:c>
      <x:c r="C18" s="7" t="str">
        <x:v>Last turn</x:v>
      </x:c>
      <x:c r="D18" s="7" t="str">
        <x:v>Turns</x:v>
      </x:c>
      <x:c r="E18" s="7" t="str">
        <x:v>Delegative</x:v>
      </x:c>
      <x:c r="F18" s="7" t="str">
        <x:v>Directive</x:v>
      </x:c>
      <x:c r="G18" s="7" t="str">
        <x:v>Evaluative</x:v>
      </x:c>
      <x:c r="H18" s="7" t="str">
        <x:v>Critical</x:v>
      </x:c>
      <x:c r="I18" s="7" t="str">
        <x:v>Deliberative</x:v>
      </x:c>
      <x:c r="J18" s="2"/>
      <x:c r="K18" s="2"/>
      <x:c r="L18" s="2"/>
      <x:c r="M18" s="2"/>
      <x:c r="N18" s="2"/>
    </x:row>
    <x:row r="19" ht="30" customHeight="1">
      <x:c r="A19" s="2" t="str">
        <x:v>SLR planning</x:v>
      </x:c>
      <x:c r="B19" s="13" t="n">
        <x:v>1</x:v>
      </x:c>
      <x:c r="C19" s="13" t="n">
        <x:v>15</x:v>
      </x:c>
      <x:c r="D19" s="13" t="n">
        <x:f>COUNTIFS(Coding!$C$2:$C$131,A19)</x:f>
        <x:v>15</x:v>
      </x:c>
      <x:c r="E19" s="13" t="n">
        <x:f>COUNTIFS(Coding!$C$2:$C$131,$A19,Coding!$G$2:$G$131,"Delegative")</x:f>
        <x:v>0</x:v>
      </x:c>
      <x:c r="F19" s="13" t="n">
        <x:f>COUNTIFS(Coding!$C$2:$C$131,$A19,Coding!$G$2:$G$131,"Directive")</x:f>
        <x:v>11</x:v>
      </x:c>
      <x:c r="G19" s="13" t="n">
        <x:f>COUNTIFS(Coding!$C$2:$C$131,$A19,Coding!$G$2:$G$131,"Evaluative")</x:f>
        <x:v>1</x:v>
      </x:c>
      <x:c r="H19" s="13" t="n">
        <x:f>COUNTIFS(Coding!$C$2:$C$131,$A19,Coding!$G$2:$G$131,"Critical")</x:f>
        <x:v>2</x:v>
      </x:c>
      <x:c r="I19" s="13" t="n">
        <x:f>COUNTIFS(Coding!$C$2:$C$131,$A19,Coding!$G$2:$G$131,"Deliberative")</x:f>
        <x:v>1</x:v>
      </x:c>
      <x:c r="J19" s="2"/>
      <x:c r="K19" s="2"/>
      <x:c r="L19" s="2"/>
      <x:c r="M19" s="2"/>
      <x:c r="N19" s="2"/>
    </x:row>
    <x:row r="20" ht="30" customHeight="1">
      <x:c r="A20" s="2" t="str">
        <x:v>SLR execution</x:v>
      </x:c>
      <x:c r="B20" s="13" t="n">
        <x:v>16</x:v>
      </x:c>
      <x:c r="C20" s="13" t="n">
        <x:v>57</x:v>
      </x:c>
      <x:c r="D20" s="13" t="n">
        <x:f>COUNTIFS(Coding!$C$2:$C$131,A20)</x:f>
        <x:v>42</x:v>
      </x:c>
      <x:c r="E20" s="13" t="n">
        <x:f>COUNTIFS(Coding!$C$2:$C$131,$A20,Coding!$G$2:$G$131,"Delegative")</x:f>
        <x:v>1</x:v>
      </x:c>
      <x:c r="F20" s="13" t="n">
        <x:f>COUNTIFS(Coding!$C$2:$C$131,$A20,Coding!$G$2:$G$131,"Directive")</x:f>
        <x:v>20</x:v>
      </x:c>
      <x:c r="G20" s="13" t="n">
        <x:f>COUNTIFS(Coding!$C$2:$C$131,$A20,Coding!$G$2:$G$131,"Evaluative")</x:f>
        <x:v>11</x:v>
      </x:c>
      <x:c r="H20" s="13" t="n">
        <x:f>COUNTIFS(Coding!$C$2:$C$131,$A20,Coding!$G$2:$G$131,"Critical")</x:f>
        <x:v>8</x:v>
      </x:c>
      <x:c r="I20" s="13" t="n">
        <x:f>COUNTIFS(Coding!$C$2:$C$131,$A20,Coding!$G$2:$G$131,"Deliberative")</x:f>
        <x:v>2</x:v>
      </x:c>
      <x:c r="J20" s="2"/>
      <x:c r="K20" s="2"/>
      <x:c r="L20" s="2"/>
      <x:c r="M20" s="2"/>
      <x:c r="N20" s="2"/>
    </x:row>
    <x:row r="21" ht="30" customHeight="1">
      <x:c r="A21" s="2" t="str">
        <x:v>Writing part 1</x:v>
      </x:c>
      <x:c r="B21" s="13" t="n">
        <x:v>58</x:v>
      </x:c>
      <x:c r="C21" s="13" t="n">
        <x:v>116</x:v>
      </x:c>
      <x:c r="D21" s="13" t="n">
        <x:f>COUNTIFS(Coding!$C$2:$C$131,A21)</x:f>
        <x:v>59</x:v>
      </x:c>
      <x:c r="E21" s="13" t="n">
        <x:f>COUNTIFS(Coding!$C$2:$C$131,$A21,Coding!$G$2:$G$131,"Delegative")</x:f>
        <x:v>4</x:v>
      </x:c>
      <x:c r="F21" s="13" t="n">
        <x:f>COUNTIFS(Coding!$C$2:$C$131,$A21,Coding!$G$2:$G$131,"Directive")</x:f>
        <x:v>43</x:v>
      </x:c>
      <x:c r="G21" s="13" t="n">
        <x:f>COUNTIFS(Coding!$C$2:$C$131,$A21,Coding!$G$2:$G$131,"Evaluative")</x:f>
        <x:v>5</x:v>
      </x:c>
      <x:c r="H21" s="13" t="n">
        <x:f>COUNTIFS(Coding!$C$2:$C$131,$A21,Coding!$G$2:$G$131,"Critical")</x:f>
        <x:v>5</x:v>
      </x:c>
      <x:c r="I21" s="13" t="n">
        <x:f>COUNTIFS(Coding!$C$2:$C$131,$A21,Coding!$G$2:$G$131,"Deliberative")</x:f>
        <x:v>2</x:v>
      </x:c>
      <x:c r="J21" s="2"/>
      <x:c r="K21" s="2"/>
      <x:c r="L21" s="2"/>
      <x:c r="M21" s="2"/>
      <x:c r="N21" s="2"/>
    </x:row>
    <x:row r="22" ht="30" customHeight="1">
      <x:c r="A22" s="2" t="str">
        <x:v>Writing part 2</x:v>
      </x:c>
      <x:c r="B22" s="2" t="n">
        <x:v>117</x:v>
      </x:c>
      <x:c r="C22" s="2" t="n">
        <x:v>130</x:v>
      </x:c>
      <x:c r="D22" s="2" t="n">
        <x:f>COUNTIFS(Coding!$C$2:$C$131,A22)</x:f>
        <x:v>14</x:v>
      </x:c>
      <x:c r="E22" s="2" t="n">
        <x:f>COUNTIFS(Coding!$C$2:$C$131,$A22,Coding!$G$2:$G$131,"Delegative")</x:f>
        <x:v>0</x:v>
      </x:c>
      <x:c r="F22" s="2" t="n">
        <x:f>COUNTIFS(Coding!$C$2:$C$131,$A22,Coding!$G$2:$G$131,"Directive")</x:f>
        <x:v>10</x:v>
      </x:c>
      <x:c r="G22" s="2" t="n">
        <x:f>COUNTIFS(Coding!$C$2:$C$131,$A22,Coding!$G$2:$G$131,"Evaluative")</x:f>
        <x:v>1</x:v>
      </x:c>
      <x:c r="H22" s="2" t="n">
        <x:f>COUNTIFS(Coding!$C$2:$C$131,$A22,Coding!$G$2:$G$131,"Critical")</x:f>
        <x:v>3</x:v>
      </x:c>
      <x:c r="I22" s="2" t="n">
        <x:f>COUNTIFS(Coding!$C$2:$C$131,$A22,Coding!$G$2:$G$131,"Deliberative")</x:f>
        <x:v>0</x:v>
      </x:c>
      <x:c r="J22" s="2"/>
      <x:c r="K22" s="2"/>
      <x:c r="L22" s="2"/>
      <x:c r="M22" s="2"/>
      <x:c r="N22" s="2"/>
    </x:row>
    <x:row r="23">
      <x:c r="A23" s="2"/>
      <x:c r="B23" s="2"/>
      <x:c r="C23" s="2"/>
      <x:c r="D23" s="2"/>
      <x:c r="E23" s="2"/>
      <x:c r="F23" s="2"/>
      <x:c r="G23" s="2"/>
      <x:c r="H23" s="2"/>
      <x:c r="I23" s="2"/>
      <x:c r="J23" s="2"/>
      <x:c r="K23" s="2"/>
      <x:c r="L23" s="2"/>
      <x:c r="M23" s="2"/>
      <x:c r="N23" s="2"/>
    </x:row>
    <x:row r="24">
      <x:c r="A24" s="2"/>
      <x:c r="B24" s="2"/>
      <x:c r="C24" s="2"/>
      <x:c r="D24" s="2"/>
      <x:c r="E24" s="2"/>
      <x:c r="F24" s="2"/>
      <x:c r="G24" s="2"/>
      <x:c r="H24" s="2"/>
      <x:c r="I24" s="2"/>
      <x:c r="J24" s="2"/>
      <x:c r="K24" s="2"/>
      <x:c r="L24" s="2"/>
      <x:c r="M24" s="2"/>
      <x:c r="N24" s="2"/>
    </x:row>
    <x:row r="25" ht="48" customHeight="1">
      <x:c r="A25" s="7" t="str">
        <x:v>Source / phase</x:v>
      </x:c>
      <x:c r="B25" s="7" t="str">
        <x:v>Expertise observed</x:v>
      </x:c>
      <x:c r="C25" s="7" t="str">
        <x:v>None observed</x:v>
      </x:c>
      <x:c r="D25" s="7" t="str">
        <x:v>Share with evidence</x:v>
      </x:c>
      <x:c r="E25" s="2"/>
      <x:c r="F25" s="2"/>
      <x:c r="G25" s="2"/>
      <x:c r="H25" s="2"/>
      <x:c r="I25" s="2"/>
      <x:c r="J25" s="2"/>
      <x:c r="K25" s="2"/>
      <x:c r="L25" s="2"/>
      <x:c r="M25" s="2"/>
      <x:c r="N25" s="2"/>
    </x:row>
    <x:row r="26" ht="30" customHeight="1">
      <x:c r="A26" s="2" t="str">
        <x:v>SLR planning</x:v>
      </x:c>
      <x:c r="B26" s="13" t="n">
        <x:f>D19-C26</x:f>
        <x:v>14</x:v>
      </x:c>
      <x:c r="C26" s="13" t="n">
        <x:f>SUMIFS(Coding!$AD$2:$AD$131,Coding!$C$2:$C$131,A26)</x:f>
        <x:v>1</x:v>
      </x:c>
      <x:c r="D26" s="11" t="n">
        <x:f>B26/D19</x:f>
        <x:v>0.9333333333333333</x:v>
      </x:c>
      <x:c r="E26" s="2"/>
      <x:c r="F26" s="2"/>
      <x:c r="G26" s="2"/>
      <x:c r="H26" s="2"/>
      <x:c r="I26" s="2"/>
      <x:c r="J26" s="2"/>
      <x:c r="K26" s="2"/>
      <x:c r="L26" s="2"/>
      <x:c r="M26" s="2"/>
      <x:c r="N26" s="2"/>
    </x:row>
    <x:row r="27" ht="30" customHeight="1">
      <x:c r="A27" s="2" t="str">
        <x:v>SLR execution</x:v>
      </x:c>
      <x:c r="B27" s="13" t="n">
        <x:f>D20-C27</x:f>
        <x:v>38</x:v>
      </x:c>
      <x:c r="C27" s="13" t="n">
        <x:f>SUMIFS(Coding!$AD$2:$AD$131,Coding!$C$2:$C$131,A27)</x:f>
        <x:v>4</x:v>
      </x:c>
      <x:c r="D27" s="11" t="n">
        <x:f>B27/D20</x:f>
        <x:v>0.9047619047619048</x:v>
      </x:c>
      <x:c r="E27" s="2"/>
      <x:c r="F27" s="2"/>
      <x:c r="G27" s="2"/>
      <x:c r="H27" s="2"/>
      <x:c r="I27" s="2"/>
      <x:c r="J27" s="2"/>
      <x:c r="K27" s="2"/>
      <x:c r="L27" s="2"/>
      <x:c r="M27" s="2"/>
      <x:c r="N27" s="2"/>
    </x:row>
    <x:row r="28" ht="30" customHeight="1">
      <x:c r="A28" s="2" t="str">
        <x:v>Writing part 1</x:v>
      </x:c>
      <x:c r="B28" s="13" t="n">
        <x:f>D21-C28</x:f>
        <x:v>46</x:v>
      </x:c>
      <x:c r="C28" s="13" t="n">
        <x:f>SUMIFS(Coding!$AD$2:$AD$131,Coding!$C$2:$C$131,A28)</x:f>
        <x:v>13</x:v>
      </x:c>
      <x:c r="D28" s="11" t="n">
        <x:f>B28/D21</x:f>
        <x:v>0.7796610169491526</x:v>
      </x:c>
      <x:c r="E28" s="2"/>
      <x:c r="F28" s="2"/>
      <x:c r="G28" s="2"/>
      <x:c r="H28" s="2"/>
      <x:c r="I28" s="2"/>
      <x:c r="J28" s="2"/>
      <x:c r="K28" s="2"/>
      <x:c r="L28" s="2"/>
      <x:c r="M28" s="2"/>
      <x:c r="N28" s="2"/>
    </x:row>
    <x:row r="29" ht="30" customHeight="1">
      <x:c r="A29" s="2" t="str">
        <x:v>Writing part 2</x:v>
      </x:c>
      <x:c r="B29" s="13" t="n">
        <x:f>D22-C29</x:f>
        <x:v>13</x:v>
      </x:c>
      <x:c r="C29" s="13" t="n">
        <x:f>SUMIFS(Coding!$AD$2:$AD$131,Coding!$C$2:$C$131,A29)</x:f>
        <x:v>1</x:v>
      </x:c>
      <x:c r="D29" s="11" t="n">
        <x:f>B29/D22</x:f>
        <x:v>0.9285714285714286</x:v>
      </x:c>
      <x:c r="E29" s="2"/>
      <x:c r="F29" s="2"/>
      <x:c r="G29" s="2"/>
      <x:c r="H29" s="2"/>
      <x:c r="I29" s="2"/>
      <x:c r="J29" s="2"/>
      <x:c r="K29" s="2"/>
      <x:c r="L29" s="2"/>
      <x:c r="M29" s="2"/>
      <x:c r="N29" s="2"/>
    </x:row>
    <x:row r="30">
      <x:c r="A30" s="2"/>
      <x:c r="B30" s="2"/>
      <x:c r="C30" s="2"/>
      <x:c r="D30" s="2"/>
      <x:c r="E30" s="2"/>
      <x:c r="F30" s="2"/>
      <x:c r="G30" s="2"/>
      <x:c r="H30" s="2"/>
      <x:c r="I30" s="2"/>
      <x:c r="J30" s="2"/>
      <x:c r="K30" s="2"/>
      <x:c r="L30" s="2"/>
      <x:c r="M30" s="2"/>
      <x:c r="N30" s="2"/>
    </x:row>
    <x:row r="31">
      <x:c r="A31" s="12" t="str">
        <x:v>Key patterns and limits</x:v>
      </x:c>
      <x:c r="B31" s="2"/>
      <x:c r="C31" s="2"/>
      <x:c r="D31" s="2"/>
      <x:c r="E31" s="2"/>
      <x:c r="F31" s="2"/>
      <x:c r="G31" s="2"/>
      <x:c r="H31" s="2"/>
      <x:c r="I31" s="2"/>
      <x:c r="J31" s="2"/>
      <x:c r="K31" s="2"/>
      <x:c r="L31" s="2"/>
      <x:c r="M31" s="2"/>
      <x:c r="N31" s="2"/>
    </x:row>
    <x:row r="32" ht="28" customHeight="1">
      <x:c r="A32" s="2" t="str">
        <x:v>130 distinct exchanges from 136 source occurrences. Six initial exchanges are duplicated shared history, not six additional interactions.</x:v>
      </x:c>
      <x:c r="B32" s="2"/>
      <x:c r="C32" s="2"/>
      <x:c r="D32" s="2"/>
      <x:c r="E32" s="2"/>
      <x:c r="F32" s="2"/>
      <x:c r="G32" s="2"/>
      <x:c r="H32" s="2"/>
      <x:c r="I32" s="2"/>
      <x:c r="J32" s="2"/>
      <x:c r="K32" s="2"/>
      <x:c r="L32" s="2"/>
      <x:c r="M32" s="2"/>
      <x:c r="N32" s="2"/>
    </x:row>
    <x:row r="33" ht="28" customHeight="1">
      <x:c r="A33" s="2" t="str">
        <x:v>Directive: 84 (64.6%). Critical: 18 (13.8%). Evaluative: 18 (13.8%). Deliberative: 5 (3.8%). Delegative: 5 (3.8%).</x:v>
      </x:c>
      <x:c r="B33" s="2"/>
      <x:c r="C33" s="2"/>
      <x:c r="D33" s="2"/>
      <x:c r="E33" s="2"/>
      <x:c r="F33" s="2"/>
      <x:c r="G33" s="2"/>
      <x:c r="H33" s="2"/>
      <x:c r="I33" s="2"/>
      <x:c r="J33" s="2"/>
      <x:c r="K33" s="2"/>
      <x:c r="L33" s="2"/>
      <x:c r="M33" s="2"/>
      <x:c r="N33" s="2"/>
    </x:row>
    <x:row r="34" ht="28" customHeight="1">
      <x:c r="A34" s="2" t="str">
        <x:v>Positive expertise evidence in 111/130 turns (85.4%). Writing: 66; methodological: 59; evidence judgment: 49.</x:v>
      </x:c>
      <x:c r="B34" s="2"/>
      <x:c r="C34" s="2"/>
      <x:c r="D34" s="2"/>
      <x:c r="E34" s="2"/>
      <x:c r="F34" s="2"/>
      <x:c r="G34" s="2"/>
      <x:c r="H34" s="2"/>
      <x:c r="I34" s="2"/>
      <x:c r="J34" s="2"/>
      <x:c r="K34" s="2"/>
      <x:c r="L34" s="2"/>
      <x:c r="M34" s="2"/>
      <x:c r="N34" s="2"/>
    </x:row>
    <x:row r="35" ht="28" customHeight="1">
      <x:c r="A35" s="2" t="str">
        <x:v>Scope control: academic SLR correction (PLAN-009), split of code-quality/developer reviews (EXEC-009), removal of redundant RQ (EXEC-014).</x:v>
      </x:c>
      <x:c r="B35" s="2"/>
      <x:c r="C35" s="2"/>
      <x:c r="D35" s="2"/>
      <x:c r="E35" s="2"/>
      <x:c r="F35" s="2"/>
      <x:c r="G35" s="2"/>
      <x:c r="H35" s="2"/>
      <x:c r="I35" s="2"/>
      <x:c r="J35" s="2"/>
      <x:c r="K35" s="2"/>
      <x:c r="L35" s="2"/>
      <x:c r="M35" s="2"/>
      <x:c r="N35" s="2"/>
    </x:row>
    <x:row r="36" ht="28" customHeight="1">
      <x:c r="A36" s="2" t="str">
        <x:v>Evidence control: human supplementary search (EXEC-019), pool reconciliation (EXEC-020), exact-count challenge (EXEC-021), recovery of lost studies (EXEC-040).</x:v>
      </x:c>
      <x:c r="B36" s="2"/>
      <x:c r="C36" s="2"/>
      <x:c r="D36" s="2"/>
      <x:c r="E36" s="2"/>
      <x:c r="F36" s="2"/>
      <x:c r="G36" s="2"/>
      <x:c r="H36" s="2"/>
      <x:c r="I36" s="2"/>
      <x:c r="J36" s="2"/>
      <x:c r="K36" s="2"/>
      <x:c r="L36" s="2"/>
      <x:c r="M36" s="2"/>
      <x:c r="N36" s="2"/>
    </x:row>
    <x:row r="37" ht="28" customHeight="1">
      <x:c r="A37" s="2" t="str">
        <x:v>Extraction fidelity: human distinguishes explicit from synthesized RQs (EXEC-031/032), verifies treatments (EXEC-024), and requires stable source IDs (EXEC-033).</x:v>
      </x:c>
      <x:c r="B37" s="2"/>
      <x:c r="C37" s="2"/>
      <x:c r="D37" s="2"/>
      <x:c r="E37" s="2"/>
      <x:c r="F37" s="2"/>
      <x:c r="G37" s="2"/>
      <x:c r="H37" s="2"/>
      <x:c r="I37" s="2"/>
      <x:c r="J37" s="2"/>
      <x:c r="K37" s="2"/>
      <x:c r="L37" s="2"/>
      <x:c r="M37" s="2"/>
      <x:c r="N37" s="2"/>
    </x:row>
    <x:row r="38" ht="28" customHeight="1">
      <x:c r="A38" s="2" t="str">
        <x:v>Conceptual scrutiny: W1-052 distinguishes frequently studied factors from statistically strongest effects. W1-021 qualifies claims about absent benchmarks.</x:v>
      </x:c>
      <x:c r="B38" s="2"/>
      <x:c r="C38" s="2"/>
      <x:c r="D38" s="2"/>
      <x:c r="E38" s="2"/>
      <x:c r="F38" s="2"/>
      <x:c r="G38" s="2"/>
      <x:c r="H38" s="2"/>
      <x:c r="I38" s="2"/>
      <x:c r="J38" s="2"/>
      <x:c r="K38" s="2"/>
      <x:c r="L38" s="2"/>
      <x:c r="M38" s="2"/>
      <x:c r="N38" s="2"/>
    </x:row>
    <x:row r="39" ht="28" customHeight="1">
      <x:c r="A39" s="2" t="str">
        <x:v>Writing Part 1 includes two outputs: the technical paper and an IEEE Software practitioner version. This adds substantial audience, space and citation negotiation.</x:v>
      </x:c>
      <x:c r="B39" s="2"/>
      <x:c r="C39" s="2"/>
      <x:c r="D39" s="2"/>
      <x:c r="E39" s="2"/>
      <x:c r="F39" s="2"/>
      <x:c r="G39" s="2"/>
      <x:c r="H39" s="2"/>
      <x:c r="I39" s="2"/>
      <x:c r="J39" s="2"/>
      <x:c r="K39" s="2"/>
      <x:c r="L39" s="2"/>
      <x:c r="M39" s="2"/>
      <x:c r="N39" s="2"/>
    </x:row>
    <x:row r="40" ht="28" customHeight="1">
      <x:c r="A40" s="2" t="str">
        <x:v>Evidence risks: EXEC-029 supplies unsupported PRISMA counts; W1-054 supplies conservative factor counts after admitting exact counts cannot be extracted.</x:v>
      </x:c>
      <x:c r="B40" s="2"/>
      <x:c r="C40" s="2"/>
      <x:c r="D40" s="2"/>
      <x:c r="E40" s="2"/>
      <x:c r="F40" s="2"/>
      <x:c r="G40" s="2"/>
      <x:c r="H40" s="2"/>
      <x:c r="I40" s="2"/>
      <x:c r="J40" s="2"/>
      <x:c r="K40" s="2"/>
      <x:c r="L40" s="2"/>
      <x:c r="M40" s="2"/>
      <x:c r="N40" s="2"/>
    </x:row>
    <x:row r="41" ht="28" customHeight="1">
      <x:c r="A41" s="2" t="str">
        <x:v>Three missing AI replies limit coverage. This is comprehensive in research stages, but cannot establish a complete historical interaction record.</x:v>
      </x:c>
      <x:c r="B41" s="2"/>
      <x:c r="C41" s="2"/>
      <x:c r="D41" s="2"/>
      <x:c r="E41" s="2"/>
      <x:c r="F41" s="2"/>
      <x:c r="G41" s="2"/>
      <x:c r="H41" s="2"/>
      <x:c r="I41" s="2"/>
      <x:c r="J41" s="2"/>
      <x:c r="K41" s="2"/>
      <x:c r="L41" s="2"/>
      <x:c r="M41" s="2"/>
      <x:c r="N41" s="2"/>
    </x:row>
    <x:row r="42" ht="28" customHeight="1">
      <x:c r="A42" s="2" t="str">
        <x:v>Co-author feedback at W2-012 is external expertise input. The researcher subsequently reworks the insight and supplies a new comparison at W2-014.</x:v>
      </x:c>
      <x:c r="B42" s="2"/>
      <x:c r="C42" s="2"/>
      <x:c r="D42" s="2"/>
      <x:c r="E42" s="2"/>
      <x:c r="F42" s="2"/>
      <x:c r="G42" s="2"/>
      <x:c r="H42" s="2"/>
      <x:c r="I42" s="2"/>
      <x:c r="J42" s="2"/>
      <x:c r="K42" s="2"/>
      <x:c r="L42" s="2"/>
      <x:c r="M42" s="2"/>
      <x:c r="N42" s="2"/>
    </x:row>
    <x:row r="43" ht="28" customHeight="1">
      <x:c r="A43" s="2" t="str">
        <x:v>Single first-pass coding. Category counts indicate visible behavior, not intensity or researcher competence. Full prompts and cautions enable review.</x:v>
      </x:c>
      <x:c r="B43" s="2"/>
      <x:c r="C43" s="2"/>
      <x:c r="D43" s="2"/>
      <x:c r="E43" s="2"/>
      <x:c r="F43" s="2"/>
      <x:c r="G43" s="2"/>
      <x:c r="H43" s="2"/>
      <x:c r="I43" s="2"/>
      <x:c r="J43" s="2"/>
      <x:c r="K43" s="2"/>
      <x:c r="L43" s="2"/>
      <x:c r="M43" s="2"/>
      <x:c r="N43" s="2"/>
    </x:row>
    <x:row r="44">
      <x:c r="A44" s="2"/>
      <x:c r="B44" s="2"/>
      <x:c r="C44" s="2"/>
      <x:c r="D44" s="2"/>
      <x:c r="E44" s="2"/>
      <x:c r="F44" s="2"/>
      <x:c r="G44" s="2"/>
      <x:c r="H44" s="2"/>
      <x:c r="I44" s="2"/>
      <x:c r="J44" s="2"/>
      <x:c r="K44" s="2"/>
      <x:c r="L44" s="2"/>
      <x:c r="M44" s="2"/>
      <x:c r="N44" s="2"/>
    </x:row>
    <x:row r="45">
      <x:c r="A45" s="2"/>
      <x:c r="B45" s="2"/>
      <x:c r="C45" s="2"/>
      <x:c r="D45" s="2"/>
      <x:c r="E45" s="2"/>
      <x:c r="F45" s="2"/>
      <x:c r="G45" s="2"/>
      <x:c r="H45" s="2"/>
      <x:c r="I45" s="2"/>
      <x:c r="J45" s="2"/>
      <x:c r="K45" s="2"/>
      <x:c r="L45" s="2"/>
      <x:c r="M45" s="2"/>
      <x:c r="N45" s="2"/>
    </x:row>
    <x:row r="46">
      <x:c r="A46" s="2"/>
      <x:c r="B46" s="2"/>
      <x:c r="C46" s="2"/>
      <x:c r="D46" s="2"/>
      <x:c r="E46" s="2"/>
      <x:c r="F46" s="2"/>
      <x:c r="G46" s="2"/>
      <x:c r="H46" s="2"/>
      <x:c r="I46" s="2"/>
      <x:c r="J46" s="2"/>
      <x:c r="K46" s="2"/>
      <x:c r="L46" s="2"/>
      <x:c r="M46" s="2"/>
      <x:c r="N46" s="2"/>
    </x:row>
    <x:row r="47">
      <x:c r="A47" s="2"/>
      <x:c r="B47" s="2"/>
      <x:c r="C47" s="2"/>
      <x:c r="D47" s="2"/>
      <x:c r="E47" s="2"/>
      <x:c r="F47" s="2"/>
      <x:c r="G47" s="2"/>
      <x:c r="H47" s="2"/>
      <x:c r="I47" s="2"/>
      <x:c r="J47" s="2"/>
      <x:c r="K47" s="2"/>
      <x:c r="L47" s="2"/>
      <x:c r="M47" s="2"/>
      <x:c r="N47" s="2"/>
    </x:row>
    <x:row r="48">
      <x:c r="A48" s="2"/>
      <x:c r="B48" s="2"/>
      <x:c r="C48" s="2"/>
      <x:c r="D48" s="2"/>
      <x:c r="E48" s="2"/>
      <x:c r="F48" s="2"/>
      <x:c r="G48" s="2"/>
      <x:c r="H48" s="2"/>
      <x:c r="I48" s="2"/>
      <x:c r="J48" s="2"/>
      <x:c r="K48" s="2"/>
      <x:c r="L48" s="2"/>
      <x:c r="M48" s="2"/>
      <x:c r="N48" s="2"/>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7" hidden="0" customWidth="1"/>
    <x:col min="2" max="2" width="9" hidden="0" customWidth="1"/>
    <x:col min="3" max="3" width="25" hidden="0" customWidth="1"/>
    <x:col min="4" max="4" width="65" hidden="0" customWidth="1"/>
    <x:col min="5" max="5" width="25" hidden="0" customWidth="1"/>
    <x:col min="6" max="6" width="45" hidden="0" customWidth="1"/>
    <x:col min="7" max="7" width="18" hidden="0" customWidth="1"/>
    <x:col min="8" max="8" width="45" hidden="0" customWidth="1"/>
    <x:col min="9" max="9" width="65" hidden="0" customWidth="1"/>
    <x:col min="10" max="10" width="75" hidden="0" customWidth="1"/>
    <x:col min="11" max="11" width="27" hidden="0" customWidth="1"/>
    <x:col min="12" max="12" width="27" hidden="0" customWidth="1"/>
    <x:col min="13" max="13" width="55" hidden="0" customWidth="1"/>
    <x:col min="14" max="14" width="30" hidden="0" customWidth="1"/>
    <x:col min="15" max="15" width="70" hidden="0" customWidth="1"/>
    <x:col min="16" max="16" width="21" hidden="0" customWidth="1"/>
    <x:col min="17" max="17" width="21" hidden="0" customWidth="1"/>
    <x:col min="18" max="18" width="21" hidden="0" customWidth="1"/>
    <x:col min="19" max="19" width="21" hidden="0" customWidth="1"/>
    <x:col min="20" max="20" width="21" hidden="0" customWidth="1"/>
    <x:col min="21" max="21" width="21" hidden="0" customWidth="1"/>
    <x:col min="22" max="22" width="21" hidden="0" customWidth="1"/>
    <x:col min="23" max="23" width="21" hidden="0" customWidth="1"/>
    <x:col min="24" max="24" width="21" hidden="0" customWidth="1"/>
    <x:col min="25" max="25" width="21" hidden="0" customWidth="1"/>
    <x:col min="26" max="26" width="21" hidden="0" customWidth="1"/>
    <x:col min="27" max="27" width="21" hidden="0" customWidth="1"/>
    <x:col min="28" max="28" width="21" hidden="0" customWidth="1"/>
    <x:col min="29" max="29" width="21" hidden="0" customWidth="1"/>
    <x:col min="30" max="30" width="21" hidden="0" customWidth="1"/>
  </x:cols>
  <x:sheetData>
    <x:row r="1" ht="48" customHeight="1">
      <x:c r="A1" s="7" t="str">
        <x:v>Turn ID</x:v>
      </x:c>
      <x:c r="B1" s="7" t="str">
        <x:v>Sequence</x:v>
      </x:c>
      <x:c r="C1" s="7" t="str">
        <x:v>Phase</x:v>
      </x:c>
      <x:c r="D1" s="7" t="str">
        <x:v>Prompt excerpt</x:v>
      </x:c>
      <x:c r="E1" s="7" t="str">
        <x:v>Primary interaction type</x:v>
      </x:c>
      <x:c r="F1" s="7" t="str">
        <x:v>Additional interaction types</x:v>
      </x:c>
      <x:c r="G1" s="7" t="str">
        <x:v>Agency mode</x:v>
      </x:c>
      <x:c r="H1" s="7" t="str">
        <x:v>Expertise evidence</x:v>
      </x:c>
      <x:c r="I1" s="7" t="str">
        <x:v>Coding rationale</x:v>
      </x:c>
      <x:c r="J1" s="7" t="str">
        <x:v>Observed outcome / notes</x:v>
      </x:c>
      <x:c r="K1" s="7" t="str">
        <x:v>Prompt provenance</x:v>
      </x:c>
      <x:c r="L1" s="7" t="str">
        <x:v>Response provenance</x:v>
      </x:c>
      <x:c r="M1" s="7" t="str">
        <x:v>Attachment / contextual material</x:v>
      </x:c>
      <x:c r="N1" s="7" t="str">
        <x:v>Response availability</x:v>
      </x:c>
      <x:c r="O1" s="7" t="str">
        <x:v>Coding caution</x:v>
      </x:c>
      <x:c r="P1" s="7" t="str">
        <x:v>Type: Delegation</x:v>
      </x:c>
      <x:c r="Q1" s="7" t="str">
        <x:v>Type: Directed delegation</x:v>
      </x:c>
      <x:c r="R1" s="7" t="str">
        <x:v>Type: Evaluation</x:v>
      </x:c>
      <x:c r="S1" s="7" t="str">
        <x:v>Type: Correction/Challenge</x:v>
      </x:c>
      <x:c r="T1" s="7" t="str">
        <x:v>Type: Redirection</x:v>
      </x:c>
      <x:c r="U1" s="7" t="str">
        <x:v>Type: Knowledge injection</x:v>
      </x:c>
      <x:c r="V1" s="7" t="str">
        <x:v>Type: Selection/Rejection</x:v>
      </x:c>
      <x:c r="W1" s="7" t="str">
        <x:v>Type: Deliberation</x:v>
      </x:c>
      <x:c r="X1" s="7" t="str">
        <x:v>Expertise: domain correction</x:v>
      </x:c>
      <x:c r="Y1" s="7" t="str">
        <x:v>Expertise: conceptual discrimination</x:v>
      </x:c>
      <x:c r="Z1" s="7" t="str">
        <x:v>Expertise: evidence judgment</x:v>
      </x:c>
      <x:c r="AA1" s="7" t="str">
        <x:v>Expertise: methodological judgment</x:v>
      </x:c>
      <x:c r="AB1" s="7" t="str">
        <x:v>Expertise: argumentative judgment</x:v>
      </x:c>
      <x:c r="AC1" s="7" t="str">
        <x:v>Expertise: genre/writing expertise</x:v>
      </x:c>
      <x:c r="AD1" s="7" t="str">
        <x:v>Expertise: none</x:v>
      </x:c>
    </x:row>
    <x:row r="2" ht="92" customHeight="1">
      <x:c r="A2" s="8" t="str">
        <x:v>P4-PLAN-001</x:v>
      </x:c>
      <x:c r="B2" s="9" t="n">
        <x:v>1</x:v>
      </x:c>
      <x:c r="C2" s="8" t="str">
        <x:v>SLR planning</x:v>
      </x:c>
      <x:c r="D2" s="8" t="str">
        <x:v>So you can look at the PDFs that I have uploaded in this project, several papers. For the PhD work of this student, AI for code generation, my idea is to do an MLR, multi-vocal literature review on the topic. I want to, so three of the important things I want to extract is a research question in …</x:v>
      </x:c>
      <x:c r="E2" s="8" t="str">
        <x:v>Directed delegation</x:v>
      </x:c>
      <x:c r="F2" s="8" t="str">
        <x:v>Knowledge injection</x:v>
      </x:c>
      <x:c r="G2" s="8" t="str">
        <x:v>Directive</x:v>
      </x:c>
      <x:c r="H2" s="8" t="str">
        <x:v>methodological judgment</x:v>
      </x:c>
      <x:c r="I2" s="8" t="str">
        <x:v>Defines the extraction fields and proposed review design.</x:v>
      </x:c>
      <x:c r="J2" s="8" t="str">
        <x:v>AI confirms a proposed RQ/IV/DV extraction schema.</x:v>
      </x:c>
      <x:c r="K2" s="8" t="str">
        <x:v>PLAN p2 L2-p2 L4; EXEC p3 L2-p3 L4</x:v>
      </x:c>
      <x:c r="L2" s="8" t="str">
        <x:v>PLAN p2 L6-p5 L7; EXEC p3 L6-p6 L7</x:v>
      </x:c>
      <x:c r="M2" s="8" t="str"/>
      <x:c r="N2" s="8" t="str">
        <x:v>Visible next AI response</x:v>
      </x:c>
      <x:c r="O2" s="8" t="str">
        <x:v>Shared ancestral exchange also exported as EXEC-1. Counted once; both locators retained.</x:v>
      </x:c>
      <x:c r="P2" s="9" t="n">
        <x:f>IF(OR(E2="Delegation",ISNUMBER(SEARCH("; Delegation; ","; "&amp;F2&amp;"; "))),1,0)</x:f>
        <x:v>0</x:v>
      </x:c>
      <x:c r="Q2" s="9" t="n">
        <x:f>IF(OR(E2="Directed delegation",ISNUMBER(SEARCH("; Directed delegation; ","; "&amp;F2&amp;"; "))),1,0)</x:f>
        <x:v>1</x:v>
      </x:c>
      <x:c r="R2" s="9" t="n">
        <x:f>IF(OR(E2="Evaluation",ISNUMBER(SEARCH("; Evaluation; ","; "&amp;F2&amp;"; "))),1,0)</x:f>
        <x:v>0</x:v>
      </x:c>
      <x:c r="S2" s="9" t="n">
        <x:f>IF(OR(E2="Correction/Challenge",ISNUMBER(SEARCH("; Correction/Challenge; ","; "&amp;F2&amp;"; "))),1,0)</x:f>
        <x:v>0</x:v>
      </x:c>
      <x:c r="T2" s="9" t="n">
        <x:f>IF(OR(E2="Redirection",ISNUMBER(SEARCH("; Redirection; ","; "&amp;F2&amp;"; "))),1,0)</x:f>
        <x:v>0</x:v>
      </x:c>
      <x:c r="U2" s="9" t="n">
        <x:f>IF(OR(E2="Knowledge injection",ISNUMBER(SEARCH("; Knowledge injection; ","; "&amp;F2&amp;"; "))),1,0)</x:f>
        <x:v>1</x:v>
      </x:c>
      <x:c r="V2" s="9" t="n">
        <x:f>IF(OR(E2="Selection/Rejection",ISNUMBER(SEARCH("; Selection/Rejection; ","; "&amp;F2&amp;"; "))),1,0)</x:f>
        <x:v>0</x:v>
      </x:c>
      <x:c r="W2" s="9" t="n">
        <x:f>IF(OR(E2="Deliberation",ISNUMBER(SEARCH("; Deliberation; ","; "&amp;F2&amp;"; "))),1,0)</x:f>
        <x:v>0</x:v>
      </x:c>
      <x:c r="X2" s="9" t="n">
        <x:f>IF(ISNUMBER(SEARCH("; domain correction; ","; "&amp;H2&amp;"; ")),1,0)</x:f>
        <x:v>0</x:v>
      </x:c>
      <x:c r="Y2" s="9" t="n">
        <x:f>IF(ISNUMBER(SEARCH("; conceptual discrimination; ","; "&amp;H2&amp;"; ")),1,0)</x:f>
        <x:v>0</x:v>
      </x:c>
      <x:c r="Z2" s="9" t="n">
        <x:f>IF(ISNUMBER(SEARCH("; evidence judgment; ","; "&amp;H2&amp;"; ")),1,0)</x:f>
        <x:v>0</x:v>
      </x:c>
      <x:c r="AA2" s="9" t="n">
        <x:f>IF(ISNUMBER(SEARCH("; methodological judgment; ","; "&amp;H2&amp;"; ")),1,0)</x:f>
        <x:v>1</x:v>
      </x:c>
      <x:c r="AB2" s="9" t="n">
        <x:f>IF(ISNUMBER(SEARCH("; argumentative judgment; ","; "&amp;H2&amp;"; ")),1,0)</x:f>
        <x:v>0</x:v>
      </x:c>
      <x:c r="AC2" s="9" t="n">
        <x:f>IF(ISNUMBER(SEARCH("; genre/writing expertise; ","; "&amp;H2&amp;"; ")),1,0)</x:f>
        <x:v>0</x:v>
      </x:c>
      <x:c r="AD2" s="9" t="n">
        <x:f>IF(ISNUMBER(SEARCH("; none; ","; "&amp;H2&amp;"; ")),1,0)</x:f>
        <x:v>0</x:v>
      </x:c>
    </x:row>
    <x:row r="3" ht="120" customHeight="1">
      <x:c r="A3" s="8" t="str">
        <x:v>P4-PLAN-002</x:v>
      </x:c>
      <x:c r="B3" s="9" t="n">
        <x:v>2</x:v>
      </x:c>
      <x:c r="C3" s="8" t="str">
        <x:v>SLR planning</x:v>
      </x:c>
      <x:c r="D3" s="8" t="str">
        <x:v>I like the table structure that you said. Now, I attach some of the PDFs, as your upload featue allows . There are in total 11 papers in my folder, and I will give you the rest of them in the next prompt. I think not all of them are perhaps directly related, so, but some of them are. So for these…</x:v>
      </x:c>
      <x:c r="E3" s="8" t="str">
        <x:v>Directed delegation</x:v>
      </x:c>
      <x:c r="F3" s="8" t="str">
        <x:v>Knowledge injection; Selection/Rejection</x:v>
      </x:c>
      <x:c r="G3" s="8" t="str">
        <x:v>Directive</x:v>
      </x:c>
      <x:c r="H3" s="8" t="str">
        <x:v>evidence judgment; methodological judgment; genre/writing expertise</x:v>
      </x:c>
      <x:c r="I3" s="8" t="str">
        <x:v>Requires exact RQ wording, accepts extra extraction fields and supplies primary documents.</x:v>
      </x:c>
      <x:c r="J3" s="8" t="str">
        <x:v>AI supplies a first-batch extraction table and claims verbatim extraction.</x:v>
      </x:c>
      <x:c r="K3" s="8" t="str">
        <x:v>PLAN p5 L18-p5 L21; EXEC p6 L18-p6 L21</x:v>
      </x:c>
      <x:c r="L3" s="8" t="str">
        <x:v>PLAN p5 L23-p7 L8; EXEC p6 L23-p8 L8</x:v>
      </x:c>
      <x:c r="M3" s="8" t="str">
        <x:v>Literature Review-RQs and Metrics.docx CODECO~1.PDF
A quantitative analysis of quality and consistency in AI-generated code.pdf
A Survey on Code Generation with LLM-based Agents.pdf
Assessing the quality of GitHub copilot’s code generation.pdf
Characterizing Developers' Behaviors in LLM-Supported Software Development.pdf</x:v>
      </x:c>
      <x:c r="N3" s="8" t="str">
        <x:v>Visible next AI response</x:v>
      </x:c>
      <x:c r="O3" s="8" t="str">
        <x:v>Shared ancestral exchange also exported as EXEC-2. Counted once; both locators retained.</x:v>
      </x:c>
      <x:c r="P3" s="9" t="n">
        <x:f>IF(OR(E3="Delegation",ISNUMBER(SEARCH("; Delegation; ","; "&amp;F3&amp;"; "))),1,0)</x:f>
        <x:v>0</x:v>
      </x:c>
      <x:c r="Q3" s="9" t="n">
        <x:f>IF(OR(E3="Directed delegation",ISNUMBER(SEARCH("; Directed delegation; ","; "&amp;F3&amp;"; "))),1,0)</x:f>
        <x:v>1</x:v>
      </x:c>
      <x:c r="R3" s="9" t="n">
        <x:f>IF(OR(E3="Evaluation",ISNUMBER(SEARCH("; Evaluation; ","; "&amp;F3&amp;"; "))),1,0)</x:f>
        <x:v>0</x:v>
      </x:c>
      <x:c r="S3" s="9" t="n">
        <x:f>IF(OR(E3="Correction/Challenge",ISNUMBER(SEARCH("; Correction/Challenge; ","; "&amp;F3&amp;"; "))),1,0)</x:f>
        <x:v>0</x:v>
      </x:c>
      <x:c r="T3" s="9" t="n">
        <x:f>IF(OR(E3="Redirection",ISNUMBER(SEARCH("; Redirection; ","; "&amp;F3&amp;"; "))),1,0)</x:f>
        <x:v>0</x:v>
      </x:c>
      <x:c r="U3" s="9" t="n">
        <x:f>IF(OR(E3="Knowledge injection",ISNUMBER(SEARCH("; Knowledge injection; ","; "&amp;F3&amp;"; "))),1,0)</x:f>
        <x:v>1</x:v>
      </x:c>
      <x:c r="V3" s="9" t="n">
        <x:f>IF(OR(E3="Selection/Rejection",ISNUMBER(SEARCH("; Selection/Rejection; ","; "&amp;F3&amp;"; "))),1,0)</x:f>
        <x:v>1</x:v>
      </x:c>
      <x:c r="W3" s="9" t="n">
        <x:f>IF(OR(E3="Deliberation",ISNUMBER(SEARCH("; Deliberation; ","; "&amp;F3&amp;"; "))),1,0)</x:f>
        <x:v>0</x:v>
      </x:c>
      <x:c r="X3" s="9" t="n">
        <x:f>IF(ISNUMBER(SEARCH("; domain correction; ","; "&amp;H3&amp;"; ")),1,0)</x:f>
        <x:v>0</x:v>
      </x:c>
      <x:c r="Y3" s="9" t="n">
        <x:f>IF(ISNUMBER(SEARCH("; conceptual discrimination; ","; "&amp;H3&amp;"; ")),1,0)</x:f>
        <x:v>0</x:v>
      </x:c>
      <x:c r="Z3" s="9" t="n">
        <x:f>IF(ISNUMBER(SEARCH("; evidence judgment; ","; "&amp;H3&amp;"; ")),1,0)</x:f>
        <x:v>1</x:v>
      </x:c>
      <x:c r="AA3" s="9" t="n">
        <x:f>IF(ISNUMBER(SEARCH("; methodological judgment; ","; "&amp;H3&amp;"; ")),1,0)</x:f>
        <x:v>1</x:v>
      </x:c>
      <x:c r="AB3" s="9" t="n">
        <x:f>IF(ISNUMBER(SEARCH("; argumentative judgment; ","; "&amp;H3&amp;"; ")),1,0)</x:f>
        <x:v>0</x:v>
      </x:c>
      <x:c r="AC3" s="9" t="n">
        <x:f>IF(ISNUMBER(SEARCH("; genre/writing expertise; ","; "&amp;H3&amp;"; ")),1,0)</x:f>
        <x:v>1</x:v>
      </x:c>
      <x:c r="AD3" s="9" t="n">
        <x:f>IF(ISNUMBER(SEARCH("; none; ","; "&amp;H3&amp;"; ")),1,0)</x:f>
        <x:v>0</x:v>
      </x:c>
    </x:row>
    <x:row r="4" ht="148" customHeight="1">
      <x:c r="A4" s="8" t="str">
        <x:v>P4-PLAN-003</x:v>
      </x:c>
      <x:c r="B4" s="9" t="n">
        <x:v>3</x:v>
      </x:c>
      <x:c r="C4" s="8" t="str">
        <x:v>SLR planning</x:v>
      </x:c>
      <x:c r="D4" s="8" t="str">
        <x:v>"Context / background / mapping study: A Survey on Code Generation with LLM-based Agents" --- yes, I am aware that there are the so-called secondary studies, and because our paper, our MLR, will be a secondary study, those will be related works. Do not include the secondary studies in the table, …</x:v>
      </x:c>
      <x:c r="E4" s="8" t="str">
        <x:v>Selection/Rejection</x:v>
      </x:c>
      <x:c r="F4" s="8" t="str">
        <x:v>Directed delegation; Knowledge injection; Redirection</x:v>
      </x:c>
      <x:c r="G4" s="8" t="str">
        <x:v>Directive</x:v>
      </x:c>
      <x:c r="H4" s="8" t="str">
        <x:v>conceptual discrimination; evidence judgment; methodological judgment</x:v>
      </x:c>
      <x:c r="I4" s="8" t="str">
        <x:v>Distinguishes primary and secondary studies and excludes secondary studies from the evidence pool.</x:v>
      </x:c>
      <x:c r="J4" s="8" t="str">
        <x:v>AI screens the next batch and proposes inclusions/exclusions.</x:v>
      </x:c>
      <x:c r="K4" s="8" t="str">
        <x:v>PLAN p7 L21-p7 L25; EXEC p8 L21-p8 L25</x:v>
      </x:c>
      <x:c r="L4" s="8" t="str">
        <x:v>PLAN p7 L27-p11 L3; EXEC p8 L27-p12 L3</x:v>
      </x:c>
      <x:c r="M4" s="8" t="str">
        <x:v>How Software Engineers Engage with AI-A Pragmatic Workflow.pdf
Codemirage-Hallucinations in code generated by large language models.pdf
Comparative Study of AI Code Generation Tools-Quality Assessment and Performance Analysis.pdf
LLM hallucinations in practical code generation-Phenomena, mechanism, and mitigation.pdf
No need to lift a finger anymore-Assessing the quality of code generation by chatgpt.pdf
SWE-Bench+ Enhanced Coding Benchmark for LLMs.pdf</x:v>
      </x:c>
      <x:c r="N4" s="8" t="str">
        <x:v>Visible next AI response</x:v>
      </x:c>
      <x:c r="O4" s="8" t="str">
        <x:v>Shared ancestral exchange also exported as EXEC-3. Counted once; both locators retained.</x:v>
      </x:c>
      <x:c r="P4" s="9" t="n">
        <x:f>IF(OR(E4="Delegation",ISNUMBER(SEARCH("; Delegation; ","; "&amp;F4&amp;"; "))),1,0)</x:f>
        <x:v>0</x:v>
      </x:c>
      <x:c r="Q4" s="9" t="n">
        <x:f>IF(OR(E4="Directed delegation",ISNUMBER(SEARCH("; Directed delegation; ","; "&amp;F4&amp;"; "))),1,0)</x:f>
        <x:v>1</x:v>
      </x:c>
      <x:c r="R4" s="9" t="n">
        <x:f>IF(OR(E4="Evaluation",ISNUMBER(SEARCH("; Evaluation; ","; "&amp;F4&amp;"; "))),1,0)</x:f>
        <x:v>0</x:v>
      </x:c>
      <x:c r="S4" s="9" t="n">
        <x:f>IF(OR(E4="Correction/Challenge",ISNUMBER(SEARCH("; Correction/Challenge; ","; "&amp;F4&amp;"; "))),1,0)</x:f>
        <x:v>0</x:v>
      </x:c>
      <x:c r="T4" s="9" t="n">
        <x:f>IF(OR(E4="Redirection",ISNUMBER(SEARCH("; Redirection; ","; "&amp;F4&amp;"; "))),1,0)</x:f>
        <x:v>1</x:v>
      </x:c>
      <x:c r="U4" s="9" t="n">
        <x:f>IF(OR(E4="Knowledge injection",ISNUMBER(SEARCH("; Knowledge injection; ","; "&amp;F4&amp;"; "))),1,0)</x:f>
        <x:v>1</x:v>
      </x:c>
      <x:c r="V4" s="9" t="n">
        <x:f>IF(OR(E4="Selection/Rejection",ISNUMBER(SEARCH("; Selection/Rejection; ","; "&amp;F4&amp;"; "))),1,0)</x:f>
        <x:v>1</x:v>
      </x:c>
      <x:c r="W4" s="9" t="n">
        <x:f>IF(OR(E4="Deliberation",ISNUMBER(SEARCH("; Deliberation; ","; "&amp;F4&amp;"; "))),1,0)</x:f>
        <x:v>0</x:v>
      </x:c>
      <x:c r="X4" s="9" t="n">
        <x:f>IF(ISNUMBER(SEARCH("; domain correction; ","; "&amp;H4&amp;"; ")),1,0)</x:f>
        <x:v>0</x:v>
      </x:c>
      <x:c r="Y4" s="9" t="n">
        <x:f>IF(ISNUMBER(SEARCH("; conceptual discrimination; ","; "&amp;H4&amp;"; ")),1,0)</x:f>
        <x:v>1</x:v>
      </x:c>
      <x:c r="Z4" s="9" t="n">
        <x:f>IF(ISNUMBER(SEARCH("; evidence judgment; ","; "&amp;H4&amp;"; ")),1,0)</x:f>
        <x:v>1</x:v>
      </x:c>
      <x:c r="AA4" s="9" t="n">
        <x:f>IF(ISNUMBER(SEARCH("; methodological judgment; ","; "&amp;H4&amp;"; ")),1,0)</x:f>
        <x:v>1</x:v>
      </x:c>
      <x:c r="AB4" s="9" t="n">
        <x:f>IF(ISNUMBER(SEARCH("; argumentative judgment; ","; "&amp;H4&amp;"; ")),1,0)</x:f>
        <x:v>0</x:v>
      </x:c>
      <x:c r="AC4" s="9" t="n">
        <x:f>IF(ISNUMBER(SEARCH("; genre/writing expertise; ","; "&amp;H4&amp;"; ")),1,0)</x:f>
        <x:v>0</x:v>
      </x:c>
      <x:c r="AD4" s="9" t="n">
        <x:f>IF(ISNUMBER(SEARCH("; none; ","; "&amp;H4&amp;"; ")),1,0)</x:f>
        <x:v>0</x:v>
      </x:c>
    </x:row>
    <x:row r="5" ht="92" customHeight="1">
      <x:c r="A5" s="8" t="str">
        <x:v>P4-PLAN-004</x:v>
      </x:c>
      <x:c r="B5" s="9" t="n">
        <x:v>4</x:v>
      </x:c>
      <x:c r="C5" s="8" t="str">
        <x:v>SLR planning</x:v>
      </x:c>
      <x:c r="D5" s="8" t="str">
        <x:v>So as you know, the focus of the work is so we should only include the papers that kind of assess the impact of AI for code generation on code quality, right? So I think some of them may not be strictly in this one. So assess each and every of them to make sure that all of them provide empirical …</x:v>
      </x:c>
      <x:c r="E5" s="8" t="str">
        <x:v>Evaluation</x:v>
      </x:c>
      <x:c r="F5" s="8" t="str">
        <x:v>Correction/Challenge; Directed delegation</x:v>
      </x:c>
      <x:c r="G5" s="8" t="str">
        <x:v>Evaluative</x:v>
      </x:c>
      <x:c r="H5" s="8" t="str">
        <x:v>evidence judgment; methodological judgment</x:v>
      </x:c>
      <x:c r="I5" s="8" t="str">
        <x:v>Tightens eligibility around empirical variation of AI factors and measured outcomes.</x:v>
      </x:c>
      <x:c r="J5" s="8" t="str">
        <x:v>AI reassesses the pool against stricter criteria.</x:v>
      </x:c>
      <x:c r="K5" s="8" t="str">
        <x:v>PLAN p11 L4-p11 L7; EXEC p12 L4-p12 L7</x:v>
      </x:c>
      <x:c r="L5" s="8" t="str">
        <x:v>PLAN p11 L9-p14 L46; EXEC p12 L9-p15 L46</x:v>
      </x:c>
      <x:c r="M5" s="8" t="str"/>
      <x:c r="N5" s="8" t="str">
        <x:v>Visible next AI response</x:v>
      </x:c>
      <x:c r="O5" s="8" t="str">
        <x:v>Shared ancestral exchange also exported as EXEC-4. Counted once; both locators retained. Eligibility tightening is visible, but primary-source accuracy of the AI screening decisions is not independently checked here.</x:v>
      </x:c>
      <x:c r="P5" s="9" t="n">
        <x:f>IF(OR(E5="Delegation",ISNUMBER(SEARCH("; Delegation; ","; "&amp;F5&amp;"; "))),1,0)</x:f>
        <x:v>0</x:v>
      </x:c>
      <x:c r="Q5" s="9" t="n">
        <x:f>IF(OR(E5="Directed delegation",ISNUMBER(SEARCH("; Directed delegation; ","; "&amp;F5&amp;"; "))),1,0)</x:f>
        <x:v>1</x:v>
      </x:c>
      <x:c r="R5" s="9" t="n">
        <x:f>IF(OR(E5="Evaluation",ISNUMBER(SEARCH("; Evaluation; ","; "&amp;F5&amp;"; "))),1,0)</x:f>
        <x:v>1</x:v>
      </x:c>
      <x:c r="S5" s="9" t="n">
        <x:f>IF(OR(E5="Correction/Challenge",ISNUMBER(SEARCH("; Correction/Challenge; ","; "&amp;F5&amp;"; "))),1,0)</x:f>
        <x:v>1</x:v>
      </x:c>
      <x:c r="T5" s="9" t="n">
        <x:f>IF(OR(E5="Redirection",ISNUMBER(SEARCH("; Redirection; ","; "&amp;F5&amp;"; "))),1,0)</x:f>
        <x:v>0</x:v>
      </x:c>
      <x:c r="U5" s="9" t="n">
        <x:f>IF(OR(E5="Knowledge injection",ISNUMBER(SEARCH("; Knowledge injection; ","; "&amp;F5&amp;"; "))),1,0)</x:f>
        <x:v>0</x:v>
      </x:c>
      <x:c r="V5" s="9" t="n">
        <x:f>IF(OR(E5="Selection/Rejection",ISNUMBER(SEARCH("; Selection/Rejection; ","; "&amp;F5&amp;"; "))),1,0)</x:f>
        <x:v>0</x:v>
      </x:c>
      <x:c r="W5" s="9" t="n">
        <x:f>IF(OR(E5="Deliberation",ISNUMBER(SEARCH("; Deliberation; ","; "&amp;F5&amp;"; "))),1,0)</x:f>
        <x:v>0</x:v>
      </x:c>
      <x:c r="X5" s="9" t="n">
        <x:f>IF(ISNUMBER(SEARCH("; domain correction; ","; "&amp;H5&amp;"; ")),1,0)</x:f>
        <x:v>0</x:v>
      </x:c>
      <x:c r="Y5" s="9" t="n">
        <x:f>IF(ISNUMBER(SEARCH("; conceptual discrimination; ","; "&amp;H5&amp;"; ")),1,0)</x:f>
        <x:v>0</x:v>
      </x:c>
      <x:c r="Z5" s="9" t="n">
        <x:f>IF(ISNUMBER(SEARCH("; evidence judgment; ","; "&amp;H5&amp;"; ")),1,0)</x:f>
        <x:v>1</x:v>
      </x:c>
      <x:c r="AA5" s="9" t="n">
        <x:f>IF(ISNUMBER(SEARCH("; methodological judgment; ","; "&amp;H5&amp;"; ")),1,0)</x:f>
        <x:v>1</x:v>
      </x:c>
      <x:c r="AB5" s="9" t="n">
        <x:f>IF(ISNUMBER(SEARCH("; argumentative judgment; ","; "&amp;H5&amp;"; ")),1,0)</x:f>
        <x:v>0</x:v>
      </x:c>
      <x:c r="AC5" s="9" t="n">
        <x:f>IF(ISNUMBER(SEARCH("; genre/writing expertise; ","; "&amp;H5&amp;"; ")),1,0)</x:f>
        <x:v>0</x:v>
      </x:c>
      <x:c r="AD5" s="9" t="n">
        <x:f>IF(ISNUMBER(SEARCH("; none; ","; "&amp;H5&amp;"; ")),1,0)</x:f>
        <x:v>0</x:v>
      </x:c>
    </x:row>
    <x:row r="6" ht="92" customHeight="1">
      <x:c r="A6" s="8" t="str">
        <x:v>P4-PLAN-005</x:v>
      </x:c>
      <x:c r="B6" s="9" t="n">
        <x:v>5</x:v>
      </x:c>
      <x:c r="C6" s="8" t="str">
        <x:v>SLR planning</x:v>
      </x:c>
      <x:c r="D6" s="8" t="str">
        <x:v>so I exclude from my table the following two papers: SWE-Bench+: Enhanced Coding Benchmark for LLMs; How Software Engineers Engage with AI: A Pragmatic Workflow , do you think the others are all directly relevant? also I need one more column, so in the table. do not regenerate the table from scra…</x:v>
      </x:c>
      <x:c r="E6" s="8" t="str">
        <x:v>Selection/Rejection</x:v>
      </x:c>
      <x:c r="F6" s="8" t="str">
        <x:v>Evaluation; Directed delegation</x:v>
      </x:c>
      <x:c r="G6" s="8" t="str">
        <x:v>Directive</x:v>
      </x:c>
      <x:c r="H6" s="8" t="str">
        <x:v>evidence judgment; methodological judgment</x:v>
      </x:c>
      <x:c r="I6" s="8" t="str">
        <x:v>Excludes two studies, checks the others and requests evidence summaries without rebuilding the table.</x:v>
      </x:c>
      <x:c r="J6" s="8" t="str">
        <x:v>AI endorses the exclusions and supplies findings summaries.</x:v>
      </x:c>
      <x:c r="K6" s="8" t="str">
        <x:v>PLAN p15 L1-p15 L6; EXEC p16 L1-p16 L6</x:v>
      </x:c>
      <x:c r="L6" s="8" t="str">
        <x:v>PLAN p15 L8-p16 L24; EXEC p16 L8-p17 L24</x:v>
      </x:c>
      <x:c r="M6" s="8" t="str"/>
      <x:c r="N6" s="8" t="str">
        <x:v>Visible next AI response</x:v>
      </x:c>
      <x:c r="O6" s="8" t="str">
        <x:v>Shared ancestral exchange also exported as EXEC-5. Counted once; both locators retained.</x:v>
      </x:c>
      <x:c r="P6" s="9" t="n">
        <x:f>IF(OR(E6="Delegation",ISNUMBER(SEARCH("; Delegation; ","; "&amp;F6&amp;"; "))),1,0)</x:f>
        <x:v>0</x:v>
      </x:c>
      <x:c r="Q6" s="9" t="n">
        <x:f>IF(OR(E6="Directed delegation",ISNUMBER(SEARCH("; Directed delegation; ","; "&amp;F6&amp;"; "))),1,0)</x:f>
        <x:v>1</x:v>
      </x:c>
      <x:c r="R6" s="9" t="n">
        <x:f>IF(OR(E6="Evaluation",ISNUMBER(SEARCH("; Evaluation; ","; "&amp;F6&amp;"; "))),1,0)</x:f>
        <x:v>1</x:v>
      </x:c>
      <x:c r="S6" s="9" t="n">
        <x:f>IF(OR(E6="Correction/Challenge",ISNUMBER(SEARCH("; Correction/Challenge; ","; "&amp;F6&amp;"; "))),1,0)</x:f>
        <x:v>0</x:v>
      </x:c>
      <x:c r="T6" s="9" t="n">
        <x:f>IF(OR(E6="Redirection",ISNUMBER(SEARCH("; Redirection; ","; "&amp;F6&amp;"; "))),1,0)</x:f>
        <x:v>0</x:v>
      </x:c>
      <x:c r="U6" s="9" t="n">
        <x:f>IF(OR(E6="Knowledge injection",ISNUMBER(SEARCH("; Knowledge injection; ","; "&amp;F6&amp;"; "))),1,0)</x:f>
        <x:v>0</x:v>
      </x:c>
      <x:c r="V6" s="9" t="n">
        <x:f>IF(OR(E6="Selection/Rejection",ISNUMBER(SEARCH("; Selection/Rejection; ","; "&amp;F6&amp;"; "))),1,0)</x:f>
        <x:v>1</x:v>
      </x:c>
      <x:c r="W6" s="9" t="n">
        <x:f>IF(OR(E6="Deliberation",ISNUMBER(SEARCH("; Deliberation; ","; "&amp;F6&amp;"; "))),1,0)</x:f>
        <x:v>0</x:v>
      </x:c>
      <x:c r="X6" s="9" t="n">
        <x:f>IF(ISNUMBER(SEARCH("; domain correction; ","; "&amp;H6&amp;"; ")),1,0)</x:f>
        <x:v>0</x:v>
      </x:c>
      <x:c r="Y6" s="9" t="n">
        <x:f>IF(ISNUMBER(SEARCH("; conceptual discrimination; ","; "&amp;H6&amp;"; ")),1,0)</x:f>
        <x:v>0</x:v>
      </x:c>
      <x:c r="Z6" s="9" t="n">
        <x:f>IF(ISNUMBER(SEARCH("; evidence judgment; ","; "&amp;H6&amp;"; ")),1,0)</x:f>
        <x:v>1</x:v>
      </x:c>
      <x:c r="AA6" s="9" t="n">
        <x:f>IF(ISNUMBER(SEARCH("; methodological judgment; ","; "&amp;H6&amp;"; ")),1,0)</x:f>
        <x:v>1</x:v>
      </x:c>
      <x:c r="AB6" s="9" t="n">
        <x:f>IF(ISNUMBER(SEARCH("; argumentative judgment; ","; "&amp;H6&amp;"; ")),1,0)</x:f>
        <x:v>0</x:v>
      </x:c>
      <x:c r="AC6" s="9" t="n">
        <x:f>IF(ISNUMBER(SEARCH("; genre/writing expertise; ","; "&amp;H6&amp;"; ")),1,0)</x:f>
        <x:v>0</x:v>
      </x:c>
      <x:c r="AD6" s="9" t="n">
        <x:f>IF(ISNUMBER(SEARCH("; none; ","; "&amp;H6&amp;"; ")),1,0)</x:f>
        <x:v>0</x:v>
      </x:c>
    </x:row>
    <x:row r="7" ht="92" customHeight="1">
      <x:c r="A7" s="8" t="str">
        <x:v>P4-PLAN-006</x:v>
      </x:c>
      <x:c r="B7" s="9" t="n">
        <x:v>6</x:v>
      </x:c>
      <x:c r="C7" s="8" t="str">
        <x:v>SLR planning</x:v>
      </x:c>
      <x:c r="D7" s="8" t="str">
        <x:v>Okay, now I want to focus on the dependent variables. I believe I had asked you to extract them, all of them, okay? Although my focus is about code quality metrics and developer productivity metrics, perhaps you can, so if there are, so please classify, okay? So for dependent variables, I want th…</x:v>
      </x:c>
      <x:c r="E7" s="8" t="str">
        <x:v>Directed delegation</x:v>
      </x:c>
      <x:c r="F7" s="8" t="str">
        <x:v>Redirection</x:v>
      </x:c>
      <x:c r="G7" s="8" t="str">
        <x:v>Directive</x:v>
      </x:c>
      <x:c r="H7" s="8" t="str">
        <x:v>conceptual discrimination; methodological judgment</x:v>
      </x:c>
      <x:c r="I7" s="8" t="str">
        <x:v>Separates dependent variables into quality, productivity and other categories.</x:v>
      </x:c>
      <x:c r="J7" s="8" t="str">
        <x:v>AI supplies a categorized dependent-variable table.</x:v>
      </x:c>
      <x:c r="K7" s="8" t="str">
        <x:v>PLAN p16 L25-p16 L29; EXEC p17 L25-p17 L29</x:v>
      </x:c>
      <x:c r="L7" s="8" t="str">
        <x:v>PLAN p16 L31-p18 L11; EXEC p17 L31-p19 L11</x:v>
      </x:c>
      <x:c r="M7" s="8" t="str"/>
      <x:c r="N7" s="8" t="str">
        <x:v>Visible next AI response</x:v>
      </x:c>
      <x:c r="O7" s="8" t="str">
        <x:v>Shared ancestral exchange also exported as EXEC-6. Counted once; both locators retained.</x:v>
      </x:c>
      <x:c r="P7" s="9" t="n">
        <x:f>IF(OR(E7="Delegation",ISNUMBER(SEARCH("; Delegation; ","; "&amp;F7&amp;"; "))),1,0)</x:f>
        <x:v>0</x:v>
      </x:c>
      <x:c r="Q7" s="9" t="n">
        <x:f>IF(OR(E7="Directed delegation",ISNUMBER(SEARCH("; Directed delegation; ","; "&amp;F7&amp;"; "))),1,0)</x:f>
        <x:v>1</x:v>
      </x:c>
      <x:c r="R7" s="9" t="n">
        <x:f>IF(OR(E7="Evaluation",ISNUMBER(SEARCH("; Evaluation; ","; "&amp;F7&amp;"; "))),1,0)</x:f>
        <x:v>0</x:v>
      </x:c>
      <x:c r="S7" s="9" t="n">
        <x:f>IF(OR(E7="Correction/Challenge",ISNUMBER(SEARCH("; Correction/Challenge; ","; "&amp;F7&amp;"; "))),1,0)</x:f>
        <x:v>0</x:v>
      </x:c>
      <x:c r="T7" s="9" t="n">
        <x:f>IF(OR(E7="Redirection",ISNUMBER(SEARCH("; Redirection; ","; "&amp;F7&amp;"; "))),1,0)</x:f>
        <x:v>1</x:v>
      </x:c>
      <x:c r="U7" s="9" t="n">
        <x:f>IF(OR(E7="Knowledge injection",ISNUMBER(SEARCH("; Knowledge injection; ","; "&amp;F7&amp;"; "))),1,0)</x:f>
        <x:v>0</x:v>
      </x:c>
      <x:c r="V7" s="9" t="n">
        <x:f>IF(OR(E7="Selection/Rejection",ISNUMBER(SEARCH("; Selection/Rejection; ","; "&amp;F7&amp;"; "))),1,0)</x:f>
        <x:v>0</x:v>
      </x:c>
      <x:c r="W7" s="9" t="n">
        <x:f>IF(OR(E7="Deliberation",ISNUMBER(SEARCH("; Deliberation; ","; "&amp;F7&amp;"; "))),1,0)</x:f>
        <x:v>0</x:v>
      </x:c>
      <x:c r="X7" s="9" t="n">
        <x:f>IF(ISNUMBER(SEARCH("; domain correction; ","; "&amp;H7&amp;"; ")),1,0)</x:f>
        <x:v>0</x:v>
      </x:c>
      <x:c r="Y7" s="9" t="n">
        <x:f>IF(ISNUMBER(SEARCH("; conceptual discrimination; ","; "&amp;H7&amp;"; ")),1,0)</x:f>
        <x:v>1</x:v>
      </x:c>
      <x:c r="Z7" s="9" t="n">
        <x:f>IF(ISNUMBER(SEARCH("; evidence judgment; ","; "&amp;H7&amp;"; ")),1,0)</x:f>
        <x:v>0</x:v>
      </x:c>
      <x:c r="AA7" s="9" t="n">
        <x:f>IF(ISNUMBER(SEARCH("; methodological judgment; ","; "&amp;H7&amp;"; ")),1,0)</x:f>
        <x:v>1</x:v>
      </x:c>
      <x:c r="AB7" s="9" t="n">
        <x:f>IF(ISNUMBER(SEARCH("; argumentative judgment; ","; "&amp;H7&amp;"; ")),1,0)</x:f>
        <x:v>0</x:v>
      </x:c>
      <x:c r="AC7" s="9" t="n">
        <x:f>IF(ISNUMBER(SEARCH("; genre/writing expertise; ","; "&amp;H7&amp;"; ")),1,0)</x:f>
        <x:v>0</x:v>
      </x:c>
      <x:c r="AD7" s="9" t="n">
        <x:f>IF(ISNUMBER(SEARCH("; none; ","; "&amp;H7&amp;"; ")),1,0)</x:f>
        <x:v>0</x:v>
      </x:c>
    </x:row>
    <x:row r="8" ht="60" customHeight="1">
      <x:c r="A8" s="8" t="str">
        <x:v>P4-PLAN-007</x:v>
      </x:c>
      <x:c r="B8" s="9" t="n">
        <x:v>7</x:v>
      </x:c>
      <x:c r="C8" s="8" t="str">
        <x:v>SLR planning</x:v>
      </x:c>
      <x:c r="D8" s="8" t="str">
        <x:v>for SLR1, give a more catchy title instead of: Impact of AI Code Generation on Software Code Quality Metrics</x:v>
      </x:c>
      <x:c r="E8" s="8" t="str">
        <x:v>Directed delegation</x:v>
      </x:c>
      <x:c r="F8" s="8" t="str"/>
      <x:c r="G8" s="8" t="str">
        <x:v>Directive</x:v>
      </x:c>
      <x:c r="H8" s="8" t="str">
        <x:v>genre/writing expertise</x:v>
      </x:c>
      <x:c r="I8" s="8" t="str">
        <x:v>Requests a catchier alternative to a supplied title.</x:v>
      </x:c>
      <x:c r="J8" s="8" t="str">
        <x:v>AI proposes alternative titles.</x:v>
      </x:c>
      <x:c r="K8" s="8" t="str">
        <x:v>PLAN p18 L13-p18 L13</x:v>
      </x:c>
      <x:c r="L8" s="8" t="str">
        <x:v>PLAN p18 L14-p19 L10</x:v>
      </x:c>
      <x:c r="M8" s="8" t="str"/>
      <x:c r="N8" s="8" t="str">
        <x:v>Visible next AI response</x:v>
      </x:c>
      <x:c r="O8" s="8" t="str"/>
      <x:c r="P8" s="9" t="n">
        <x:f>IF(OR(E8="Delegation",ISNUMBER(SEARCH("; Delegation; ","; "&amp;F8&amp;"; "))),1,0)</x:f>
        <x:v>0</x:v>
      </x:c>
      <x:c r="Q8" s="9" t="n">
        <x:f>IF(OR(E8="Directed delegation",ISNUMBER(SEARCH("; Directed delegation; ","; "&amp;F8&amp;"; "))),1,0)</x:f>
        <x:v>1</x:v>
      </x:c>
      <x:c r="R8" s="9" t="n">
        <x:f>IF(OR(E8="Evaluation",ISNUMBER(SEARCH("; Evaluation; ","; "&amp;F8&amp;"; "))),1,0)</x:f>
        <x:v>0</x:v>
      </x:c>
      <x:c r="S8" s="9" t="n">
        <x:f>IF(OR(E8="Correction/Challenge",ISNUMBER(SEARCH("; Correction/Challenge; ","; "&amp;F8&amp;"; "))),1,0)</x:f>
        <x:v>0</x:v>
      </x:c>
      <x:c r="T8" s="9" t="n">
        <x:f>IF(OR(E8="Redirection",ISNUMBER(SEARCH("; Redirection; ","; "&amp;F8&amp;"; "))),1,0)</x:f>
        <x:v>0</x:v>
      </x:c>
      <x:c r="U8" s="9" t="n">
        <x:f>IF(OR(E8="Knowledge injection",ISNUMBER(SEARCH("; Knowledge injection; ","; "&amp;F8&amp;"; "))),1,0)</x:f>
        <x:v>0</x:v>
      </x:c>
      <x:c r="V8" s="9" t="n">
        <x:f>IF(OR(E8="Selection/Rejection",ISNUMBER(SEARCH("; Selection/Rejection; ","; "&amp;F8&amp;"; "))),1,0)</x:f>
        <x:v>0</x:v>
      </x:c>
      <x:c r="W8" s="9" t="n">
        <x:f>IF(OR(E8="Deliberation",ISNUMBER(SEARCH("; Deliberation; ","; "&amp;F8&amp;"; "))),1,0)</x:f>
        <x:v>0</x:v>
      </x:c>
      <x:c r="X8" s="9" t="n">
        <x:f>IF(ISNUMBER(SEARCH("; domain correction; ","; "&amp;H8&amp;"; ")),1,0)</x:f>
        <x:v>0</x:v>
      </x:c>
      <x:c r="Y8" s="9" t="n">
        <x:f>IF(ISNUMBER(SEARCH("; conceptual discrimination; ","; "&amp;H8&amp;"; ")),1,0)</x:f>
        <x:v>0</x:v>
      </x:c>
      <x:c r="Z8" s="9" t="n">
        <x:f>IF(ISNUMBER(SEARCH("; evidence judgment; ","; "&amp;H8&amp;"; ")),1,0)</x:f>
        <x:v>0</x:v>
      </x:c>
      <x:c r="AA8" s="9" t="n">
        <x:f>IF(ISNUMBER(SEARCH("; methodological judgment; ","; "&amp;H8&amp;"; ")),1,0)</x:f>
        <x:v>0</x:v>
      </x:c>
      <x:c r="AB8" s="9" t="n">
        <x:f>IF(ISNUMBER(SEARCH("; argumentative judgment; ","; "&amp;H8&amp;"; ")),1,0)</x:f>
        <x:v>0</x:v>
      </x:c>
      <x:c r="AC8" s="9" t="n">
        <x:f>IF(ISNUMBER(SEARCH("; genre/writing expertise; ","; "&amp;H8&amp;"; ")),1,0)</x:f>
        <x:v>1</x:v>
      </x:c>
      <x:c r="AD8" s="9" t="n">
        <x:f>IF(ISNUMBER(SEARCH("; none; ","; "&amp;H8&amp;"; ")),1,0)</x:f>
        <x:v>0</x:v>
      </x:c>
    </x:row>
    <x:row r="9" ht="92" customHeight="1">
      <x:c r="A9" s="8" t="str">
        <x:v>P4-PLAN-008</x:v>
      </x:c>
      <x:c r="B9" s="9" t="n">
        <x:v>8</x:v>
      </x:c>
      <x:c r="C9" s="8" t="str">
        <x:v>SLR planning</x:v>
      </x:c>
      <x:c r="D9" s="8" t="str">
        <x:v>By the way, we are not doing game and I also want to say, well, the independent, this is still generic, like how AI code generation shapes quality. How can we highlight, how can we include the like independent variables or I don't know, call them causation factors or something? also for after ":"…</x:v>
      </x:c>
      <x:c r="E9" s="8" t="str">
        <x:v>Correction/Challenge</x:v>
      </x:c>
      <x:c r="F9" s="8" t="str">
        <x:v>Directed delegation</x:v>
      </x:c>
      <x:c r="G9" s="8" t="str">
        <x:v>Critical</x:v>
      </x:c>
      <x:c r="H9" s="8" t="str">
        <x:v>methodological judgment; argumentative judgment; genre/writing expertise</x:v>
      </x:c>
      <x:c r="I9" s="8" t="str">
        <x:v>Rejects generic title framing and requires influencing factors plus evidence synthesis.</x:v>
      </x:c>
      <x:c r="J9" s="8" t="str">
        <x:v>AI supplies factor-focused title alternatives.</x:v>
      </x:c>
      <x:c r="K9" s="8" t="str">
        <x:v>PLAN p19 L11-p19 L13</x:v>
      </x:c>
      <x:c r="L9" s="8" t="str">
        <x:v>PLAN p19 L15-p20 L19</x:v>
      </x:c>
      <x:c r="M9" s="8" t="str"/>
      <x:c r="N9" s="8" t="str">
        <x:v>Visible next AI response</x:v>
      </x:c>
      <x:c r="O9" s="8" t="str">
        <x:v>The phrase we are not doing game is preserved as exported; intended referent is unclear.</x:v>
      </x:c>
      <x:c r="P9" s="9" t="n">
        <x:f>IF(OR(E9="Delegation",ISNUMBER(SEARCH("; Delegation; ","; "&amp;F9&amp;"; "))),1,0)</x:f>
        <x:v>0</x:v>
      </x:c>
      <x:c r="Q9" s="9" t="n">
        <x:f>IF(OR(E9="Directed delegation",ISNUMBER(SEARCH("; Directed delegation; ","; "&amp;F9&amp;"; "))),1,0)</x:f>
        <x:v>1</x:v>
      </x:c>
      <x:c r="R9" s="9" t="n">
        <x:f>IF(OR(E9="Evaluation",ISNUMBER(SEARCH("; Evaluation; ","; "&amp;F9&amp;"; "))),1,0)</x:f>
        <x:v>0</x:v>
      </x:c>
      <x:c r="S9" s="9" t="n">
        <x:f>IF(OR(E9="Correction/Challenge",ISNUMBER(SEARCH("; Correction/Challenge; ","; "&amp;F9&amp;"; "))),1,0)</x:f>
        <x:v>1</x:v>
      </x:c>
      <x:c r="T9" s="9" t="n">
        <x:f>IF(OR(E9="Redirection",ISNUMBER(SEARCH("; Redirection; ","; "&amp;F9&amp;"; "))),1,0)</x:f>
        <x:v>0</x:v>
      </x:c>
      <x:c r="U9" s="9" t="n">
        <x:f>IF(OR(E9="Knowledge injection",ISNUMBER(SEARCH("; Knowledge injection; ","; "&amp;F9&amp;"; "))),1,0)</x:f>
        <x:v>0</x:v>
      </x:c>
      <x:c r="V9" s="9" t="n">
        <x:f>IF(OR(E9="Selection/Rejection",ISNUMBER(SEARCH("; Selection/Rejection; ","; "&amp;F9&amp;"; "))),1,0)</x:f>
        <x:v>0</x:v>
      </x:c>
      <x:c r="W9" s="9" t="n">
        <x:f>IF(OR(E9="Deliberation",ISNUMBER(SEARCH("; Deliberation; ","; "&amp;F9&amp;"; "))),1,0)</x:f>
        <x:v>0</x:v>
      </x:c>
      <x:c r="X9" s="9" t="n">
        <x:f>IF(ISNUMBER(SEARCH("; domain correction; ","; "&amp;H9&amp;"; ")),1,0)</x:f>
        <x:v>0</x:v>
      </x:c>
      <x:c r="Y9" s="9" t="n">
        <x:f>IF(ISNUMBER(SEARCH("; conceptual discrimination; ","; "&amp;H9&amp;"; ")),1,0)</x:f>
        <x:v>0</x:v>
      </x:c>
      <x:c r="Z9" s="9" t="n">
        <x:f>IF(ISNUMBER(SEARCH("; evidence judgment; ","; "&amp;H9&amp;"; ")),1,0)</x:f>
        <x:v>0</x:v>
      </x:c>
      <x:c r="AA9" s="9" t="n">
        <x:f>IF(ISNUMBER(SEARCH("; methodological judgment; ","; "&amp;H9&amp;"; ")),1,0)</x:f>
        <x:v>1</x:v>
      </x:c>
      <x:c r="AB9" s="9" t="n">
        <x:f>IF(ISNUMBER(SEARCH("; argumentative judgment; ","; "&amp;H9&amp;"; ")),1,0)</x:f>
        <x:v>1</x:v>
      </x:c>
      <x:c r="AC9" s="9" t="n">
        <x:f>IF(ISNUMBER(SEARCH("; genre/writing expertise; ","; "&amp;H9&amp;"; ")),1,0)</x:f>
        <x:v>1</x:v>
      </x:c>
      <x:c r="AD9" s="9" t="n">
        <x:f>IF(ISNUMBER(SEARCH("; none; ","; "&amp;H9&amp;"; ")),1,0)</x:f>
        <x:v>0</x:v>
      </x:c>
    </x:row>
    <x:row r="10" ht="60" customHeight="1">
      <x:c r="A10" s="8" t="str">
        <x:v>P4-PLAN-009</x:v>
      </x:c>
      <x:c r="B10" s="9" t="n">
        <x:v>9</x:v>
      </x:c>
      <x:c r="C10" s="8" t="str">
        <x:v>SLR planning</x:v>
      </x:c>
      <x:c r="D10" s="8" t="str">
        <x:v>it is NOT Multivocal, it is just research literature</x:v>
      </x:c>
      <x:c r="E10" s="8" t="str">
        <x:v>Correction/Challenge</x:v>
      </x:c>
      <x:c r="F10" s="8" t="str">
        <x:v>Redirection</x:v>
      </x:c>
      <x:c r="G10" s="8" t="str">
        <x:v>Critical</x:v>
      </x:c>
      <x:c r="H10" s="8" t="str">
        <x:v>conceptual discrimination; methodological judgment</x:v>
      </x:c>
      <x:c r="I10" s="8" t="str">
        <x:v>Corrects the review type to research-literature SLR rather than multivocal review.</x:v>
      </x:c>
      <x:c r="J10" s="8" t="str">
        <x:v>AI revises review terminology and titles.</x:v>
      </x:c>
      <x:c r="K10" s="8" t="str">
        <x:v>PLAN p20 L20-p20 L20</x:v>
      </x:c>
      <x:c r="L10" s="8" t="str">
        <x:v>PLAN p20 L21-p21 L19</x:v>
      </x:c>
      <x:c r="M10" s="8" t="str"/>
      <x:c r="N10" s="8" t="str">
        <x:v>Visible next AI response</x:v>
      </x:c>
      <x:c r="O10" s="8" t="str"/>
      <x:c r="P10" s="9" t="n">
        <x:f>IF(OR(E10="Delegation",ISNUMBER(SEARCH("; Delegation; ","; "&amp;F10&amp;"; "))),1,0)</x:f>
        <x:v>0</x:v>
      </x:c>
      <x:c r="Q10" s="9" t="n">
        <x:f>IF(OR(E10="Directed delegation",ISNUMBER(SEARCH("; Directed delegation; ","; "&amp;F10&amp;"; "))),1,0)</x:f>
        <x:v>0</x:v>
      </x:c>
      <x:c r="R10" s="9" t="n">
        <x:f>IF(OR(E10="Evaluation",ISNUMBER(SEARCH("; Evaluation; ","; "&amp;F10&amp;"; "))),1,0)</x:f>
        <x:v>0</x:v>
      </x:c>
      <x:c r="S10" s="9" t="n">
        <x:f>IF(OR(E10="Correction/Challenge",ISNUMBER(SEARCH("; Correction/Challenge; ","; "&amp;F10&amp;"; "))),1,0)</x:f>
        <x:v>1</x:v>
      </x:c>
      <x:c r="T10" s="9" t="n">
        <x:f>IF(OR(E10="Redirection",ISNUMBER(SEARCH("; Redirection; ","; "&amp;F10&amp;"; "))),1,0)</x:f>
        <x:v>1</x:v>
      </x:c>
      <x:c r="U10" s="9" t="n">
        <x:f>IF(OR(E10="Knowledge injection",ISNUMBER(SEARCH("; Knowledge injection; ","; "&amp;F10&amp;"; "))),1,0)</x:f>
        <x:v>0</x:v>
      </x:c>
      <x:c r="V10" s="9" t="n">
        <x:f>IF(OR(E10="Selection/Rejection",ISNUMBER(SEARCH("; Selection/Rejection; ","; "&amp;F10&amp;"; "))),1,0)</x:f>
        <x:v>0</x:v>
      </x:c>
      <x:c r="W10" s="9" t="n">
        <x:f>IF(OR(E10="Deliberation",ISNUMBER(SEARCH("; Deliberation; ","; "&amp;F10&amp;"; "))),1,0)</x:f>
        <x:v>0</x:v>
      </x:c>
      <x:c r="X10" s="9" t="n">
        <x:f>IF(ISNUMBER(SEARCH("; domain correction; ","; "&amp;H10&amp;"; ")),1,0)</x:f>
        <x:v>0</x:v>
      </x:c>
      <x:c r="Y10" s="9" t="n">
        <x:f>IF(ISNUMBER(SEARCH("; conceptual discrimination; ","; "&amp;H10&amp;"; ")),1,0)</x:f>
        <x:v>1</x:v>
      </x:c>
      <x:c r="Z10" s="9" t="n">
        <x:f>IF(ISNUMBER(SEARCH("; evidence judgment; ","; "&amp;H10&amp;"; ")),1,0)</x:f>
        <x:v>0</x:v>
      </x:c>
      <x:c r="AA10" s="9" t="n">
        <x:f>IF(ISNUMBER(SEARCH("; methodological judgment; ","; "&amp;H10&amp;"; ")),1,0)</x:f>
        <x:v>1</x:v>
      </x:c>
      <x:c r="AB10" s="9" t="n">
        <x:f>IF(ISNUMBER(SEARCH("; argumentative judgment; ","; "&amp;H10&amp;"; ")),1,0)</x:f>
        <x:v>0</x:v>
      </x:c>
      <x:c r="AC10" s="9" t="n">
        <x:f>IF(ISNUMBER(SEARCH("; genre/writing expertise; ","; "&amp;H10&amp;"; ")),1,0)</x:f>
        <x:v>0</x:v>
      </x:c>
      <x:c r="AD10" s="9" t="n">
        <x:f>IF(ISNUMBER(SEARCH("; none; ","; "&amp;H10&amp;"; ")),1,0)</x:f>
        <x:v>0</x:v>
      </x:c>
    </x:row>
    <x:row r="11" ht="64" customHeight="1">
      <x:c r="A11" s="8" t="str">
        <x:v>P4-PLAN-010</x:v>
      </x:c>
      <x:c r="B11" s="9" t="n">
        <x:v>10</x:v>
      </x:c>
      <x:c r="C11" s="8" t="str">
        <x:v>SLR planning</x:v>
      </x:c>
      <x:c r="D11" s="8" t="str">
        <x:v>I choose: Influencing Factors in AI Code Generation and Their Impact on Software Code Quality: A Synthesis of Empirical Evidence, give paper structure</x:v>
      </x:c>
      <x:c r="E11" s="8" t="str">
        <x:v>Selection/Rejection</x:v>
      </x:c>
      <x:c r="F11" s="8" t="str">
        <x:v>Directed delegation</x:v>
      </x:c>
      <x:c r="G11" s="8" t="str">
        <x:v>Directive</x:v>
      </x:c>
      <x:c r="H11" s="8" t="str">
        <x:v>none</x:v>
      </x:c>
      <x:c r="I11" s="8" t="str">
        <x:v>Selects a title and asks for the corresponding structure without further rationale.</x:v>
      </x:c>
      <x:c r="J11" s="8" t="str">
        <x:v>AI proposes a paper outline.</x:v>
      </x:c>
      <x:c r="K11" s="8" t="str">
        <x:v>PLAN p21 L20-p21 L21</x:v>
      </x:c>
      <x:c r="L11" s="8" t="str">
        <x:v>PLAN p21 L22-p26 L21</x:v>
      </x:c>
      <x:c r="M11" s="8" t="str"/>
      <x:c r="N11" s="8" t="str">
        <x:v>Visible next AI response</x:v>
      </x:c>
      <x:c r="O11" s="8" t="str"/>
      <x:c r="P11" s="9" t="n">
        <x:f>IF(OR(E11="Delegation",ISNUMBER(SEARCH("; Delegation; ","; "&amp;F11&amp;"; "))),1,0)</x:f>
        <x:v>0</x:v>
      </x:c>
      <x:c r="Q11" s="9" t="n">
        <x:f>IF(OR(E11="Directed delegation",ISNUMBER(SEARCH("; Directed delegation; ","; "&amp;F11&amp;"; "))),1,0)</x:f>
        <x:v>1</x:v>
      </x:c>
      <x:c r="R11" s="9" t="n">
        <x:f>IF(OR(E11="Evaluation",ISNUMBER(SEARCH("; Evaluation; ","; "&amp;F11&amp;"; "))),1,0)</x:f>
        <x:v>0</x:v>
      </x:c>
      <x:c r="S11" s="9" t="n">
        <x:f>IF(OR(E11="Correction/Challenge",ISNUMBER(SEARCH("; Correction/Challenge; ","; "&amp;F11&amp;"; "))),1,0)</x:f>
        <x:v>0</x:v>
      </x:c>
      <x:c r="T11" s="9" t="n">
        <x:f>IF(OR(E11="Redirection",ISNUMBER(SEARCH("; Redirection; ","; "&amp;F11&amp;"; "))),1,0)</x:f>
        <x:v>0</x:v>
      </x:c>
      <x:c r="U11" s="9" t="n">
        <x:f>IF(OR(E11="Knowledge injection",ISNUMBER(SEARCH("; Knowledge injection; ","; "&amp;F11&amp;"; "))),1,0)</x:f>
        <x:v>0</x:v>
      </x:c>
      <x:c r="V11" s="9" t="n">
        <x:f>IF(OR(E11="Selection/Rejection",ISNUMBER(SEARCH("; Selection/Rejection; ","; "&amp;F11&amp;"; "))),1,0)</x:f>
        <x:v>1</x:v>
      </x:c>
      <x:c r="W11" s="9" t="n">
        <x:f>IF(OR(E11="Deliberation",ISNUMBER(SEARCH("; Deliberation; ","; "&amp;F11&amp;"; "))),1,0)</x:f>
        <x:v>0</x:v>
      </x:c>
      <x:c r="X11" s="9" t="n">
        <x:f>IF(ISNUMBER(SEARCH("; domain correction; ","; "&amp;H11&amp;"; ")),1,0)</x:f>
        <x:v>0</x:v>
      </x:c>
      <x:c r="Y11" s="9" t="n">
        <x:f>IF(ISNUMBER(SEARCH("; conceptual discrimination; ","; "&amp;H11&amp;"; ")),1,0)</x:f>
        <x:v>0</x:v>
      </x:c>
      <x:c r="Z11" s="9" t="n">
        <x:f>IF(ISNUMBER(SEARCH("; evidence judgment; ","; "&amp;H11&amp;"; ")),1,0)</x:f>
        <x:v>0</x:v>
      </x:c>
      <x:c r="AA11" s="9" t="n">
        <x:f>IF(ISNUMBER(SEARCH("; methodological judgment; ","; "&amp;H11&amp;"; ")),1,0)</x:f>
        <x:v>0</x:v>
      </x:c>
      <x:c r="AB11" s="9" t="n">
        <x:f>IF(ISNUMBER(SEARCH("; argumentative judgment; ","; "&amp;H11&amp;"; ")),1,0)</x:f>
        <x:v>0</x:v>
      </x:c>
      <x:c r="AC11" s="9" t="n">
        <x:f>IF(ISNUMBER(SEARCH("; genre/writing expertise; ","; "&amp;H11&amp;"; ")),1,0)</x:f>
        <x:v>0</x:v>
      </x:c>
      <x:c r="AD11" s="9" t="n">
        <x:f>IF(ISNUMBER(SEARCH("; none; ","; "&amp;H11&amp;"; ")),1,0)</x:f>
        <x:v>1</x:v>
      </x:c>
    </x:row>
    <x:row r="12" ht="92" customHeight="1">
      <x:c r="A12" s="8" t="str">
        <x:v>P4-PLAN-011</x:v>
      </x:c>
      <x:c r="B12" s="9" t="n">
        <x:v>11</x:v>
      </x:c>
      <x:c r="C12" s="8" t="str">
        <x:v>SLR planning</x:v>
      </x:c>
      <x:c r="D12" s="8" t="str">
        <x:v>* screening * final paper set Include **PRISMA dia** I choose these RQs: RQ1 — Independent Variables Studied (Influencing Factors) What independent variables have been investigated in empirical studies evaluating the impact of AI-based code generation on software code quality? RQ2 — Dependent Var…</x:v>
      </x:c>
      <x:c r="E12" s="8" t="str">
        <x:v>Selection/Rejection</x:v>
      </x:c>
      <x:c r="F12" s="8" t="str">
        <x:v>Directed delegation; Knowledge injection</x:v>
      </x:c>
      <x:c r="G12" s="8" t="str">
        <x:v>Directive</x:v>
      </x:c>
      <x:c r="H12" s="8" t="str">
        <x:v>methodological judgment; genre/writing expertise</x:v>
      </x:c>
      <x:c r="I12" s="8" t="str">
        <x:v>Selects RQs, adds collaboration practices and specifies close human oversight in the methodology.</x:v>
      </x:c>
      <x:c r="J12" s="8" t="str">
        <x:v>AI refines RQs and develops an AI-assisted SLR methods outline.</x:v>
      </x:c>
      <x:c r="K12" s="8" t="str">
        <x:v>PLAN p26 L23-p26 L37</x:v>
      </x:c>
      <x:c r="L12" s="8" t="str">
        <x:v>PLAN p26 L39-p30 L5</x:v>
      </x:c>
      <x:c r="M12" s="8" t="str"/>
      <x:c r="N12" s="8" t="str">
        <x:v>Visible next AI response</x:v>
      </x:c>
      <x:c r="O12" s="8" t="str"/>
      <x:c r="P12" s="9" t="n">
        <x:f>IF(OR(E12="Delegation",ISNUMBER(SEARCH("; Delegation; ","; "&amp;F12&amp;"; "))),1,0)</x:f>
        <x:v>0</x:v>
      </x:c>
      <x:c r="Q12" s="9" t="n">
        <x:f>IF(OR(E12="Directed delegation",ISNUMBER(SEARCH("; Directed delegation; ","; "&amp;F12&amp;"; "))),1,0)</x:f>
        <x:v>1</x:v>
      </x:c>
      <x:c r="R12" s="9" t="n">
        <x:f>IF(OR(E12="Evaluation",ISNUMBER(SEARCH("; Evaluation; ","; "&amp;F12&amp;"; "))),1,0)</x:f>
        <x:v>0</x:v>
      </x:c>
      <x:c r="S12" s="9" t="n">
        <x:f>IF(OR(E12="Correction/Challenge",ISNUMBER(SEARCH("; Correction/Challenge; ","; "&amp;F12&amp;"; "))),1,0)</x:f>
        <x:v>0</x:v>
      </x:c>
      <x:c r="T12" s="9" t="n">
        <x:f>IF(OR(E12="Redirection",ISNUMBER(SEARCH("; Redirection; ","; "&amp;F12&amp;"; "))),1,0)</x:f>
        <x:v>0</x:v>
      </x:c>
      <x:c r="U12" s="9" t="n">
        <x:f>IF(OR(E12="Knowledge injection",ISNUMBER(SEARCH("; Knowledge injection; ","; "&amp;F12&amp;"; "))),1,0)</x:f>
        <x:v>1</x:v>
      </x:c>
      <x:c r="V12" s="9" t="n">
        <x:f>IF(OR(E12="Selection/Rejection",ISNUMBER(SEARCH("; Selection/Rejection; ","; "&amp;F12&amp;"; "))),1,0)</x:f>
        <x:v>1</x:v>
      </x:c>
      <x:c r="W12" s="9" t="n">
        <x:f>IF(OR(E12="Deliberation",ISNUMBER(SEARCH("; Deliberation; ","; "&amp;F12&amp;"; "))),1,0)</x:f>
        <x:v>0</x:v>
      </x:c>
      <x:c r="X12" s="9" t="n">
        <x:f>IF(ISNUMBER(SEARCH("; domain correction; ","; "&amp;H12&amp;"; ")),1,0)</x:f>
        <x:v>0</x:v>
      </x:c>
      <x:c r="Y12" s="9" t="n">
        <x:f>IF(ISNUMBER(SEARCH("; conceptual discrimination; ","; "&amp;H12&amp;"; ")),1,0)</x:f>
        <x:v>0</x:v>
      </x:c>
      <x:c r="Z12" s="9" t="n">
        <x:f>IF(ISNUMBER(SEARCH("; evidence judgment; ","; "&amp;H12&amp;"; ")),1,0)</x:f>
        <x:v>0</x:v>
      </x:c>
      <x:c r="AA12" s="9" t="n">
        <x:f>IF(ISNUMBER(SEARCH("; methodological judgment; ","; "&amp;H12&amp;"; ")),1,0)</x:f>
        <x:v>1</x:v>
      </x:c>
      <x:c r="AB12" s="9" t="n">
        <x:f>IF(ISNUMBER(SEARCH("; argumentative judgment; ","; "&amp;H12&amp;"; ")),1,0)</x:f>
        <x:v>0</x:v>
      </x:c>
      <x:c r="AC12" s="9" t="n">
        <x:f>IF(ISNUMBER(SEARCH("; genre/writing expertise; ","; "&amp;H12&amp;"; ")),1,0)</x:f>
        <x:v>1</x:v>
      </x:c>
      <x:c r="AD12" s="9" t="n">
        <x:f>IF(ISNUMBER(SEARCH("; none; ","; "&amp;H12&amp;"; ")),1,0)</x:f>
        <x:v>0</x:v>
      </x:c>
    </x:row>
    <x:row r="13" ht="64" customHeight="1">
      <x:c r="A13" s="8" t="str">
        <x:v>P4-PLAN-012</x:v>
      </x:c>
      <x:c r="B13" s="9" t="n">
        <x:v>12</x:v>
      </x:c>
      <x:c r="C13" s="8" t="str">
        <x:v>SLR planning</x:v>
      </x:c>
      <x:c r="D13" s="8" t="str">
        <x:v>### RQ3 — Evaluation Methods **What empirical evaluation methods are used to assess the quality of AI-generated code?** make these more precise</x:v>
      </x:c>
      <x:c r="E13" s="8" t="str">
        <x:v>Directed delegation</x:v>
      </x:c>
      <x:c r="F13" s="8" t="str">
        <x:v>Knowledge injection</x:v>
      </x:c>
      <x:c r="G13" s="8" t="str">
        <x:v>Directive</x:v>
      </x:c>
      <x:c r="H13" s="8" t="str">
        <x:v>methodological judgment; genre/writing expertise</x:v>
      </x:c>
      <x:c r="I13" s="8" t="str">
        <x:v>Requires more precise evaluation-method RQ wording.</x:v>
      </x:c>
      <x:c r="J13" s="8" t="str">
        <x:v>AI suggests refined RQ3 formulations.</x:v>
      </x:c>
      <x:c r="K13" s="8" t="str">
        <x:v>PLAN p30 L6-p30 L7</x:v>
      </x:c>
      <x:c r="L13" s="8" t="str">
        <x:v>PLAN p30 L8-p30 L37</x:v>
      </x:c>
      <x:c r="M13" s="8" t="str"/>
      <x:c r="N13" s="8" t="str">
        <x:v>Visible next AI response</x:v>
      </x:c>
      <x:c r="O13" s="8" t="str"/>
      <x:c r="P13" s="9" t="n">
        <x:f>IF(OR(E13="Delegation",ISNUMBER(SEARCH("; Delegation; ","; "&amp;F13&amp;"; "))),1,0)</x:f>
        <x:v>0</x:v>
      </x:c>
      <x:c r="Q13" s="9" t="n">
        <x:f>IF(OR(E13="Directed delegation",ISNUMBER(SEARCH("; Directed delegation; ","; "&amp;F13&amp;"; "))),1,0)</x:f>
        <x:v>1</x:v>
      </x:c>
      <x:c r="R13" s="9" t="n">
        <x:f>IF(OR(E13="Evaluation",ISNUMBER(SEARCH("; Evaluation; ","; "&amp;F13&amp;"; "))),1,0)</x:f>
        <x:v>0</x:v>
      </x:c>
      <x:c r="S13" s="9" t="n">
        <x:f>IF(OR(E13="Correction/Challenge",ISNUMBER(SEARCH("; Correction/Challenge; ","; "&amp;F13&amp;"; "))),1,0)</x:f>
        <x:v>0</x:v>
      </x:c>
      <x:c r="T13" s="9" t="n">
        <x:f>IF(OR(E13="Redirection",ISNUMBER(SEARCH("; Redirection; ","; "&amp;F13&amp;"; "))),1,0)</x:f>
        <x:v>0</x:v>
      </x:c>
      <x:c r="U13" s="9" t="n">
        <x:f>IF(OR(E13="Knowledge injection",ISNUMBER(SEARCH("; Knowledge injection; ","; "&amp;F13&amp;"; "))),1,0)</x:f>
        <x:v>1</x:v>
      </x:c>
      <x:c r="V13" s="9" t="n">
        <x:f>IF(OR(E13="Selection/Rejection",ISNUMBER(SEARCH("; Selection/Rejection; ","; "&amp;F13&amp;"; "))),1,0)</x:f>
        <x:v>0</x:v>
      </x:c>
      <x:c r="W13" s="9" t="n">
        <x:f>IF(OR(E13="Deliberation",ISNUMBER(SEARCH("; Deliberation; ","; "&amp;F13&amp;"; "))),1,0)</x:f>
        <x:v>0</x:v>
      </x:c>
      <x:c r="X13" s="9" t="n">
        <x:f>IF(ISNUMBER(SEARCH("; domain correction; ","; "&amp;H13&amp;"; ")),1,0)</x:f>
        <x:v>0</x:v>
      </x:c>
      <x:c r="Y13" s="9" t="n">
        <x:f>IF(ISNUMBER(SEARCH("; conceptual discrimination; ","; "&amp;H13&amp;"; ")),1,0)</x:f>
        <x:v>0</x:v>
      </x:c>
      <x:c r="Z13" s="9" t="n">
        <x:f>IF(ISNUMBER(SEARCH("; evidence judgment; ","; "&amp;H13&amp;"; ")),1,0)</x:f>
        <x:v>0</x:v>
      </x:c>
      <x:c r="AA13" s="9" t="n">
        <x:f>IF(ISNUMBER(SEARCH("; methodological judgment; ","; "&amp;H13&amp;"; ")),1,0)</x:f>
        <x:v>1</x:v>
      </x:c>
      <x:c r="AB13" s="9" t="n">
        <x:f>IF(ISNUMBER(SEARCH("; argumentative judgment; ","; "&amp;H13&amp;"; ")),1,0)</x:f>
        <x:v>0</x:v>
      </x:c>
      <x:c r="AC13" s="9" t="n">
        <x:f>IF(ISNUMBER(SEARCH("; genre/writing expertise; ","; "&amp;H13&amp;"; ")),1,0)</x:f>
        <x:v>1</x:v>
      </x:c>
      <x:c r="AD13" s="9" t="n">
        <x:f>IF(ISNUMBER(SEARCH("; none; ","; "&amp;H13&amp;"; ")),1,0)</x:f>
        <x:v>0</x:v>
      </x:c>
    </x:row>
    <x:row r="14" ht="92" customHeight="1">
      <x:c r="A14" s="8" t="str">
        <x:v>P4-PLAN-013</x:v>
      </x:c>
      <x:c r="B14" s="9" t="n">
        <x:v>13</x:v>
      </x:c>
      <x:c r="C14" s="8" t="str">
        <x:v>SLR planning</x:v>
      </x:c>
      <x:c r="D14" s="8" t="str">
        <x:v>For RQ2, some of the extracted data and responses would be the following. How can we make the RQ3 itself more precise considering these? ---- Evaluation method DevGPT mining; manual re-prompting; metric computation with Radon; comparative quantitative analysis Manual code generation; execution/te…</x:v>
      </x:c>
      <x:c r="E14" s="8" t="str">
        <x:v>Knowledge injection</x:v>
      </x:c>
      <x:c r="F14" s="8" t="str">
        <x:v>Deliberation; Directed delegation</x:v>
      </x:c>
      <x:c r="G14" s="8" t="str">
        <x:v>Deliberative</x:v>
      </x:c>
      <x:c r="H14" s="8" t="str">
        <x:v>conceptual discrimination; methodological judgment</x:v>
      </x:c>
      <x:c r="I14" s="8" t="str">
        <x:v>Uses concrete evaluation-method examples to reconsider the scope of RQ3.</x:v>
      </x:c>
      <x:c r="J14" s="8" t="str">
        <x:v>AI distinguishes methodological components and proposes a broader operational formulation.</x:v>
      </x:c>
      <x:c r="K14" s="8" t="str">
        <x:v>PLAN p31 L1-p31 L6</x:v>
      </x:c>
      <x:c r="L14" s="8" t="str">
        <x:v>PLAN p31 L8-p32 L18</x:v>
      </x:c>
      <x:c r="M14" s="8" t="str"/>
      <x:c r="N14" s="8" t="str">
        <x:v>Visible next AI response</x:v>
      </x:c>
      <x:c r="O14" s="8" t="str">
        <x:v>Prompt says For RQ2 but requests refinement of RQ3; preserve this wording rather than silently correcting it.</x:v>
      </x:c>
      <x:c r="P14" s="9" t="n">
        <x:f>IF(OR(E14="Delegation",ISNUMBER(SEARCH("; Delegation; ","; "&amp;F14&amp;"; "))),1,0)</x:f>
        <x:v>0</x:v>
      </x:c>
      <x:c r="Q14" s="9" t="n">
        <x:f>IF(OR(E14="Directed delegation",ISNUMBER(SEARCH("; Directed delegation; ","; "&amp;F14&amp;"; "))),1,0)</x:f>
        <x:v>1</x:v>
      </x:c>
      <x:c r="R14" s="9" t="n">
        <x:f>IF(OR(E14="Evaluation",ISNUMBER(SEARCH("; Evaluation; ","; "&amp;F14&amp;"; "))),1,0)</x:f>
        <x:v>0</x:v>
      </x:c>
      <x:c r="S14" s="9" t="n">
        <x:f>IF(OR(E14="Correction/Challenge",ISNUMBER(SEARCH("; Correction/Challenge; ","; "&amp;F14&amp;"; "))),1,0)</x:f>
        <x:v>0</x:v>
      </x:c>
      <x:c r="T14" s="9" t="n">
        <x:f>IF(OR(E14="Redirection",ISNUMBER(SEARCH("; Redirection; ","; "&amp;F14&amp;"; "))),1,0)</x:f>
        <x:v>0</x:v>
      </x:c>
      <x:c r="U14" s="9" t="n">
        <x:f>IF(OR(E14="Knowledge injection",ISNUMBER(SEARCH("; Knowledge injection; ","; "&amp;F14&amp;"; "))),1,0)</x:f>
        <x:v>1</x:v>
      </x:c>
      <x:c r="V14" s="9" t="n">
        <x:f>IF(OR(E14="Selection/Rejection",ISNUMBER(SEARCH("; Selection/Rejection; ","; "&amp;F14&amp;"; "))),1,0)</x:f>
        <x:v>0</x:v>
      </x:c>
      <x:c r="W14" s="9" t="n">
        <x:f>IF(OR(E14="Deliberation",ISNUMBER(SEARCH("; Deliberation; ","; "&amp;F14&amp;"; "))),1,0)</x:f>
        <x:v>1</x:v>
      </x:c>
      <x:c r="X14" s="9" t="n">
        <x:f>IF(ISNUMBER(SEARCH("; domain correction; ","; "&amp;H14&amp;"; ")),1,0)</x:f>
        <x:v>0</x:v>
      </x:c>
      <x:c r="Y14" s="9" t="n">
        <x:f>IF(ISNUMBER(SEARCH("; conceptual discrimination; ","; "&amp;H14&amp;"; ")),1,0)</x:f>
        <x:v>1</x:v>
      </x:c>
      <x:c r="Z14" s="9" t="n">
        <x:f>IF(ISNUMBER(SEARCH("; evidence judgment; ","; "&amp;H14&amp;"; ")),1,0)</x:f>
        <x:v>0</x:v>
      </x:c>
      <x:c r="AA14" s="9" t="n">
        <x:f>IF(ISNUMBER(SEARCH("; methodological judgment; ","; "&amp;H14&amp;"; ")),1,0)</x:f>
        <x:v>1</x:v>
      </x:c>
      <x:c r="AB14" s="9" t="n">
        <x:f>IF(ISNUMBER(SEARCH("; argumentative judgment; ","; "&amp;H14&amp;"; ")),1,0)</x:f>
        <x:v>0</x:v>
      </x:c>
      <x:c r="AC14" s="9" t="n">
        <x:f>IF(ISNUMBER(SEARCH("; genre/writing expertise; ","; "&amp;H14&amp;"; ")),1,0)</x:f>
        <x:v>0</x:v>
      </x:c>
      <x:c r="AD14" s="9" t="n">
        <x:f>IF(ISNUMBER(SEARCH("; none; ","; "&amp;H14&amp;"; ")),1,0)</x:f>
        <x:v>0</x:v>
      </x:c>
    </x:row>
    <x:row r="15" ht="60" customHeight="1">
      <x:c r="A15" s="8" t="str">
        <x:v>P4-PLAN-014</x:v>
      </x:c>
      <x:c r="B15" s="9" t="n">
        <x:v>14</x:v>
      </x:c>
      <x:c r="C15" s="8" t="str">
        <x:v>SLR planning</x:v>
      </x:c>
      <x:c r="D15" s="8" t="str">
        <x:v>I want to have a single result section in which I answer all the six RQs.</x:v>
      </x:c>
      <x:c r="E15" s="8" t="str">
        <x:v>Redirection</x:v>
      </x:c>
      <x:c r="F15" s="8" t="str">
        <x:v>Directed delegation</x:v>
      </x:c>
      <x:c r="G15" s="8" t="str">
        <x:v>Directive</x:v>
      </x:c>
      <x:c r="H15" s="8" t="str">
        <x:v>genre/writing expertise</x:v>
      </x:c>
      <x:c r="I15" s="8" t="str">
        <x:v>Directs a single results section organized around all six RQs.</x:v>
      </x:c>
      <x:c r="J15" s="8" t="str">
        <x:v>AI supplies the RQ-based results structure.</x:v>
      </x:c>
      <x:c r="K15" s="8" t="str">
        <x:v>PLAN p32 L19-p32 L19</x:v>
      </x:c>
      <x:c r="L15" s="8" t="str">
        <x:v>PLAN p32 L20-p36 L18</x:v>
      </x:c>
      <x:c r="M15" s="8" t="str"/>
      <x:c r="N15" s="8" t="str">
        <x:v>Visible next AI response</x:v>
      </x:c>
      <x:c r="O15" s="8" t="str"/>
      <x:c r="P15" s="9" t="n">
        <x:f>IF(OR(E15="Delegation",ISNUMBER(SEARCH("; Delegation; ","; "&amp;F15&amp;"; "))),1,0)</x:f>
        <x:v>0</x:v>
      </x:c>
      <x:c r="Q15" s="9" t="n">
        <x:f>IF(OR(E15="Directed delegation",ISNUMBER(SEARCH("; Directed delegation; ","; "&amp;F15&amp;"; "))),1,0)</x:f>
        <x:v>1</x:v>
      </x:c>
      <x:c r="R15" s="9" t="n">
        <x:f>IF(OR(E15="Evaluation",ISNUMBER(SEARCH("; Evaluation; ","; "&amp;F15&amp;"; "))),1,0)</x:f>
        <x:v>0</x:v>
      </x:c>
      <x:c r="S15" s="9" t="n">
        <x:f>IF(OR(E15="Correction/Challenge",ISNUMBER(SEARCH("; Correction/Challenge; ","; "&amp;F15&amp;"; "))),1,0)</x:f>
        <x:v>0</x:v>
      </x:c>
      <x:c r="T15" s="9" t="n">
        <x:f>IF(OR(E15="Redirection",ISNUMBER(SEARCH("; Redirection; ","; "&amp;F15&amp;"; "))),1,0)</x:f>
        <x:v>1</x:v>
      </x:c>
      <x:c r="U15" s="9" t="n">
        <x:f>IF(OR(E15="Knowledge injection",ISNUMBER(SEARCH("; Knowledge injection; ","; "&amp;F15&amp;"; "))),1,0)</x:f>
        <x:v>0</x:v>
      </x:c>
      <x:c r="V15" s="9" t="n">
        <x:f>IF(OR(E15="Selection/Rejection",ISNUMBER(SEARCH("; Selection/Rejection; ","; "&amp;F15&amp;"; "))),1,0)</x:f>
        <x:v>0</x:v>
      </x:c>
      <x:c r="W15" s="9" t="n">
        <x:f>IF(OR(E15="Deliberation",ISNUMBER(SEARCH("; Deliberation; ","; "&amp;F15&amp;"; "))),1,0)</x:f>
        <x:v>0</x:v>
      </x:c>
      <x:c r="X15" s="9" t="n">
        <x:f>IF(ISNUMBER(SEARCH("; domain correction; ","; "&amp;H15&amp;"; ")),1,0)</x:f>
        <x:v>0</x:v>
      </x:c>
      <x:c r="Y15" s="9" t="n">
        <x:f>IF(ISNUMBER(SEARCH("; conceptual discrimination; ","; "&amp;H15&amp;"; ")),1,0)</x:f>
        <x:v>0</x:v>
      </x:c>
      <x:c r="Z15" s="9" t="n">
        <x:f>IF(ISNUMBER(SEARCH("; evidence judgment; ","; "&amp;H15&amp;"; ")),1,0)</x:f>
        <x:v>0</x:v>
      </x:c>
      <x:c r="AA15" s="9" t="n">
        <x:f>IF(ISNUMBER(SEARCH("; methodological judgment; ","; "&amp;H15&amp;"; ")),1,0)</x:f>
        <x:v>0</x:v>
      </x:c>
      <x:c r="AB15" s="9" t="n">
        <x:f>IF(ISNUMBER(SEARCH("; argumentative judgment; ","; "&amp;H15&amp;"; ")),1,0)</x:f>
        <x:v>0</x:v>
      </x:c>
      <x:c r="AC15" s="9" t="n">
        <x:f>IF(ISNUMBER(SEARCH("; genre/writing expertise; ","; "&amp;H15&amp;"; ")),1,0)</x:f>
        <x:v>1</x:v>
      </x:c>
      <x:c r="AD15" s="9" t="n">
        <x:f>IF(ISNUMBER(SEARCH("; none; ","; "&amp;H15&amp;"; ")),1,0)</x:f>
        <x:v>0</x:v>
      </x:c>
    </x:row>
    <x:row r="16" ht="64" customHeight="1">
      <x:c r="A16" s="8" t="str">
        <x:v>P4-PLAN-015</x:v>
      </x:c>
      <x:c r="B16" s="9" t="n">
        <x:v>15</x:v>
      </x:c>
      <x:c r="C16" s="8" t="str">
        <x:v>SLR planning</x:v>
      </x:c>
      <x:c r="D16" s="8" t="str">
        <x:v>RQ6 — AI–Human Collaboration Practices Reward is to say that AI-human collaboration best practices to get higher quality code. Make it shortest.</x:v>
      </x:c>
      <x:c r="E16" s="8" t="str">
        <x:v>Directed delegation</x:v>
      </x:c>
      <x:c r="F16" s="8" t="str"/>
      <x:c r="G16" s="8" t="str">
        <x:v>Directive</x:v>
      </x:c>
      <x:c r="H16" s="8" t="str">
        <x:v>methodological judgment; genre/writing expertise</x:v>
      </x:c>
      <x:c r="I16" s="8" t="str">
        <x:v>Specifies a concise collaboration-practices RQ tied to better code quality.</x:v>
      </x:c>
      <x:c r="J16" s="8" t="str">
        <x:v>AI supplies shorter RQ6 alternatives.</x:v>
      </x:c>
      <x:c r="K16" s="8" t="str">
        <x:v>PLAN p36 L19-p36 L20</x:v>
      </x:c>
      <x:c r="L16" s="8" t="str">
        <x:v>PLAN p36 L21-p36 L33</x:v>
      </x:c>
      <x:c r="M16" s="8" t="str"/>
      <x:c r="N16" s="8" t="str">
        <x:v>Visible next AI response</x:v>
      </x:c>
      <x:c r="O16" s="8" t="str"/>
      <x:c r="P16" s="9" t="n">
        <x:f>IF(OR(E16="Delegation",ISNUMBER(SEARCH("; Delegation; ","; "&amp;F16&amp;"; "))),1,0)</x:f>
        <x:v>0</x:v>
      </x:c>
      <x:c r="Q16" s="9" t="n">
        <x:f>IF(OR(E16="Directed delegation",ISNUMBER(SEARCH("; Directed delegation; ","; "&amp;F16&amp;"; "))),1,0)</x:f>
        <x:v>1</x:v>
      </x:c>
      <x:c r="R16" s="9" t="n">
        <x:f>IF(OR(E16="Evaluation",ISNUMBER(SEARCH("; Evaluation; ","; "&amp;F16&amp;"; "))),1,0)</x:f>
        <x:v>0</x:v>
      </x:c>
      <x:c r="S16" s="9" t="n">
        <x:f>IF(OR(E16="Correction/Challenge",ISNUMBER(SEARCH("; Correction/Challenge; ","; "&amp;F16&amp;"; "))),1,0)</x:f>
        <x:v>0</x:v>
      </x:c>
      <x:c r="T16" s="9" t="n">
        <x:f>IF(OR(E16="Redirection",ISNUMBER(SEARCH("; Redirection; ","; "&amp;F16&amp;"; "))),1,0)</x:f>
        <x:v>0</x:v>
      </x:c>
      <x:c r="U16" s="9" t="n">
        <x:f>IF(OR(E16="Knowledge injection",ISNUMBER(SEARCH("; Knowledge injection; ","; "&amp;F16&amp;"; "))),1,0)</x:f>
        <x:v>0</x:v>
      </x:c>
      <x:c r="V16" s="9" t="n">
        <x:f>IF(OR(E16="Selection/Rejection",ISNUMBER(SEARCH("; Selection/Rejection; ","; "&amp;F16&amp;"; "))),1,0)</x:f>
        <x:v>0</x:v>
      </x:c>
      <x:c r="W16" s="9" t="n">
        <x:f>IF(OR(E16="Deliberation",ISNUMBER(SEARCH("; Deliberation; ","; "&amp;F16&amp;"; "))),1,0)</x:f>
        <x:v>0</x:v>
      </x:c>
      <x:c r="X16" s="9" t="n">
        <x:f>IF(ISNUMBER(SEARCH("; domain correction; ","; "&amp;H16&amp;"; ")),1,0)</x:f>
        <x:v>0</x:v>
      </x:c>
      <x:c r="Y16" s="9" t="n">
        <x:f>IF(ISNUMBER(SEARCH("; conceptual discrimination; ","; "&amp;H16&amp;"; ")),1,0)</x:f>
        <x:v>0</x:v>
      </x:c>
      <x:c r="Z16" s="9" t="n">
        <x:f>IF(ISNUMBER(SEARCH("; evidence judgment; ","; "&amp;H16&amp;"; ")),1,0)</x:f>
        <x:v>0</x:v>
      </x:c>
      <x:c r="AA16" s="9" t="n">
        <x:f>IF(ISNUMBER(SEARCH("; methodological judgment; ","; "&amp;H16&amp;"; ")),1,0)</x:f>
        <x:v>1</x:v>
      </x:c>
      <x:c r="AB16" s="9" t="n">
        <x:f>IF(ISNUMBER(SEARCH("; argumentative judgment; ","; "&amp;H16&amp;"; ")),1,0)</x:f>
        <x:v>0</x:v>
      </x:c>
      <x:c r="AC16" s="9" t="n">
        <x:f>IF(ISNUMBER(SEARCH("; genre/writing expertise; ","; "&amp;H16&amp;"; ")),1,0)</x:f>
        <x:v>1</x:v>
      </x:c>
      <x:c r="AD16" s="9" t="n">
        <x:f>IF(ISNUMBER(SEARCH("; none; ","; "&amp;H16&amp;"; ")),1,0)</x:f>
        <x:v>0</x:v>
      </x:c>
    </x:row>
    <x:row r="17" ht="60" customHeight="1">
      <x:c r="A17" s="8" t="str">
        <x:v>P4-EXEC-007</x:v>
      </x:c>
      <x:c r="B17" s="9" t="n">
        <x:v>16</x:v>
      </x:c>
      <x:c r="C17" s="8" t="str">
        <x:v>SLR execution</x:v>
      </x:c>
      <x:c r="D17" s="8" t="str">
        <x:v>test case</x:v>
      </x:c>
      <x:c r="E17" s="8" t="str">
        <x:v>Delegation</x:v>
      </x:c>
      <x:c r="F17" s="8" t="str"/>
      <x:c r="G17" s="8" t="str">
        <x:v>Delegative</x:v>
      </x:c>
      <x:c r="H17" s="8" t="str">
        <x:v>none</x:v>
      </x:c>
      <x:c r="I17" s="8" t="str">
        <x:v>Minimal test-case cue with no explicit research task.</x:v>
      </x:c>
      <x:c r="J17" s="8" t="str">
        <x:v>AI gives a basic test-case explanation and partial example.</x:v>
      </x:c>
      <x:c r="K17" s="8" t="str">
        <x:v>EXEC p19 L13-p19 L13</x:v>
      </x:c>
      <x:c r="L17" s="8" t="str">
        <x:v>EXEC p19 L14-p19 L27</x:v>
      </x:c>
      <x:c r="M17" s="8" t="str"/>
      <x:c r="N17" s="8" t="str">
        <x:v>Visible next AI response</x:v>
      </x:c>
      <x:c r="O17" s="8" t="str">
        <x:v>Minimal test case message. Purpose is ambiguous; provisionally coded Delegation with no expertise evidence.</x:v>
      </x:c>
      <x:c r="P17" s="9" t="n">
        <x:f>IF(OR(E17="Delegation",ISNUMBER(SEARCH("; Delegation; ","; "&amp;F17&amp;"; "))),1,0)</x:f>
        <x:v>1</x:v>
      </x:c>
      <x:c r="Q17" s="9" t="n">
        <x:f>IF(OR(E17="Directed delegation",ISNUMBER(SEARCH("; Directed delegation; ","; "&amp;F17&amp;"; "))),1,0)</x:f>
        <x:v>0</x:v>
      </x:c>
      <x:c r="R17" s="9" t="n">
        <x:f>IF(OR(E17="Evaluation",ISNUMBER(SEARCH("; Evaluation; ","; "&amp;F17&amp;"; "))),1,0)</x:f>
        <x:v>0</x:v>
      </x:c>
      <x:c r="S17" s="9" t="n">
        <x:f>IF(OR(E17="Correction/Challenge",ISNUMBER(SEARCH("; Correction/Challenge; ","; "&amp;F17&amp;"; "))),1,0)</x:f>
        <x:v>0</x:v>
      </x:c>
      <x:c r="T17" s="9" t="n">
        <x:f>IF(OR(E17="Redirection",ISNUMBER(SEARCH("; Redirection; ","; "&amp;F17&amp;"; "))),1,0)</x:f>
        <x:v>0</x:v>
      </x:c>
      <x:c r="U17" s="9" t="n">
        <x:f>IF(OR(E17="Knowledge injection",ISNUMBER(SEARCH("; Knowledge injection; ","; "&amp;F17&amp;"; "))),1,0)</x:f>
        <x:v>0</x:v>
      </x:c>
      <x:c r="V17" s="9" t="n">
        <x:f>IF(OR(E17="Selection/Rejection",ISNUMBER(SEARCH("; Selection/Rejection; ","; "&amp;F17&amp;"; "))),1,0)</x:f>
        <x:v>0</x:v>
      </x:c>
      <x:c r="W17" s="9" t="n">
        <x:f>IF(OR(E17="Deliberation",ISNUMBER(SEARCH("; Deliberation; ","; "&amp;F17&amp;"; "))),1,0)</x:f>
        <x:v>0</x:v>
      </x:c>
      <x:c r="X17" s="9" t="n">
        <x:f>IF(ISNUMBER(SEARCH("; domain correction; ","; "&amp;H17&amp;"; ")),1,0)</x:f>
        <x:v>0</x:v>
      </x:c>
      <x:c r="Y17" s="9" t="n">
        <x:f>IF(ISNUMBER(SEARCH("; conceptual discrimination; ","; "&amp;H17&amp;"; ")),1,0)</x:f>
        <x:v>0</x:v>
      </x:c>
      <x:c r="Z17" s="9" t="n">
        <x:f>IF(ISNUMBER(SEARCH("; evidence judgment; ","; "&amp;H17&amp;"; ")),1,0)</x:f>
        <x:v>0</x:v>
      </x:c>
      <x:c r="AA17" s="9" t="n">
        <x:f>IF(ISNUMBER(SEARCH("; methodological judgment; ","; "&amp;H17&amp;"; ")),1,0)</x:f>
        <x:v>0</x:v>
      </x:c>
      <x:c r="AB17" s="9" t="n">
        <x:f>IF(ISNUMBER(SEARCH("; argumentative judgment; ","; "&amp;H17&amp;"; ")),1,0)</x:f>
        <x:v>0</x:v>
      </x:c>
      <x:c r="AC17" s="9" t="n">
        <x:f>IF(ISNUMBER(SEARCH("; genre/writing expertise; ","; "&amp;H17&amp;"; ")),1,0)</x:f>
        <x:v>0</x:v>
      </x:c>
      <x:c r="AD17" s="9" t="n">
        <x:f>IF(ISNUMBER(SEARCH("; none; ","; "&amp;H17&amp;"; ")),1,0)</x:f>
        <x:v>1</x:v>
      </x:c>
    </x:row>
    <x:row r="18" ht="92" customHeight="1">
      <x:c r="A18" s="8" t="str">
        <x:v>P4-EXEC-008</x:v>
      </x:c>
      <x:c r="B18" s="9" t="n">
        <x:v>17</x:v>
      </x:c>
      <x:c r="C18" s="8" t="str">
        <x:v>SLR execution</x:v>
      </x:c>
      <x:c r="D18" s="8" t="str">
        <x:v>Okay. So you see that so far in my small paper pool, there are no papers on the developer productivity as deependent varaible. By the way, I'm narrowing the scope from MLR to a regular SLR because I only want scientific papers. Now I want to use your agent deep research mode (agentic) so that you…</x:v>
      </x:c>
      <x:c r="E18" s="8" t="str">
        <x:v>Redirection</x:v>
      </x:c>
      <x:c r="F18" s="8" t="str">
        <x:v>Directed delegation; Knowledge injection</x:v>
      </x:c>
      <x:c r="G18" s="8" t="str">
        <x:v>Directive</x:v>
      </x:c>
      <x:c r="H18" s="8" t="str">
        <x:v>evidence judgment; methodological judgment</x:v>
      </x:c>
      <x:c r="I18" s="8" t="str">
        <x:v>Reports the current pool gap and defines academic-only empirical-search scope and outcomes.</x:v>
      </x:c>
      <x:c r="J18" s="8" t="str">
        <x:v>AI restates scope and proposes a search step.</x:v>
      </x:c>
      <x:c r="K18" s="8" t="str">
        <x:v>EXEC p19 L28-p19 L35</x:v>
      </x:c>
      <x:c r="L18" s="8" t="str">
        <x:v>EXEC p19 L37-p20 L35</x:v>
      </x:c>
      <x:c r="M18" s="8" t="str"/>
      <x:c r="N18" s="8" t="str">
        <x:v>Visible next AI response</x:v>
      </x:c>
      <x:c r="O18" s="8" t="str"/>
      <x:c r="P18" s="9" t="n">
        <x:f>IF(OR(E18="Delegation",ISNUMBER(SEARCH("; Delegation; ","; "&amp;F18&amp;"; "))),1,0)</x:f>
        <x:v>0</x:v>
      </x:c>
      <x:c r="Q18" s="9" t="n">
        <x:f>IF(OR(E18="Directed delegation",ISNUMBER(SEARCH("; Directed delegation; ","; "&amp;F18&amp;"; "))),1,0)</x:f>
        <x:v>1</x:v>
      </x:c>
      <x:c r="R18" s="9" t="n">
        <x:f>IF(OR(E18="Evaluation",ISNUMBER(SEARCH("; Evaluation; ","; "&amp;F18&amp;"; "))),1,0)</x:f>
        <x:v>0</x:v>
      </x:c>
      <x:c r="S18" s="9" t="n">
        <x:f>IF(OR(E18="Correction/Challenge",ISNUMBER(SEARCH("; Correction/Challenge; ","; "&amp;F18&amp;"; "))),1,0)</x:f>
        <x:v>0</x:v>
      </x:c>
      <x:c r="T18" s="9" t="n">
        <x:f>IF(OR(E18="Redirection",ISNUMBER(SEARCH("; Redirection; ","; "&amp;F18&amp;"; "))),1,0)</x:f>
        <x:v>1</x:v>
      </x:c>
      <x:c r="U18" s="9" t="n">
        <x:f>IF(OR(E18="Knowledge injection",ISNUMBER(SEARCH("; Knowledge injection; ","; "&amp;F18&amp;"; "))),1,0)</x:f>
        <x:v>1</x:v>
      </x:c>
      <x:c r="V18" s="9" t="n">
        <x:f>IF(OR(E18="Selection/Rejection",ISNUMBER(SEARCH("; Selection/Rejection; ","; "&amp;F18&amp;"; "))),1,0)</x:f>
        <x:v>0</x:v>
      </x:c>
      <x:c r="W18" s="9" t="n">
        <x:f>IF(OR(E18="Deliberation",ISNUMBER(SEARCH("; Deliberation; ","; "&amp;F18&amp;"; "))),1,0)</x:f>
        <x:v>0</x:v>
      </x:c>
      <x:c r="X18" s="9" t="n">
        <x:f>IF(ISNUMBER(SEARCH("; domain correction; ","; "&amp;H18&amp;"; ")),1,0)</x:f>
        <x:v>0</x:v>
      </x:c>
      <x:c r="Y18" s="9" t="n">
        <x:f>IF(ISNUMBER(SEARCH("; conceptual discrimination; ","; "&amp;H18&amp;"; ")),1,0)</x:f>
        <x:v>0</x:v>
      </x:c>
      <x:c r="Z18" s="9" t="n">
        <x:f>IF(ISNUMBER(SEARCH("; evidence judgment; ","; "&amp;H18&amp;"; ")),1,0)</x:f>
        <x:v>1</x:v>
      </x:c>
      <x:c r="AA18" s="9" t="n">
        <x:f>IF(ISNUMBER(SEARCH("; methodological judgment; ","; "&amp;H18&amp;"; ")),1,0)</x:f>
        <x:v>1</x:v>
      </x:c>
      <x:c r="AB18" s="9" t="n">
        <x:f>IF(ISNUMBER(SEARCH("; argumentative judgment; ","; "&amp;H18&amp;"; ")),1,0)</x:f>
        <x:v>0</x:v>
      </x:c>
      <x:c r="AC18" s="9" t="n">
        <x:f>IF(ISNUMBER(SEARCH("; genre/writing expertise; ","; "&amp;H18&amp;"; ")),1,0)</x:f>
        <x:v>0</x:v>
      </x:c>
      <x:c r="AD18" s="9" t="n">
        <x:f>IF(ISNUMBER(SEARCH("; none; ","; "&amp;H18&amp;"; ")),1,0)</x:f>
        <x:v>0</x:v>
      </x:c>
    </x:row>
    <x:row r="19" ht="92" customHeight="1">
      <x:c r="A19" s="8" t="str">
        <x:v>P4-EXEC-009</x:v>
      </x:c>
      <x:c r="B19" s="9" t="n">
        <x:v>18</x:v>
      </x:c>
      <x:c r="C19" s="8" t="str">
        <x:v>SLR execution</x:v>
      </x:c>
      <x:c r="D19" s="8" t="str">
        <x:v>Let's, okay, I have a feeling that I want to now to make these two different SLRs to make them focused, right? So let's do the, do you agree that it's a good idea that in terms of dependent variables, I want to do one SLR on the dependent variable of code quality metrics, any metrics, and then an…</x:v>
      </x:c>
      <x:c r="E19" s="8" t="str">
        <x:v>Deliberation</x:v>
      </x:c>
      <x:c r="F19" s="8" t="str">
        <x:v>Redirection; Knowledge injection</x:v>
      </x:c>
      <x:c r="G19" s="8" t="str">
        <x:v>Deliberative</x:v>
      </x:c>
      <x:c r="H19" s="8" t="str">
        <x:v>conceptual discrimination; methodological judgment; argumentative judgment</x:v>
      </x:c>
      <x:c r="I19" s="8" t="str">
        <x:v>Proposes splitting artifact-quality and developer-outcome reviews and asks for assessment.</x:v>
      </x:c>
      <x:c r="J19" s="8" t="str">
        <x:v>AI endorses the split and explains its methodological benefits.</x:v>
      </x:c>
      <x:c r="K19" s="8" t="str">
        <x:v>EXEC p20 L36-p20 L38</x:v>
      </x:c>
      <x:c r="L19" s="8" t="str">
        <x:v>EXEC p20 L40-p24 L7</x:v>
      </x:c>
      <x:c r="M19" s="8" t="str"/>
      <x:c r="N19" s="8" t="str">
        <x:v>Visible next AI response</x:v>
      </x:c>
      <x:c r="O19" s="8" t="str"/>
      <x:c r="P19" s="9" t="n">
        <x:f>IF(OR(E19="Delegation",ISNUMBER(SEARCH("; Delegation; ","; "&amp;F19&amp;"; "))),1,0)</x:f>
        <x:v>0</x:v>
      </x:c>
      <x:c r="Q19" s="9" t="n">
        <x:f>IF(OR(E19="Directed delegation",ISNUMBER(SEARCH("; Directed delegation; ","; "&amp;F19&amp;"; "))),1,0)</x:f>
        <x:v>0</x:v>
      </x:c>
      <x:c r="R19" s="9" t="n">
        <x:f>IF(OR(E19="Evaluation",ISNUMBER(SEARCH("; Evaluation; ","; "&amp;F19&amp;"; "))),1,0)</x:f>
        <x:v>0</x:v>
      </x:c>
      <x:c r="S19" s="9" t="n">
        <x:f>IF(OR(E19="Correction/Challenge",ISNUMBER(SEARCH("; Correction/Challenge; ","; "&amp;F19&amp;"; "))),1,0)</x:f>
        <x:v>0</x:v>
      </x:c>
      <x:c r="T19" s="9" t="n">
        <x:f>IF(OR(E19="Redirection",ISNUMBER(SEARCH("; Redirection; ","; "&amp;F19&amp;"; "))),1,0)</x:f>
        <x:v>1</x:v>
      </x:c>
      <x:c r="U19" s="9" t="n">
        <x:f>IF(OR(E19="Knowledge injection",ISNUMBER(SEARCH("; Knowledge injection; ","; "&amp;F19&amp;"; "))),1,0)</x:f>
        <x:v>1</x:v>
      </x:c>
      <x:c r="V19" s="9" t="n">
        <x:f>IF(OR(E19="Selection/Rejection",ISNUMBER(SEARCH("; Selection/Rejection; ","; "&amp;F19&amp;"; "))),1,0)</x:f>
        <x:v>0</x:v>
      </x:c>
      <x:c r="W19" s="9" t="n">
        <x:f>IF(OR(E19="Deliberation",ISNUMBER(SEARCH("; Deliberation; ","; "&amp;F19&amp;"; "))),1,0)</x:f>
        <x:v>1</x:v>
      </x:c>
      <x:c r="X19" s="9" t="n">
        <x:f>IF(ISNUMBER(SEARCH("; domain correction; ","; "&amp;H19&amp;"; ")),1,0)</x:f>
        <x:v>0</x:v>
      </x:c>
      <x:c r="Y19" s="9" t="n">
        <x:f>IF(ISNUMBER(SEARCH("; conceptual discrimination; ","; "&amp;H19&amp;"; ")),1,0)</x:f>
        <x:v>1</x:v>
      </x:c>
      <x:c r="Z19" s="9" t="n">
        <x:f>IF(ISNUMBER(SEARCH("; evidence judgment; ","; "&amp;H19&amp;"; ")),1,0)</x:f>
        <x:v>0</x:v>
      </x:c>
      <x:c r="AA19" s="9" t="n">
        <x:f>IF(ISNUMBER(SEARCH("; methodological judgment; ","; "&amp;H19&amp;"; ")),1,0)</x:f>
        <x:v>1</x:v>
      </x:c>
      <x:c r="AB19" s="9" t="n">
        <x:f>IF(ISNUMBER(SEARCH("; argumentative judgment; ","; "&amp;H19&amp;"; ")),1,0)</x:f>
        <x:v>1</x:v>
      </x:c>
      <x:c r="AC19" s="9" t="n">
        <x:f>IF(ISNUMBER(SEARCH("; genre/writing expertise; ","; "&amp;H19&amp;"; ")),1,0)</x:f>
        <x:v>0</x:v>
      </x:c>
      <x:c r="AD19" s="9" t="n">
        <x:f>IF(ISNUMBER(SEARCH("; none; ","; "&amp;H19&amp;"; ")),1,0)</x:f>
        <x:v>0</x:v>
      </x:c>
    </x:row>
    <x:row r="20" ht="92" customHeight="1">
      <x:c r="A20" s="8" t="str">
        <x:v>P4-EXEC-010</x:v>
      </x:c>
      <x:c r="B20" s="9" t="n">
        <x:v>19</x:v>
      </x:c>
      <x:c r="C20" s="8" t="str">
        <x:v>SLR execution</x:v>
      </x:c>
      <x:c r="D20" s="8" t="str">
        <x:v>Okay, let's start from SLR 1. I want you to get ready and do the search for the pool of primary studies, okay? So searching and ensuring that we don't miss anything is important. Take your time, you can take as much time as you want. I'm going to leave your process to run for 10 minutes, 20 minut…</x:v>
      </x:c>
      <x:c r="E20" s="8" t="str">
        <x:v>Directed delegation</x:v>
      </x:c>
      <x:c r="F20" s="8" t="str">
        <x:v>Redirection</x:v>
      </x:c>
      <x:c r="G20" s="8" t="str">
        <x:v>Directive</x:v>
      </x:c>
      <x:c r="H20" s="8" t="str">
        <x:v>methodological judgment</x:v>
      </x:c>
      <x:c r="I20" s="8" t="str">
        <x:v>Prioritizes SLR1, comprehensive search and RQ finalization under human management.</x:v>
      </x:c>
      <x:c r="J20" s="8" t="str">
        <x:v>No substantive next AI reply is visible.</x:v>
      </x:c>
      <x:c r="K20" s="8" t="str">
        <x:v>EXEC p24 L8-p24 L13</x:v>
      </x:c>
      <x:c r="L20" s="8" t="str"/>
      <x:c r="M20" s="8" t="str"/>
      <x:c r="N20" s="8" t="str">
        <x:v>No substantive AI reply visible</x:v>
      </x:c>
      <x:c r="O20" s="8" t="str">
        <x:v>No substantive AI reply is visible before the next human message. Do not reconstruct an unseen response.</x:v>
      </x:c>
      <x:c r="P20" s="9" t="n">
        <x:f>IF(OR(E20="Delegation",ISNUMBER(SEARCH("; Delegation; ","; "&amp;F20&amp;"; "))),1,0)</x:f>
        <x:v>0</x:v>
      </x:c>
      <x:c r="Q20" s="9" t="n">
        <x:f>IF(OR(E20="Directed delegation",ISNUMBER(SEARCH("; Directed delegation; ","; "&amp;F20&amp;"; "))),1,0)</x:f>
        <x:v>1</x:v>
      </x:c>
      <x:c r="R20" s="9" t="n">
        <x:f>IF(OR(E20="Evaluation",ISNUMBER(SEARCH("; Evaluation; ","; "&amp;F20&amp;"; "))),1,0)</x:f>
        <x:v>0</x:v>
      </x:c>
      <x:c r="S20" s="9" t="n">
        <x:f>IF(OR(E20="Correction/Challenge",ISNUMBER(SEARCH("; Correction/Challenge; ","; "&amp;F20&amp;"; "))),1,0)</x:f>
        <x:v>0</x:v>
      </x:c>
      <x:c r="T20" s="9" t="n">
        <x:f>IF(OR(E20="Redirection",ISNUMBER(SEARCH("; Redirection; ","; "&amp;F20&amp;"; "))),1,0)</x:f>
        <x:v>1</x:v>
      </x:c>
      <x:c r="U20" s="9" t="n">
        <x:f>IF(OR(E20="Knowledge injection",ISNUMBER(SEARCH("; Knowledge injection; ","; "&amp;F20&amp;"; "))),1,0)</x:f>
        <x:v>0</x:v>
      </x:c>
      <x:c r="V20" s="9" t="n">
        <x:f>IF(OR(E20="Selection/Rejection",ISNUMBER(SEARCH("; Selection/Rejection; ","; "&amp;F20&amp;"; "))),1,0)</x:f>
        <x:v>0</x:v>
      </x:c>
      <x:c r="W20" s="9" t="n">
        <x:f>IF(OR(E20="Deliberation",ISNUMBER(SEARCH("; Deliberation; ","; "&amp;F20&amp;"; "))),1,0)</x:f>
        <x:v>0</x:v>
      </x:c>
      <x:c r="X20" s="9" t="n">
        <x:f>IF(ISNUMBER(SEARCH("; domain correction; ","; "&amp;H20&amp;"; ")),1,0)</x:f>
        <x:v>0</x:v>
      </x:c>
      <x:c r="Y20" s="9" t="n">
        <x:f>IF(ISNUMBER(SEARCH("; conceptual discrimination; ","; "&amp;H20&amp;"; ")),1,0)</x:f>
        <x:v>0</x:v>
      </x:c>
      <x:c r="Z20" s="9" t="n">
        <x:f>IF(ISNUMBER(SEARCH("; evidence judgment; ","; "&amp;H20&amp;"; ")),1,0)</x:f>
        <x:v>0</x:v>
      </x:c>
      <x:c r="AA20" s="9" t="n">
        <x:f>IF(ISNUMBER(SEARCH("; methodological judgment; ","; "&amp;H20&amp;"; ")),1,0)</x:f>
        <x:v>1</x:v>
      </x:c>
      <x:c r="AB20" s="9" t="n">
        <x:f>IF(ISNUMBER(SEARCH("; argumentative judgment; ","; "&amp;H20&amp;"; ")),1,0)</x:f>
        <x:v>0</x:v>
      </x:c>
      <x:c r="AC20" s="9" t="n">
        <x:f>IF(ISNUMBER(SEARCH("; genre/writing expertise; ","; "&amp;H20&amp;"; ")),1,0)</x:f>
        <x:v>0</x:v>
      </x:c>
      <x:c r="AD20" s="9" t="n">
        <x:f>IF(ISNUMBER(SEARCH("; none; ","; "&amp;H20&amp;"; ")),1,0)</x:f>
        <x:v>0</x:v>
      </x:c>
    </x:row>
    <x:row r="21" ht="64" customHeight="1">
      <x:c r="A21" s="8" t="str">
        <x:v>P4-EXEC-011</x:v>
      </x:c>
      <x:c r="B21" s="9" t="n">
        <x:v>20</x:v>
      </x:c>
      <x:c r="C21" s="8" t="str">
        <x:v>SLR execution</x:v>
      </x:c>
      <x:c r="D21" s="8" t="str">
        <x:v>Okay, let's start from SLR 1. let's finalize the RQs for research for SLR 1 so that you and I know for what we are going to gather while you are searching for those information.</x:v>
      </x:c>
      <x:c r="E21" s="8" t="str">
        <x:v>Directed delegation</x:v>
      </x:c>
      <x:c r="F21" s="8" t="str"/>
      <x:c r="G21" s="8" t="str">
        <x:v>Directive</x:v>
      </x:c>
      <x:c r="H21" s="8" t="str">
        <x:v>methodological judgment</x:v>
      </x:c>
      <x:c r="I21" s="8" t="str">
        <x:v>Directs RQ finalization before evidence searching.</x:v>
      </x:c>
      <x:c r="J21" s="8" t="str">
        <x:v>AI proposes RQs and a protocol-building next step.</x:v>
      </x:c>
      <x:c r="K21" s="8" t="str">
        <x:v>EXEC p24 L15-p24 L16</x:v>
      </x:c>
      <x:c r="L21" s="8" t="str">
        <x:v>EXEC p24 L17-p27 L11</x:v>
      </x:c>
      <x:c r="M21" s="8" t="str"/>
      <x:c r="N21" s="8" t="str">
        <x:v>Visible next AI response</x:v>
      </x:c>
      <x:c r="O21" s="8" t="str"/>
      <x:c r="P21" s="9" t="n">
        <x:f>IF(OR(E21="Delegation",ISNUMBER(SEARCH("; Delegation; ","; "&amp;F21&amp;"; "))),1,0)</x:f>
        <x:v>0</x:v>
      </x:c>
      <x:c r="Q21" s="9" t="n">
        <x:f>IF(OR(E21="Directed delegation",ISNUMBER(SEARCH("; Directed delegation; ","; "&amp;F21&amp;"; "))),1,0)</x:f>
        <x:v>1</x:v>
      </x:c>
      <x:c r="R21" s="9" t="n">
        <x:f>IF(OR(E21="Evaluation",ISNUMBER(SEARCH("; Evaluation; ","; "&amp;F21&amp;"; "))),1,0)</x:f>
        <x:v>0</x:v>
      </x:c>
      <x:c r="S21" s="9" t="n">
        <x:f>IF(OR(E21="Correction/Challenge",ISNUMBER(SEARCH("; Correction/Challenge; ","; "&amp;F21&amp;"; "))),1,0)</x:f>
        <x:v>0</x:v>
      </x:c>
      <x:c r="T21" s="9" t="n">
        <x:f>IF(OR(E21="Redirection",ISNUMBER(SEARCH("; Redirection; ","; "&amp;F21&amp;"; "))),1,0)</x:f>
        <x:v>0</x:v>
      </x:c>
      <x:c r="U21" s="9" t="n">
        <x:f>IF(OR(E21="Knowledge injection",ISNUMBER(SEARCH("; Knowledge injection; ","; "&amp;F21&amp;"; "))),1,0)</x:f>
        <x:v>0</x:v>
      </x:c>
      <x:c r="V21" s="9" t="n">
        <x:f>IF(OR(E21="Selection/Rejection",ISNUMBER(SEARCH("; Selection/Rejection; ","; "&amp;F21&amp;"; "))),1,0)</x:f>
        <x:v>0</x:v>
      </x:c>
      <x:c r="W21" s="9" t="n">
        <x:f>IF(OR(E21="Deliberation",ISNUMBER(SEARCH("; Deliberation; ","; "&amp;F21&amp;"; "))),1,0)</x:f>
        <x:v>0</x:v>
      </x:c>
      <x:c r="X21" s="9" t="n">
        <x:f>IF(ISNUMBER(SEARCH("; domain correction; ","; "&amp;H21&amp;"; ")),1,0)</x:f>
        <x:v>0</x:v>
      </x:c>
      <x:c r="Y21" s="9" t="n">
        <x:f>IF(ISNUMBER(SEARCH("; conceptual discrimination; ","; "&amp;H21&amp;"; ")),1,0)</x:f>
        <x:v>0</x:v>
      </x:c>
      <x:c r="Z21" s="9" t="n">
        <x:f>IF(ISNUMBER(SEARCH("; evidence judgment; ","; "&amp;H21&amp;"; ")),1,0)</x:f>
        <x:v>0</x:v>
      </x:c>
      <x:c r="AA21" s="9" t="n">
        <x:f>IF(ISNUMBER(SEARCH("; methodological judgment; ","; "&amp;H21&amp;"; ")),1,0)</x:f>
        <x:v>1</x:v>
      </x:c>
      <x:c r="AB21" s="9" t="n">
        <x:f>IF(ISNUMBER(SEARCH("; argumentative judgment; ","; "&amp;H21&amp;"; ")),1,0)</x:f>
        <x:v>0</x:v>
      </x:c>
      <x:c r="AC21" s="9" t="n">
        <x:f>IF(ISNUMBER(SEARCH("; genre/writing expertise; ","; "&amp;H21&amp;"; ")),1,0)</x:f>
        <x:v>0</x:v>
      </x:c>
      <x:c r="AD21" s="9" t="n">
        <x:f>IF(ISNUMBER(SEARCH("; none; ","; "&amp;H21&amp;"; ")),1,0)</x:f>
        <x:v>0</x:v>
      </x:c>
    </x:row>
    <x:row r="22" ht="78" customHeight="1">
      <x:c r="A22" s="8" t="str">
        <x:v>P4-EXEC-012</x:v>
      </x:c>
      <x:c r="B22" s="9" t="n">
        <x:v>21</x:v>
      </x:c>
      <x:c r="C22" s="8" t="str">
        <x:v>SLR execution</x:v>
      </x:c>
      <x:c r="D22" s="8" t="str">
        <x:v>I want RQs be: RQ1 — Independent variables studied RQ2 — dependent variables studied (Code quality metrics used) RQ3 — Impact on code quality RQ4 — Evaluation methods RQ5 — Dataset / tasks RQ6 — Empirical evidence provided in each study</x:v>
      </x:c>
      <x:c r="E22" s="8" t="str">
        <x:v>Knowledge injection</x:v>
      </x:c>
      <x:c r="F22" s="8" t="str">
        <x:v>Directed delegation; Redirection</x:v>
      </x:c>
      <x:c r="G22" s="8" t="str">
        <x:v>Directive</x:v>
      </x:c>
      <x:c r="H22" s="8" t="str">
        <x:v>methodological judgment</x:v>
      </x:c>
      <x:c r="I22" s="8" t="str">
        <x:v>Supplies the desired research-question framework rather than accepting the AI's set.</x:v>
      </x:c>
      <x:c r="J22" s="8" t="str">
        <x:v>AI refines the human-specified six RQs.</x:v>
      </x:c>
      <x:c r="K22" s="8" t="str">
        <x:v>EXEC p27 L12-p27 L17</x:v>
      </x:c>
      <x:c r="L22" s="8" t="str">
        <x:v>EXEC p27 L18-p29 L34</x:v>
      </x:c>
      <x:c r="M22" s="8" t="str"/>
      <x:c r="N22" s="8" t="str">
        <x:v>Visible next AI response</x:v>
      </x:c>
      <x:c r="O22" s="8" t="str"/>
      <x:c r="P22" s="9" t="n">
        <x:f>IF(OR(E22="Delegation",ISNUMBER(SEARCH("; Delegation; ","; "&amp;F22&amp;"; "))),1,0)</x:f>
        <x:v>0</x:v>
      </x:c>
      <x:c r="Q22" s="9" t="n">
        <x:f>IF(OR(E22="Directed delegation",ISNUMBER(SEARCH("; Directed delegation; ","; "&amp;F22&amp;"; "))),1,0)</x:f>
        <x:v>1</x:v>
      </x:c>
      <x:c r="R22" s="9" t="n">
        <x:f>IF(OR(E22="Evaluation",ISNUMBER(SEARCH("; Evaluation; ","; "&amp;F22&amp;"; "))),1,0)</x:f>
        <x:v>0</x:v>
      </x:c>
      <x:c r="S22" s="9" t="n">
        <x:f>IF(OR(E22="Correction/Challenge",ISNUMBER(SEARCH("; Correction/Challenge; ","; "&amp;F22&amp;"; "))),1,0)</x:f>
        <x:v>0</x:v>
      </x:c>
      <x:c r="T22" s="9" t="n">
        <x:f>IF(OR(E22="Redirection",ISNUMBER(SEARCH("; Redirection; ","; "&amp;F22&amp;"; "))),1,0)</x:f>
        <x:v>1</x:v>
      </x:c>
      <x:c r="U22" s="9" t="n">
        <x:f>IF(OR(E22="Knowledge injection",ISNUMBER(SEARCH("; Knowledge injection; ","; "&amp;F22&amp;"; "))),1,0)</x:f>
        <x:v>1</x:v>
      </x:c>
      <x:c r="V22" s="9" t="n">
        <x:f>IF(OR(E22="Selection/Rejection",ISNUMBER(SEARCH("; Selection/Rejection; ","; "&amp;F22&amp;"; "))),1,0)</x:f>
        <x:v>0</x:v>
      </x:c>
      <x:c r="W22" s="9" t="n">
        <x:f>IF(OR(E22="Deliberation",ISNUMBER(SEARCH("; Deliberation; ","; "&amp;F22&amp;"; "))),1,0)</x:f>
        <x:v>0</x:v>
      </x:c>
      <x:c r="X22" s="9" t="n">
        <x:f>IF(ISNUMBER(SEARCH("; domain correction; ","; "&amp;H22&amp;"; ")),1,0)</x:f>
        <x:v>0</x:v>
      </x:c>
      <x:c r="Y22" s="9" t="n">
        <x:f>IF(ISNUMBER(SEARCH("; conceptual discrimination; ","; "&amp;H22&amp;"; ")),1,0)</x:f>
        <x:v>0</x:v>
      </x:c>
      <x:c r="Z22" s="9" t="n">
        <x:f>IF(ISNUMBER(SEARCH("; evidence judgment; ","; "&amp;H22&amp;"; ")),1,0)</x:f>
        <x:v>0</x:v>
      </x:c>
      <x:c r="AA22" s="9" t="n">
        <x:f>IF(ISNUMBER(SEARCH("; methodological judgment; ","; "&amp;H22&amp;"; ")),1,0)</x:f>
        <x:v>1</x:v>
      </x:c>
      <x:c r="AB22" s="9" t="n">
        <x:f>IF(ISNUMBER(SEARCH("; argumentative judgment; ","; "&amp;H22&amp;"; ")),1,0)</x:f>
        <x:v>0</x:v>
      </x:c>
      <x:c r="AC22" s="9" t="n">
        <x:f>IF(ISNUMBER(SEARCH("; genre/writing expertise; ","; "&amp;H22&amp;"; ")),1,0)</x:f>
        <x:v>0</x:v>
      </x:c>
      <x:c r="AD22" s="9" t="n">
        <x:f>IF(ISNUMBER(SEARCH("; none; ","; "&amp;H22&amp;"; ")),1,0)</x:f>
        <x:v>0</x:v>
      </x:c>
    </x:row>
    <x:row r="23" ht="60" customHeight="1">
      <x:c r="A23" s="8" t="str">
        <x:v>P4-EXEC-013</x:v>
      </x:c>
      <x:c r="B23" s="9" t="n">
        <x:v>22</x:v>
      </x:c>
      <x:c r="C23" s="8" t="str">
        <x:v>SLR execution</x:v>
      </x:c>
      <x:c r="D23" s="8" t="str">
        <x:v>do these two have overlap? RQ3 — Impact on code quality RQ3 — Impact on code quality RQ6 — Empirical Evidence Provided</x:v>
      </x:c>
      <x:c r="E23" s="8" t="str">
        <x:v>Deliberation</x:v>
      </x:c>
      <x:c r="F23" s="8" t="str">
        <x:v>Evaluation</x:v>
      </x:c>
      <x:c r="G23" s="8" t="str">
        <x:v>Deliberative</x:v>
      </x:c>
      <x:c r="H23" s="8" t="str">
        <x:v>conceptual discrimination; methodological judgment</x:v>
      </x:c>
      <x:c r="I23" s="8" t="str">
        <x:v>Questions conceptual overlap between impact and empirical-evidence RQs.</x:v>
      </x:c>
      <x:c r="J23" s="8" t="str">
        <x:v>AI contrasts interpretation and raw evidence and discusses options.</x:v>
      </x:c>
      <x:c r="K23" s="8" t="str">
        <x:v>EXEC p29 L35-p29 L37</x:v>
      </x:c>
      <x:c r="L23" s="8" t="str">
        <x:v>EXEC p29 L38-p31 L15</x:v>
      </x:c>
      <x:c r="M23" s="8" t="str"/>
      <x:c r="N23" s="8" t="str">
        <x:v>Visible next AI response</x:v>
      </x:c>
      <x:c r="O23" s="8" t="str"/>
      <x:c r="P23" s="9" t="n">
        <x:f>IF(OR(E23="Delegation",ISNUMBER(SEARCH("; Delegation; ","; "&amp;F23&amp;"; "))),1,0)</x:f>
        <x:v>0</x:v>
      </x:c>
      <x:c r="Q23" s="9" t="n">
        <x:f>IF(OR(E23="Directed delegation",ISNUMBER(SEARCH("; Directed delegation; ","; "&amp;F23&amp;"; "))),1,0)</x:f>
        <x:v>0</x:v>
      </x:c>
      <x:c r="R23" s="9" t="n">
        <x:f>IF(OR(E23="Evaluation",ISNUMBER(SEARCH("; Evaluation; ","; "&amp;F23&amp;"; "))),1,0)</x:f>
        <x:v>1</x:v>
      </x:c>
      <x:c r="S23" s="9" t="n">
        <x:f>IF(OR(E23="Correction/Challenge",ISNUMBER(SEARCH("; Correction/Challenge; ","; "&amp;F23&amp;"; "))),1,0)</x:f>
        <x:v>0</x:v>
      </x:c>
      <x:c r="T23" s="9" t="n">
        <x:f>IF(OR(E23="Redirection",ISNUMBER(SEARCH("; Redirection; ","; "&amp;F23&amp;"; "))),1,0)</x:f>
        <x:v>0</x:v>
      </x:c>
      <x:c r="U23" s="9" t="n">
        <x:f>IF(OR(E23="Knowledge injection",ISNUMBER(SEARCH("; Knowledge injection; ","; "&amp;F23&amp;"; "))),1,0)</x:f>
        <x:v>0</x:v>
      </x:c>
      <x:c r="V23" s="9" t="n">
        <x:f>IF(OR(E23="Selection/Rejection",ISNUMBER(SEARCH("; Selection/Rejection; ","; "&amp;F23&amp;"; "))),1,0)</x:f>
        <x:v>0</x:v>
      </x:c>
      <x:c r="W23" s="9" t="n">
        <x:f>IF(OR(E23="Deliberation",ISNUMBER(SEARCH("; Deliberation; ","; "&amp;F23&amp;"; "))),1,0)</x:f>
        <x:v>1</x:v>
      </x:c>
      <x:c r="X23" s="9" t="n">
        <x:f>IF(ISNUMBER(SEARCH("; domain correction; ","; "&amp;H23&amp;"; ")),1,0)</x:f>
        <x:v>0</x:v>
      </x:c>
      <x:c r="Y23" s="9" t="n">
        <x:f>IF(ISNUMBER(SEARCH("; conceptual discrimination; ","; "&amp;H23&amp;"; ")),1,0)</x:f>
        <x:v>1</x:v>
      </x:c>
      <x:c r="Z23" s="9" t="n">
        <x:f>IF(ISNUMBER(SEARCH("; evidence judgment; ","; "&amp;H23&amp;"; ")),1,0)</x:f>
        <x:v>0</x:v>
      </x:c>
      <x:c r="AA23" s="9" t="n">
        <x:f>IF(ISNUMBER(SEARCH("; methodological judgment; ","; "&amp;H23&amp;"; ")),1,0)</x:f>
        <x:v>1</x:v>
      </x:c>
      <x:c r="AB23" s="9" t="n">
        <x:f>IF(ISNUMBER(SEARCH("; argumentative judgment; ","; "&amp;H23&amp;"; ")),1,0)</x:f>
        <x:v>0</x:v>
      </x:c>
      <x:c r="AC23" s="9" t="n">
        <x:f>IF(ISNUMBER(SEARCH("; genre/writing expertise; ","; "&amp;H23&amp;"; ")),1,0)</x:f>
        <x:v>0</x:v>
      </x:c>
      <x:c r="AD23" s="9" t="n">
        <x:f>IF(ISNUMBER(SEARCH("; none; ","; "&amp;H23&amp;"; ")),1,0)</x:f>
        <x:v>0</x:v>
      </x:c>
    </x:row>
    <x:row r="24" ht="92" customHeight="1">
      <x:c r="A24" s="8" t="str">
        <x:v>P4-EXEC-014</x:v>
      </x:c>
      <x:c r="B24" s="9" t="n">
        <x:v>23</x:v>
      </x:c>
      <x:c r="C24" s="8" t="str">
        <x:v>SLR execution</x:v>
      </x:c>
      <x:c r="D24" s="8" t="str">
        <x:v>In this set, RQ6 feels unnecessary because if we have the RQ2, we have the metrics, obviously they are going to report those quantitative values for those metrics. So RQ6 is really the data of RQ2. So drop RQ6, and I want to keep the followings. RQ1 — Independent variables studied RQ2 — Dependent…</x:v>
      </x:c>
      <x:c r="E24" s="8" t="str">
        <x:v>Correction/Challenge</x:v>
      </x:c>
      <x:c r="F24" s="8" t="str">
        <x:v>Selection/Rejection; Redirection; Knowledge injection</x:v>
      </x:c>
      <x:c r="G24" s="8" t="str">
        <x:v>Critical</x:v>
      </x:c>
      <x:c r="H24" s="8" t="str">
        <x:v>conceptual discrimination; methodological judgment</x:v>
      </x:c>
      <x:c r="I24" s="8" t="str">
        <x:v>Explains redundancy, removes RQ6 and supplies a five-RQ replacement framework.</x:v>
      </x:c>
      <x:c r="J24" s="8" t="str">
        <x:v>AI adopts the five-RQ design.</x:v>
      </x:c>
      <x:c r="K24" s="8" t="str">
        <x:v>EXEC p31 L16-p31 L21</x:v>
      </x:c>
      <x:c r="L24" s="8" t="str">
        <x:v>EXEC p31 L23-p33 L32</x:v>
      </x:c>
      <x:c r="M24" s="8" t="str"/>
      <x:c r="N24" s="8" t="str">
        <x:v>Visible next AI response</x:v>
      </x:c>
      <x:c r="O24" s="8" t="str"/>
      <x:c r="P24" s="9" t="n">
        <x:f>IF(OR(E24="Delegation",ISNUMBER(SEARCH("; Delegation; ","; "&amp;F24&amp;"; "))),1,0)</x:f>
        <x:v>0</x:v>
      </x:c>
      <x:c r="Q24" s="9" t="n">
        <x:f>IF(OR(E24="Directed delegation",ISNUMBER(SEARCH("; Directed delegation; ","; "&amp;F24&amp;"; "))),1,0)</x:f>
        <x:v>0</x:v>
      </x:c>
      <x:c r="R24" s="9" t="n">
        <x:f>IF(OR(E24="Evaluation",ISNUMBER(SEARCH("; Evaluation; ","; "&amp;F24&amp;"; "))),1,0)</x:f>
        <x:v>0</x:v>
      </x:c>
      <x:c r="S24" s="9" t="n">
        <x:f>IF(OR(E24="Correction/Challenge",ISNUMBER(SEARCH("; Correction/Challenge; ","; "&amp;F24&amp;"; "))),1,0)</x:f>
        <x:v>1</x:v>
      </x:c>
      <x:c r="T24" s="9" t="n">
        <x:f>IF(OR(E24="Redirection",ISNUMBER(SEARCH("; Redirection; ","; "&amp;F24&amp;"; "))),1,0)</x:f>
        <x:v>1</x:v>
      </x:c>
      <x:c r="U24" s="9" t="n">
        <x:f>IF(OR(E24="Knowledge injection",ISNUMBER(SEARCH("; Knowledge injection; ","; "&amp;F24&amp;"; "))),1,0)</x:f>
        <x:v>1</x:v>
      </x:c>
      <x:c r="V24" s="9" t="n">
        <x:f>IF(OR(E24="Selection/Rejection",ISNUMBER(SEARCH("; Selection/Rejection; ","; "&amp;F24&amp;"; "))),1,0)</x:f>
        <x:v>1</x:v>
      </x:c>
      <x:c r="W24" s="9" t="n">
        <x:f>IF(OR(E24="Deliberation",ISNUMBER(SEARCH("; Deliberation; ","; "&amp;F24&amp;"; "))),1,0)</x:f>
        <x:v>0</x:v>
      </x:c>
      <x:c r="X24" s="9" t="n">
        <x:f>IF(ISNUMBER(SEARCH("; domain correction; ","; "&amp;H24&amp;"; ")),1,0)</x:f>
        <x:v>0</x:v>
      </x:c>
      <x:c r="Y24" s="9" t="n">
        <x:f>IF(ISNUMBER(SEARCH("; conceptual discrimination; ","; "&amp;H24&amp;"; ")),1,0)</x:f>
        <x:v>1</x:v>
      </x:c>
      <x:c r="Z24" s="9" t="n">
        <x:f>IF(ISNUMBER(SEARCH("; evidence judgment; ","; "&amp;H24&amp;"; ")),1,0)</x:f>
        <x:v>0</x:v>
      </x:c>
      <x:c r="AA24" s="9" t="n">
        <x:f>IF(ISNUMBER(SEARCH("; methodological judgment; ","; "&amp;H24&amp;"; ")),1,0)</x:f>
        <x:v>1</x:v>
      </x:c>
      <x:c r="AB24" s="9" t="n">
        <x:f>IF(ISNUMBER(SEARCH("; argumentative judgment; ","; "&amp;H24&amp;"; ")),1,0)</x:f>
        <x:v>0</x:v>
      </x:c>
      <x:c r="AC24" s="9" t="n">
        <x:f>IF(ISNUMBER(SEARCH("; genre/writing expertise; ","; "&amp;H24&amp;"; ")),1,0)</x:f>
        <x:v>0</x:v>
      </x:c>
      <x:c r="AD24" s="9" t="n">
        <x:f>IF(ISNUMBER(SEARCH("; none; ","; "&amp;H24&amp;"; ")),1,0)</x:f>
        <x:v>0</x:v>
      </x:c>
    </x:row>
    <x:row r="25" ht="92" customHeight="1">
      <x:c r="A25" s="8" t="str">
        <x:v>P4-EXEC-015</x:v>
      </x:c>
      <x:c r="B25" s="9" t="n">
        <x:v>24</x:v>
      </x:c>
      <x:c r="C25" s="8" t="str">
        <x:v>SLR execution</x:v>
      </x:c>
      <x:c r="D25" s="8" t="str">
        <x:v>Okay, I think now you can get ready to start the SLR execution, right? So I want you to search, take your time, you can spend 20 or 30 minutes, as much time as you want. I'm gonna leave it. And remember that in the paper, I'm gonna include a meta section about how I managed your work to do AI-ass…</x:v>
      </x:c>
      <x:c r="E25" s="8" t="str">
        <x:v>Directed delegation</x:v>
      </x:c>
      <x:c r="F25" s="8" t="str">
        <x:v>Evaluation</x:v>
      </x:c>
      <x:c r="G25" s="8" t="str">
        <x:v>Directive</x:v>
      </x:c>
      <x:c r="H25" s="8" t="str">
        <x:v>methodological judgment; evidence judgment</x:v>
      </x:c>
      <x:c r="I25" s="8" t="str">
        <x:v>Requires a pre-execution protocol restatement for human verification.</x:v>
      </x:c>
      <x:c r="J25" s="8" t="str">
        <x:v>AI restates scope, RQs and planned search/screening protocol.</x:v>
      </x:c>
      <x:c r="K25" s="8" t="str">
        <x:v>EXEC p33 L33-p33 L37</x:v>
      </x:c>
      <x:c r="L25" s="8" t="str">
        <x:v>EXEC p33 L39-p36 L38</x:v>
      </x:c>
      <x:c r="M25" s="8" t="str"/>
      <x:c r="N25" s="8" t="str">
        <x:v>Visible next AI response</x:v>
      </x:c>
      <x:c r="O25" s="8" t="str"/>
      <x:c r="P25" s="9" t="n">
        <x:f>IF(OR(E25="Delegation",ISNUMBER(SEARCH("; Delegation; ","; "&amp;F25&amp;"; "))),1,0)</x:f>
        <x:v>0</x:v>
      </x:c>
      <x:c r="Q25" s="9" t="n">
        <x:f>IF(OR(E25="Directed delegation",ISNUMBER(SEARCH("; Directed delegation; ","; "&amp;F25&amp;"; "))),1,0)</x:f>
        <x:v>1</x:v>
      </x:c>
      <x:c r="R25" s="9" t="n">
        <x:f>IF(OR(E25="Evaluation",ISNUMBER(SEARCH("; Evaluation; ","; "&amp;F25&amp;"; "))),1,0)</x:f>
        <x:v>1</x:v>
      </x:c>
      <x:c r="S25" s="9" t="n">
        <x:f>IF(OR(E25="Correction/Challenge",ISNUMBER(SEARCH("; Correction/Challenge; ","; "&amp;F25&amp;"; "))),1,0)</x:f>
        <x:v>0</x:v>
      </x:c>
      <x:c r="T25" s="9" t="n">
        <x:f>IF(OR(E25="Redirection",ISNUMBER(SEARCH("; Redirection; ","; "&amp;F25&amp;"; "))),1,0)</x:f>
        <x:v>0</x:v>
      </x:c>
      <x:c r="U25" s="9" t="n">
        <x:f>IF(OR(E25="Knowledge injection",ISNUMBER(SEARCH("; Knowledge injection; ","; "&amp;F25&amp;"; "))),1,0)</x:f>
        <x:v>0</x:v>
      </x:c>
      <x:c r="V25" s="9" t="n">
        <x:f>IF(OR(E25="Selection/Rejection",ISNUMBER(SEARCH("; Selection/Rejection; ","; "&amp;F25&amp;"; "))),1,0)</x:f>
        <x:v>0</x:v>
      </x:c>
      <x:c r="W25" s="9" t="n">
        <x:f>IF(OR(E25="Deliberation",ISNUMBER(SEARCH("; Deliberation; ","; "&amp;F25&amp;"; "))),1,0)</x:f>
        <x:v>0</x:v>
      </x:c>
      <x:c r="X25" s="9" t="n">
        <x:f>IF(ISNUMBER(SEARCH("; domain correction; ","; "&amp;H25&amp;"; ")),1,0)</x:f>
        <x:v>0</x:v>
      </x:c>
      <x:c r="Y25" s="9" t="n">
        <x:f>IF(ISNUMBER(SEARCH("; conceptual discrimination; ","; "&amp;H25&amp;"; ")),1,0)</x:f>
        <x:v>0</x:v>
      </x:c>
      <x:c r="Z25" s="9" t="n">
        <x:f>IF(ISNUMBER(SEARCH("; evidence judgment; ","; "&amp;H25&amp;"; ")),1,0)</x:f>
        <x:v>1</x:v>
      </x:c>
      <x:c r="AA25" s="9" t="n">
        <x:f>IF(ISNUMBER(SEARCH("; methodological judgment; ","; "&amp;H25&amp;"; ")),1,0)</x:f>
        <x:v>1</x:v>
      </x:c>
      <x:c r="AB25" s="9" t="n">
        <x:f>IF(ISNUMBER(SEARCH("; argumentative judgment; ","; "&amp;H25&amp;"; ")),1,0)</x:f>
        <x:v>0</x:v>
      </x:c>
      <x:c r="AC25" s="9" t="n">
        <x:f>IF(ISNUMBER(SEARCH("; genre/writing expertise; ","; "&amp;H25&amp;"; ")),1,0)</x:f>
        <x:v>0</x:v>
      </x:c>
      <x:c r="AD25" s="9" t="n">
        <x:f>IF(ISNUMBER(SEARCH("; none; ","; "&amp;H25&amp;"; ")),1,0)</x:f>
        <x:v>0</x:v>
      </x:c>
    </x:row>
    <x:row r="26" ht="64" customHeight="1">
      <x:c r="A26" s="8" t="str">
        <x:v>P4-EXEC-016</x:v>
      </x:c>
      <x:c r="B26" s="9" t="n">
        <x:v>25</x:v>
      </x:c>
      <x:c r="C26" s="8" t="str">
        <x:v>SLR execution</x:v>
      </x:c>
      <x:c r="D26" s="8" t="str">
        <x:v>start</x:v>
      </x:c>
      <x:c r="E26" s="8" t="str">
        <x:v>Selection/Rejection</x:v>
      </x:c>
      <x:c r="F26" s="8" t="str"/>
      <x:c r="G26" s="8" t="str">
        <x:v>Directive</x:v>
      </x:c>
      <x:c r="H26" s="8" t="str">
        <x:v>none</x:v>
      </x:c>
      <x:c r="I26" s="8" t="str">
        <x:v>Approves starting the previously offered research process.</x:v>
      </x:c>
      <x:c r="J26" s="8" t="str">
        <x:v>No substantive search result or AI reply is visible before the next human turn.</x:v>
      </x:c>
      <x:c r="K26" s="8" t="str">
        <x:v>EXEC p36 L39-p36 L39</x:v>
      </x:c>
      <x:c r="L26" s="8" t="str"/>
      <x:c r="M26" s="8" t="str"/>
      <x:c r="N26" s="8" t="str">
        <x:v>No substantive AI reply visible</x:v>
      </x:c>
      <x:c r="O26" s="8" t="str">
        <x:v>The next human asks about 24 papers, but the search output is absent. Tool execution/search coverage cannot be audited from this interval.</x:v>
      </x:c>
      <x:c r="P26" s="9" t="n">
        <x:f>IF(OR(E26="Delegation",ISNUMBER(SEARCH("; Delegation; ","; "&amp;F26&amp;"; "))),1,0)</x:f>
        <x:v>0</x:v>
      </x:c>
      <x:c r="Q26" s="9" t="n">
        <x:f>IF(OR(E26="Directed delegation",ISNUMBER(SEARCH("; Directed delegation; ","; "&amp;F26&amp;"; "))),1,0)</x:f>
        <x:v>0</x:v>
      </x:c>
      <x:c r="R26" s="9" t="n">
        <x:f>IF(OR(E26="Evaluation",ISNUMBER(SEARCH("; Evaluation; ","; "&amp;F26&amp;"; "))),1,0)</x:f>
        <x:v>0</x:v>
      </x:c>
      <x:c r="S26" s="9" t="n">
        <x:f>IF(OR(E26="Correction/Challenge",ISNUMBER(SEARCH("; Correction/Challenge; ","; "&amp;F26&amp;"; "))),1,0)</x:f>
        <x:v>0</x:v>
      </x:c>
      <x:c r="T26" s="9" t="n">
        <x:f>IF(OR(E26="Redirection",ISNUMBER(SEARCH("; Redirection; ","; "&amp;F26&amp;"; "))),1,0)</x:f>
        <x:v>0</x:v>
      </x:c>
      <x:c r="U26" s="9" t="n">
        <x:f>IF(OR(E26="Knowledge injection",ISNUMBER(SEARCH("; Knowledge injection; ","; "&amp;F26&amp;"; "))),1,0)</x:f>
        <x:v>0</x:v>
      </x:c>
      <x:c r="V26" s="9" t="n">
        <x:f>IF(OR(E26="Selection/Rejection",ISNUMBER(SEARCH("; Selection/Rejection; ","; "&amp;F26&amp;"; "))),1,0)</x:f>
        <x:v>1</x:v>
      </x:c>
      <x:c r="W26" s="9" t="n">
        <x:f>IF(OR(E26="Deliberation",ISNUMBER(SEARCH("; Deliberation; ","; "&amp;F26&amp;"; "))),1,0)</x:f>
        <x:v>0</x:v>
      </x:c>
      <x:c r="X26" s="9" t="n">
        <x:f>IF(ISNUMBER(SEARCH("; domain correction; ","; "&amp;H26&amp;"; ")),1,0)</x:f>
        <x:v>0</x:v>
      </x:c>
      <x:c r="Y26" s="9" t="n">
        <x:f>IF(ISNUMBER(SEARCH("; conceptual discrimination; ","; "&amp;H26&amp;"; ")),1,0)</x:f>
        <x:v>0</x:v>
      </x:c>
      <x:c r="Z26" s="9" t="n">
        <x:f>IF(ISNUMBER(SEARCH("; evidence judgment; ","; "&amp;H26&amp;"; ")),1,0)</x:f>
        <x:v>0</x:v>
      </x:c>
      <x:c r="AA26" s="9" t="n">
        <x:f>IF(ISNUMBER(SEARCH("; methodological judgment; ","; "&amp;H26&amp;"; ")),1,0)</x:f>
        <x:v>0</x:v>
      </x:c>
      <x:c r="AB26" s="9" t="n">
        <x:f>IF(ISNUMBER(SEARCH("; argumentative judgment; ","; "&amp;H26&amp;"; ")),1,0)</x:f>
        <x:v>0</x:v>
      </x:c>
      <x:c r="AC26" s="9" t="n">
        <x:f>IF(ISNUMBER(SEARCH("; genre/writing expertise; ","; "&amp;H26&amp;"; ")),1,0)</x:f>
        <x:v>0</x:v>
      </x:c>
      <x:c r="AD26" s="9" t="n">
        <x:f>IF(ISNUMBER(SEARCH("; none; ","; "&amp;H26&amp;"; ")),1,0)</x:f>
        <x:v>1</x:v>
      </x:c>
    </x:row>
    <x:row r="27" ht="60" customHeight="1">
      <x:c r="A27" s="8" t="str">
        <x:v>P4-EXEC-017</x:v>
      </x:c>
      <x:c r="B27" s="9" t="n">
        <x:v>26</x:v>
      </x:c>
      <x:c r="C27" s="8" t="str">
        <x:v>SLR execution</x:v>
      </x:c>
      <x:c r="D27" s="8" t="str">
        <x:v>so you got 24 citations (papers) in the pool, right?</x:v>
      </x:c>
      <x:c r="E27" s="8" t="str">
        <x:v>Evaluation</x:v>
      </x:c>
      <x:c r="F27" s="8" t="str"/>
      <x:c r="G27" s="8" t="str">
        <x:v>Evaluative</x:v>
      </x:c>
      <x:c r="H27" s="8" t="str">
        <x:v>evidence judgment; methodological judgment</x:v>
      </x:c>
      <x:c r="I27" s="8" t="str">
        <x:v>Checks the reported count of candidate citations.</x:v>
      </x:c>
      <x:c r="J27" s="8" t="str">
        <x:v>AI confirms 24 candidates and distinguishes citations from included studies.</x:v>
      </x:c>
      <x:c r="K27" s="8" t="str">
        <x:v>EXEC p37 L2-p37 L2</x:v>
      </x:c>
      <x:c r="L27" s="8" t="str">
        <x:v>EXEC p37 L3-p39 L13</x:v>
      </x:c>
      <x:c r="M27" s="8" t="str"/>
      <x:c r="N27" s="8" t="str">
        <x:v>Visible next AI response</x:v>
      </x:c>
      <x:c r="O27" s="8" t="str"/>
      <x:c r="P27" s="9" t="n">
        <x:f>IF(OR(E27="Delegation",ISNUMBER(SEARCH("; Delegation; ","; "&amp;F27&amp;"; "))),1,0)</x:f>
        <x:v>0</x:v>
      </x:c>
      <x:c r="Q27" s="9" t="n">
        <x:f>IF(OR(E27="Directed delegation",ISNUMBER(SEARCH("; Directed delegation; ","; "&amp;F27&amp;"; "))),1,0)</x:f>
        <x:v>0</x:v>
      </x:c>
      <x:c r="R27" s="9" t="n">
        <x:f>IF(OR(E27="Evaluation",ISNUMBER(SEARCH("; Evaluation; ","; "&amp;F27&amp;"; "))),1,0)</x:f>
        <x:v>1</x:v>
      </x:c>
      <x:c r="S27" s="9" t="n">
        <x:f>IF(OR(E27="Correction/Challenge",ISNUMBER(SEARCH("; Correction/Challenge; ","; "&amp;F27&amp;"; "))),1,0)</x:f>
        <x:v>0</x:v>
      </x:c>
      <x:c r="T27" s="9" t="n">
        <x:f>IF(OR(E27="Redirection",ISNUMBER(SEARCH("; Redirection; ","; "&amp;F27&amp;"; "))),1,0)</x:f>
        <x:v>0</x:v>
      </x:c>
      <x:c r="U27" s="9" t="n">
        <x:f>IF(OR(E27="Knowledge injection",ISNUMBER(SEARCH("; Knowledge injection; ","; "&amp;F27&amp;"; "))),1,0)</x:f>
        <x:v>0</x:v>
      </x:c>
      <x:c r="V27" s="9" t="n">
        <x:f>IF(OR(E27="Selection/Rejection",ISNUMBER(SEARCH("; Selection/Rejection; ","; "&amp;F27&amp;"; "))),1,0)</x:f>
        <x:v>0</x:v>
      </x:c>
      <x:c r="W27" s="9" t="n">
        <x:f>IF(OR(E27="Deliberation",ISNUMBER(SEARCH("; Deliberation; ","; "&amp;F27&amp;"; "))),1,0)</x:f>
        <x:v>0</x:v>
      </x:c>
      <x:c r="X27" s="9" t="n">
        <x:f>IF(ISNUMBER(SEARCH("; domain correction; ","; "&amp;H27&amp;"; ")),1,0)</x:f>
        <x:v>0</x:v>
      </x:c>
      <x:c r="Y27" s="9" t="n">
        <x:f>IF(ISNUMBER(SEARCH("; conceptual discrimination; ","; "&amp;H27&amp;"; ")),1,0)</x:f>
        <x:v>0</x:v>
      </x:c>
      <x:c r="Z27" s="9" t="n">
        <x:f>IF(ISNUMBER(SEARCH("; evidence judgment; ","; "&amp;H27&amp;"; ")),1,0)</x:f>
        <x:v>1</x:v>
      </x:c>
      <x:c r="AA27" s="9" t="n">
        <x:f>IF(ISNUMBER(SEARCH("; methodological judgment; ","; "&amp;H27&amp;"; ")),1,0)</x:f>
        <x:v>1</x:v>
      </x:c>
      <x:c r="AB27" s="9" t="n">
        <x:f>IF(ISNUMBER(SEARCH("; argumentative judgment; ","; "&amp;H27&amp;"; ")),1,0)</x:f>
        <x:v>0</x:v>
      </x:c>
      <x:c r="AC27" s="9" t="n">
        <x:f>IF(ISNUMBER(SEARCH("; genre/writing expertise; ","; "&amp;H27&amp;"; ")),1,0)</x:f>
        <x:v>0</x:v>
      </x:c>
      <x:c r="AD27" s="9" t="n">
        <x:f>IF(ISNUMBER(SEARCH("; none; ","; "&amp;H27&amp;"; ")),1,0)</x:f>
        <x:v>0</x:v>
      </x:c>
    </x:row>
    <x:row r="28" ht="92" customHeight="1">
      <x:c r="A28" s="8" t="str">
        <x:v>P4-EXEC-018</x:v>
      </x:c>
      <x:c r="B28" s="9" t="n">
        <x:v>27</x:v>
      </x:c>
      <x:c r="C28" s="8" t="str">
        <x:v>SLR execution</x:v>
      </x:c>
      <x:c r="D28" s="8" t="str">
        <x:v>so let's continue step by step because I need to do a careful oversight and inspection of your work. So I'm working on the paper Word file, okay? look at the Word file attached. obviously, it's not ready yet . Now the paper Word file only has the structure and I'm shaping it as I progress. And I …</x:v>
      </x:c>
      <x:c r="E28" s="8" t="str">
        <x:v>Knowledge injection</x:v>
      </x:c>
      <x:c r="F28" s="8" t="str">
        <x:v>Directed delegation; Redirection</x:v>
      </x:c>
      <x:c r="G28" s="8" t="str">
        <x:v>Directive</x:v>
      </x:c>
      <x:c r="H28" s="8" t="str">
        <x:v>evidence judgment; methodological judgment</x:v>
      </x:c>
      <x:c r="I28" s="8" t="str">
        <x:v>Reports obtaining paywalled PDFs and defers table regeneration to control the workflow.</x:v>
      </x:c>
      <x:c r="J28" s="8" t="str">
        <x:v>AI acknowledges the documents and deferral, claiming access.</x:v>
      </x:c>
      <x:c r="K28" s="8" t="str">
        <x:v>EXEC p39 L21-p39 L26</x:v>
      </x:c>
      <x:c r="L28" s="8" t="str">
        <x:v>EXEC p39 L28-p41 L16</x:v>
      </x:c>
      <x:c r="M28" s="8" t="str">
        <x:v>Paper1-SLR1-AI usage Impact on Quality.docx
Is GitHub’s Copilot as Bad as Humans at Introducing Vulnerabilities in Code.pdf
AI Writes, We Analyze-The ChatGPT Python Code Saga.pdf</x:v>
      </x:c>
      <x:c r="N28" s="8" t="str">
        <x:v>Visible next AI response</x:v>
      </x:c>
      <x:c r="O28" s="8" t="str">
        <x:v>Full-text retrieval is a reported human action. AI claims document access; actual attachment access is not independently demonstrated.</x:v>
      </x:c>
      <x:c r="P28" s="9" t="n">
        <x:f>IF(OR(E28="Delegation",ISNUMBER(SEARCH("; Delegation; ","; "&amp;F28&amp;"; "))),1,0)</x:f>
        <x:v>0</x:v>
      </x:c>
      <x:c r="Q28" s="9" t="n">
        <x:f>IF(OR(E28="Directed delegation",ISNUMBER(SEARCH("; Directed delegation; ","; "&amp;F28&amp;"; "))),1,0)</x:f>
        <x:v>1</x:v>
      </x:c>
      <x:c r="R28" s="9" t="n">
        <x:f>IF(OR(E28="Evaluation",ISNUMBER(SEARCH("; Evaluation; ","; "&amp;F28&amp;"; "))),1,0)</x:f>
        <x:v>0</x:v>
      </x:c>
      <x:c r="S28" s="9" t="n">
        <x:f>IF(OR(E28="Correction/Challenge",ISNUMBER(SEARCH("; Correction/Challenge; ","; "&amp;F28&amp;"; "))),1,0)</x:f>
        <x:v>0</x:v>
      </x:c>
      <x:c r="T28" s="9" t="n">
        <x:f>IF(OR(E28="Redirection",ISNUMBER(SEARCH("; Redirection; ","; "&amp;F28&amp;"; "))),1,0)</x:f>
        <x:v>1</x:v>
      </x:c>
      <x:c r="U28" s="9" t="n">
        <x:f>IF(OR(E28="Knowledge injection",ISNUMBER(SEARCH("; Knowledge injection; ","; "&amp;F28&amp;"; "))),1,0)</x:f>
        <x:v>1</x:v>
      </x:c>
      <x:c r="V28" s="9" t="n">
        <x:f>IF(OR(E28="Selection/Rejection",ISNUMBER(SEARCH("; Selection/Rejection; ","; "&amp;F28&amp;"; "))),1,0)</x:f>
        <x:v>0</x:v>
      </x:c>
      <x:c r="W28" s="9" t="n">
        <x:f>IF(OR(E28="Deliberation",ISNUMBER(SEARCH("; Deliberation; ","; "&amp;F28&amp;"; "))),1,0)</x:f>
        <x:v>0</x:v>
      </x:c>
      <x:c r="X28" s="9" t="n">
        <x:f>IF(ISNUMBER(SEARCH("; domain correction; ","; "&amp;H28&amp;"; ")),1,0)</x:f>
        <x:v>0</x:v>
      </x:c>
      <x:c r="Y28" s="9" t="n">
        <x:f>IF(ISNUMBER(SEARCH("; conceptual discrimination; ","; "&amp;H28&amp;"; ")),1,0)</x:f>
        <x:v>0</x:v>
      </x:c>
      <x:c r="Z28" s="9" t="n">
        <x:f>IF(ISNUMBER(SEARCH("; evidence judgment; ","; "&amp;H28&amp;"; ")),1,0)</x:f>
        <x:v>1</x:v>
      </x:c>
      <x:c r="AA28" s="9" t="n">
        <x:f>IF(ISNUMBER(SEARCH("; methodological judgment; ","; "&amp;H28&amp;"; ")),1,0)</x:f>
        <x:v>1</x:v>
      </x:c>
      <x:c r="AB28" s="9" t="n">
        <x:f>IF(ISNUMBER(SEARCH("; argumentative judgment; ","; "&amp;H28&amp;"; ")),1,0)</x:f>
        <x:v>0</x:v>
      </x:c>
      <x:c r="AC28" s="9" t="n">
        <x:f>IF(ISNUMBER(SEARCH("; genre/writing expertise; ","; "&amp;H28&amp;"; ")),1,0)</x:f>
        <x:v>0</x:v>
      </x:c>
      <x:c r="AD28" s="9" t="n">
        <x:f>IF(ISNUMBER(SEARCH("; none; ","; "&amp;H28&amp;"; ")),1,0)</x:f>
        <x:v>0</x:v>
      </x:c>
    </x:row>
    <x:row r="29" ht="92" customHeight="1">
      <x:c r="A29" s="8" t="str">
        <x:v>P4-EXEC-019</x:v>
      </x:c>
      <x:c r="B29" s="9" t="n">
        <x:v>28</x:v>
      </x:c>
      <x:c r="C29" s="8" t="str">
        <x:v>SLR execution</x:v>
      </x:c>
      <x:c r="D29" s="8" t="str">
        <x:v>To oversee your SLR work, I have been doing my own Google Scholar search, and apparently, you have not found a number of papers, in your search. I have found them, and I provide you with their PDFs. Check to see if they pass the inclusion criteria and whether they fit the scope of our paper. I th…</x:v>
      </x:c>
      <x:c r="E29" s="8" t="str">
        <x:v>Correction/Challenge</x:v>
      </x:c>
      <x:c r="F29" s="8" t="str">
        <x:v>Knowledge injection; Directed delegation; Evaluation</x:v>
      </x:c>
      <x:c r="G29" s="8" t="str">
        <x:v>Critical</x:v>
      </x:c>
      <x:c r="H29" s="8" t="str">
        <x:v>evidence judgment; methodological judgment</x:v>
      </x:c>
      <x:c r="I29" s="8" t="str">
        <x:v>Reports independent Google Scholar searching and detects AI search omissions; asks to screen added studies.</x:v>
      </x:c>
      <x:c r="J29" s="8" t="str">
        <x:v>AI screens three supplied studies and discusses the workflow.</x:v>
      </x:c>
      <x:c r="K29" s="8" t="str">
        <x:v>EXEC p41 L23-p41 L33</x:v>
      </x:c>
      <x:c r="L29" s="8" t="str">
        <x:v>EXEC p41 L35-p45 L18</x:v>
      </x:c>
      <x:c r="M29" s="8" t="str">
        <x:v>LLM hallucinations in practical code generation-Phenomena, mechanism, and mitigation.pdf
Studying the quality of source code generated by different ....pdf
Evaluating the code quality of ai-assisted code generation tools....pdf</x:v>
      </x:c>
      <x:c r="N29" s="8" t="str">
        <x:v>Visible next AI response</x:v>
      </x:c>
      <x:c r="O29" s="8" t="str">
        <x:v>Independent search and missing-paper discovery are researcher testimony. Screening correctness is not independently verified.</x:v>
      </x:c>
      <x:c r="P29" s="9" t="n">
        <x:f>IF(OR(E29="Delegation",ISNUMBER(SEARCH("; Delegation; ","; "&amp;F29&amp;"; "))),1,0)</x:f>
        <x:v>0</x:v>
      </x:c>
      <x:c r="Q29" s="9" t="n">
        <x:f>IF(OR(E29="Directed delegation",ISNUMBER(SEARCH("; Directed delegation; ","; "&amp;F29&amp;"; "))),1,0)</x:f>
        <x:v>1</x:v>
      </x:c>
      <x:c r="R29" s="9" t="n">
        <x:f>IF(OR(E29="Evaluation",ISNUMBER(SEARCH("; Evaluation; ","; "&amp;F29&amp;"; "))),1,0)</x:f>
        <x:v>1</x:v>
      </x:c>
      <x:c r="S29" s="9" t="n">
        <x:f>IF(OR(E29="Correction/Challenge",ISNUMBER(SEARCH("; Correction/Challenge; ","; "&amp;F29&amp;"; "))),1,0)</x:f>
        <x:v>1</x:v>
      </x:c>
      <x:c r="T29" s="9" t="n">
        <x:f>IF(OR(E29="Redirection",ISNUMBER(SEARCH("; Redirection; ","; "&amp;F29&amp;"; "))),1,0)</x:f>
        <x:v>0</x:v>
      </x:c>
      <x:c r="U29" s="9" t="n">
        <x:f>IF(OR(E29="Knowledge injection",ISNUMBER(SEARCH("; Knowledge injection; ","; "&amp;F29&amp;"; "))),1,0)</x:f>
        <x:v>1</x:v>
      </x:c>
      <x:c r="V29" s="9" t="n">
        <x:f>IF(OR(E29="Selection/Rejection",ISNUMBER(SEARCH("; Selection/Rejection; ","; "&amp;F29&amp;"; "))),1,0)</x:f>
        <x:v>0</x:v>
      </x:c>
      <x:c r="W29" s="9" t="n">
        <x:f>IF(OR(E29="Deliberation",ISNUMBER(SEARCH("; Deliberation; ","; "&amp;F29&amp;"; "))),1,0)</x:f>
        <x:v>0</x:v>
      </x:c>
      <x:c r="X29" s="9" t="n">
        <x:f>IF(ISNUMBER(SEARCH("; domain correction; ","; "&amp;H29&amp;"; ")),1,0)</x:f>
        <x:v>0</x:v>
      </x:c>
      <x:c r="Y29" s="9" t="n">
        <x:f>IF(ISNUMBER(SEARCH("; conceptual discrimination; ","; "&amp;H29&amp;"; ")),1,0)</x:f>
        <x:v>0</x:v>
      </x:c>
      <x:c r="Z29" s="9" t="n">
        <x:f>IF(ISNUMBER(SEARCH("; evidence judgment; ","; "&amp;H29&amp;"; ")),1,0)</x:f>
        <x:v>1</x:v>
      </x:c>
      <x:c r="AA29" s="9" t="n">
        <x:f>IF(ISNUMBER(SEARCH("; methodological judgment; ","; "&amp;H29&amp;"; ")),1,0)</x:f>
        <x:v>1</x:v>
      </x:c>
      <x:c r="AB29" s="9" t="n">
        <x:f>IF(ISNUMBER(SEARCH("; argumentative judgment; ","; "&amp;H29&amp;"; ")),1,0)</x:f>
        <x:v>0</x:v>
      </x:c>
      <x:c r="AC29" s="9" t="n">
        <x:f>IF(ISNUMBER(SEARCH("; genre/writing expertise; ","; "&amp;H29&amp;"; ")),1,0)</x:f>
        <x:v>0</x:v>
      </x:c>
      <x:c r="AD29" s="9" t="n">
        <x:f>IF(ISNUMBER(SEARCH("; none; ","; "&amp;H29&amp;"; ")),1,0)</x:f>
        <x:v>0</x:v>
      </x:c>
    </x:row>
    <x:row r="30" ht="64" customHeight="1">
      <x:c r="A30" s="8" t="str">
        <x:v>P4-EXEC-020</x:v>
      </x:c>
      <x:c r="B30" s="9" t="n">
        <x:v>29</x:v>
      </x:c>
      <x:c r="C30" s="8" t="str">
        <x:v>SLR execution</x:v>
      </x:c>
      <x:c r="D30" s="8" t="str">
        <x:v>We both need to be in full synch … I have 21 papers … Check the list with the list in your memory … [supplies complete master list].</x:v>
      </x:c>
      <x:c r="E30" s="8" t="str">
        <x:v>Evaluation</x:v>
      </x:c>
      <x:c r="F30" s="8" t="str">
        <x:v>Knowledge injection; Directed delegation</x:v>
      </x:c>
      <x:c r="G30" s="8" t="str">
        <x:v>Evaluative</x:v>
      </x:c>
      <x:c r="H30" s="8" t="str">
        <x:v>evidence judgment; methodological judgment</x:v>
      </x:c>
      <x:c r="I30" s="8" t="str">
        <x:v>Supplies a 21-study master list to reconcile human and AI pool state.</x:v>
      </x:c>
      <x:c r="J30" s="8" t="str">
        <x:v>AI compares the list with its stated context and reports synchronization.</x:v>
      </x:c>
      <x:c r="K30" s="8" t="str">
        <x:v>EXEC p45 L19-p45 L42</x:v>
      </x:c>
      <x:c r="L30" s="8" t="str">
        <x:v>EXEC p45 L44-p48 L21</x:v>
      </x:c>
      <x:c r="M30" s="8" t="str"/>
      <x:c r="N30" s="8" t="str">
        <x:v>Visible next AI response</x:v>
      </x:c>
      <x:c r="O30" s="8" t="str"/>
      <x:c r="P30" s="9" t="n">
        <x:f>IF(OR(E30="Delegation",ISNUMBER(SEARCH("; Delegation; ","; "&amp;F30&amp;"; "))),1,0)</x:f>
        <x:v>0</x:v>
      </x:c>
      <x:c r="Q30" s="9" t="n">
        <x:f>IF(OR(E30="Directed delegation",ISNUMBER(SEARCH("; Directed delegation; ","; "&amp;F30&amp;"; "))),1,0)</x:f>
        <x:v>1</x:v>
      </x:c>
      <x:c r="R30" s="9" t="n">
        <x:f>IF(OR(E30="Evaluation",ISNUMBER(SEARCH("; Evaluation; ","; "&amp;F30&amp;"; "))),1,0)</x:f>
        <x:v>1</x:v>
      </x:c>
      <x:c r="S30" s="9" t="n">
        <x:f>IF(OR(E30="Correction/Challenge",ISNUMBER(SEARCH("; Correction/Challenge; ","; "&amp;F30&amp;"; "))),1,0)</x:f>
        <x:v>0</x:v>
      </x:c>
      <x:c r="T30" s="9" t="n">
        <x:f>IF(OR(E30="Redirection",ISNUMBER(SEARCH("; Redirection; ","; "&amp;F30&amp;"; "))),1,0)</x:f>
        <x:v>0</x:v>
      </x:c>
      <x:c r="U30" s="9" t="n">
        <x:f>IF(OR(E30="Knowledge injection",ISNUMBER(SEARCH("; Knowledge injection; ","; "&amp;F30&amp;"; "))),1,0)</x:f>
        <x:v>1</x:v>
      </x:c>
      <x:c r="V30" s="9" t="n">
        <x:f>IF(OR(E30="Selection/Rejection",ISNUMBER(SEARCH("; Selection/Rejection; ","; "&amp;F30&amp;"; "))),1,0)</x:f>
        <x:v>0</x:v>
      </x:c>
      <x:c r="W30" s="9" t="n">
        <x:f>IF(OR(E30="Deliberation",ISNUMBER(SEARCH("; Deliberation; ","; "&amp;F30&amp;"; "))),1,0)</x:f>
        <x:v>0</x:v>
      </x:c>
      <x:c r="X30" s="9" t="n">
        <x:f>IF(ISNUMBER(SEARCH("; domain correction; ","; "&amp;H30&amp;"; ")),1,0)</x:f>
        <x:v>0</x:v>
      </x:c>
      <x:c r="Y30" s="9" t="n">
        <x:f>IF(ISNUMBER(SEARCH("; conceptual discrimination; ","; "&amp;H30&amp;"; ")),1,0)</x:f>
        <x:v>0</x:v>
      </x:c>
      <x:c r="Z30" s="9" t="n">
        <x:f>IF(ISNUMBER(SEARCH("; evidence judgment; ","; "&amp;H30&amp;"; ")),1,0)</x:f>
        <x:v>1</x:v>
      </x:c>
      <x:c r="AA30" s="9" t="n">
        <x:f>IF(ISNUMBER(SEARCH("; methodological judgment; ","; "&amp;H30&amp;"; ")),1,0)</x:f>
        <x:v>1</x:v>
      </x:c>
      <x:c r="AB30" s="9" t="n">
        <x:f>IF(ISNUMBER(SEARCH("; argumentative judgment; ","; "&amp;H30&amp;"; ")),1,0)</x:f>
        <x:v>0</x:v>
      </x:c>
      <x:c r="AC30" s="9" t="n">
        <x:f>IF(ISNUMBER(SEARCH("; genre/writing expertise; ","; "&amp;H30&amp;"; ")),1,0)</x:f>
        <x:v>0</x:v>
      </x:c>
      <x:c r="AD30" s="9" t="n">
        <x:f>IF(ISNUMBER(SEARCH("; none; ","; "&amp;H30&amp;"; ")),1,0)</x:f>
        <x:v>0</x:v>
      </x:c>
    </x:row>
    <x:row r="31" ht="92" customHeight="1">
      <x:c r="A31" s="8" t="str">
        <x:v>P4-EXEC-021</x:v>
      </x:c>
      <x:c r="B31" s="9" t="n">
        <x:v>30</x:v>
      </x:c>
      <x:c r="C31" s="8" t="str">
        <x:v>SLR execution</x:v>
      </x:c>
      <x:c r="D31" s="8" t="str">
        <x:v>| Stage | Papers | | --- | --- | | Initial search | 200–500 | | After screening | 30–60 | | Final SLR set | 15–30 | Your **21 candidate studies** are perfectly reasonable. I do not want you to comment on whether the "size" of our pool of papers is reasonable or not. It's about precision. Here you…</x:v>
      </x:c>
      <x:c r="E31" s="8" t="str">
        <x:v>Correction/Challenge</x:v>
      </x:c>
      <x:c r="F31" s="8" t="str">
        <x:v>Selection/Rejection; Knowledge injection; Directed delegation</x:v>
      </x:c>
      <x:c r="G31" s="8" t="str">
        <x:v>Critical</x:v>
      </x:c>
      <x:c r="H31" s="8" t="str">
        <x:v>evidence judgment; methodological judgment</x:v>
      </x:c>
      <x:c r="I31" s="8" t="str">
        <x:v>Rejects unsupported count ranges and reports excluding a study after close reading.</x:v>
      </x:c>
      <x:c r="J31" s="8" t="str">
        <x:v>AI acknowledges exact-count requirements and updates the pool to 20.</x:v>
      </x:c>
      <x:c r="K31" s="8" t="str">
        <x:v>EXEC p48 L22-p48 L26</x:v>
      </x:c>
      <x:c r="L31" s="8" t="str">
        <x:v>EXEC p48 L28-p50 L2</x:v>
      </x:c>
      <x:c r="M31" s="8" t="str"/>
      <x:c r="N31" s="8" t="str">
        <x:v>Visible next AI response</x:v>
      </x:c>
      <x:c r="O31" s="8" t="str">
        <x:v>The criterion for excluding the study is not elaborated. The explicit demand for real counts is distinct from the AI subsequently generating unverified counts.</x:v>
      </x:c>
      <x:c r="P31" s="9" t="n">
        <x:f>IF(OR(E31="Delegation",ISNUMBER(SEARCH("; Delegation; ","; "&amp;F31&amp;"; "))),1,0)</x:f>
        <x:v>0</x:v>
      </x:c>
      <x:c r="Q31" s="9" t="n">
        <x:f>IF(OR(E31="Directed delegation",ISNUMBER(SEARCH("; Directed delegation; ","; "&amp;F31&amp;"; "))),1,0)</x:f>
        <x:v>1</x:v>
      </x:c>
      <x:c r="R31" s="9" t="n">
        <x:f>IF(OR(E31="Evaluation",ISNUMBER(SEARCH("; Evaluation; ","; "&amp;F31&amp;"; "))),1,0)</x:f>
        <x:v>0</x:v>
      </x:c>
      <x:c r="S31" s="9" t="n">
        <x:f>IF(OR(E31="Correction/Challenge",ISNUMBER(SEARCH("; Correction/Challenge; ","; "&amp;F31&amp;"; "))),1,0)</x:f>
        <x:v>1</x:v>
      </x:c>
      <x:c r="T31" s="9" t="n">
        <x:f>IF(OR(E31="Redirection",ISNUMBER(SEARCH("; Redirection; ","; "&amp;F31&amp;"; "))),1,0)</x:f>
        <x:v>0</x:v>
      </x:c>
      <x:c r="U31" s="9" t="n">
        <x:f>IF(OR(E31="Knowledge injection",ISNUMBER(SEARCH("; Knowledge injection; ","; "&amp;F31&amp;"; "))),1,0)</x:f>
        <x:v>1</x:v>
      </x:c>
      <x:c r="V31" s="9" t="n">
        <x:f>IF(OR(E31="Selection/Rejection",ISNUMBER(SEARCH("; Selection/Rejection; ","; "&amp;F31&amp;"; "))),1,0)</x:f>
        <x:v>1</x:v>
      </x:c>
      <x:c r="W31" s="9" t="n">
        <x:f>IF(OR(E31="Deliberation",ISNUMBER(SEARCH("; Deliberation; ","; "&amp;F31&amp;"; "))),1,0)</x:f>
        <x:v>0</x:v>
      </x:c>
      <x:c r="X31" s="9" t="n">
        <x:f>IF(ISNUMBER(SEARCH("; domain correction; ","; "&amp;H31&amp;"; ")),1,0)</x:f>
        <x:v>0</x:v>
      </x:c>
      <x:c r="Y31" s="9" t="n">
        <x:f>IF(ISNUMBER(SEARCH("; conceptual discrimination; ","; "&amp;H31&amp;"; ")),1,0)</x:f>
        <x:v>0</x:v>
      </x:c>
      <x:c r="Z31" s="9" t="n">
        <x:f>IF(ISNUMBER(SEARCH("; evidence judgment; ","; "&amp;H31&amp;"; ")),1,0)</x:f>
        <x:v>1</x:v>
      </x:c>
      <x:c r="AA31" s="9" t="n">
        <x:f>IF(ISNUMBER(SEARCH("; methodological judgment; ","; "&amp;H31&amp;"; ")),1,0)</x:f>
        <x:v>1</x:v>
      </x:c>
      <x:c r="AB31" s="9" t="n">
        <x:f>IF(ISNUMBER(SEARCH("; argumentative judgment; ","; "&amp;H31&amp;"; ")),1,0)</x:f>
        <x:v>0</x:v>
      </x:c>
      <x:c r="AC31" s="9" t="n">
        <x:f>IF(ISNUMBER(SEARCH("; genre/writing expertise; ","; "&amp;H31&amp;"; ")),1,0)</x:f>
        <x:v>0</x:v>
      </x:c>
      <x:c r="AD31" s="9" t="n">
        <x:f>IF(ISNUMBER(SEARCH("; none; ","; "&amp;H31&amp;"; ")),1,0)</x:f>
        <x:v>0</x:v>
      </x:c>
    </x:row>
    <x:row r="32" ht="92" customHeight="1">
      <x:c r="A32" s="8" t="str">
        <x:v>P4-EXEC-022</x:v>
      </x:c>
      <x:c r="B32" s="9" t="n">
        <x:v>31</x:v>
      </x:c>
      <x:c r="C32" s="8" t="str">
        <x:v>SLR execution</x:v>
      </x:c>
      <x:c r="D32" s="8" t="str">
        <x:v>During my manual searches in Google Scholar, I also came across these five candidate papers. I haven't looked inside them, but their titles at least look possibly relevant. I want you to check them against our inclusion criteria and tell me whether we should addt hem to the pool or exclude them.</x:v>
      </x:c>
      <x:c r="E32" s="8" t="str">
        <x:v>Directed delegation</x:v>
      </x:c>
      <x:c r="F32" s="8" t="str">
        <x:v>Knowledge injection; Evaluation</x:v>
      </x:c>
      <x:c r="G32" s="8" t="str">
        <x:v>Directive</x:v>
      </x:c>
      <x:c r="H32" s="8" t="str">
        <x:v>evidence judgment; methodological judgment</x:v>
      </x:c>
      <x:c r="I32" s="8" t="str">
        <x:v>Reports five manually found candidates and requests criteria-based screening, with title relevance explicitly provisional.</x:v>
      </x:c>
      <x:c r="J32" s="8" t="str">
        <x:v>AI evaluates the candidates and suggests additions, noting version duplication risk.</x:v>
      </x:c>
      <x:c r="K32" s="8" t="str">
        <x:v>EXEC p50 L11-p50 L13</x:v>
      </x:c>
      <x:c r="L32" s="8" t="str">
        <x:v>EXEC p50 L14-p52 L39</x:v>
      </x:c>
      <x:c r="M32" s="8" t="str">
        <x:v>Refining ChatGPT-Generated Code-Characterizing and ....pdf
Assessing the Quality and Security of AI-Generated ....pdf
Assessing_the_Performance_of_AI-Generated_Code_A_Case_.pdf
Human-written vs. ai-generated code-A large-scale....pdf QUALIT~1.PDF</x:v>
      </x:c>
      <x:c r="N32" s="8" t="str">
        <x:v>Visible next AI response</x:v>
      </x:c>
      <x:c r="O32" s="8" t="str"/>
      <x:c r="P32" s="9" t="n">
        <x:f>IF(OR(E32="Delegation",ISNUMBER(SEARCH("; Delegation; ","; "&amp;F32&amp;"; "))),1,0)</x:f>
        <x:v>0</x:v>
      </x:c>
      <x:c r="Q32" s="9" t="n">
        <x:f>IF(OR(E32="Directed delegation",ISNUMBER(SEARCH("; Directed delegation; ","; "&amp;F32&amp;"; "))),1,0)</x:f>
        <x:v>1</x:v>
      </x:c>
      <x:c r="R32" s="9" t="n">
        <x:f>IF(OR(E32="Evaluation",ISNUMBER(SEARCH("; Evaluation; ","; "&amp;F32&amp;"; "))),1,0)</x:f>
        <x:v>1</x:v>
      </x:c>
      <x:c r="S32" s="9" t="n">
        <x:f>IF(OR(E32="Correction/Challenge",ISNUMBER(SEARCH("; Correction/Challenge; ","; "&amp;F32&amp;"; "))),1,0)</x:f>
        <x:v>0</x:v>
      </x:c>
      <x:c r="T32" s="9" t="n">
        <x:f>IF(OR(E32="Redirection",ISNUMBER(SEARCH("; Redirection; ","; "&amp;F32&amp;"; "))),1,0)</x:f>
        <x:v>0</x:v>
      </x:c>
      <x:c r="U32" s="9" t="n">
        <x:f>IF(OR(E32="Knowledge injection",ISNUMBER(SEARCH("; Knowledge injection; ","; "&amp;F32&amp;"; "))),1,0)</x:f>
        <x:v>1</x:v>
      </x:c>
      <x:c r="V32" s="9" t="n">
        <x:f>IF(OR(E32="Selection/Rejection",ISNUMBER(SEARCH("; Selection/Rejection; ","; "&amp;F32&amp;"; "))),1,0)</x:f>
        <x:v>0</x:v>
      </x:c>
      <x:c r="W32" s="9" t="n">
        <x:f>IF(OR(E32="Deliberation",ISNUMBER(SEARCH("; Deliberation; ","; "&amp;F32&amp;"; "))),1,0)</x:f>
        <x:v>0</x:v>
      </x:c>
      <x:c r="X32" s="9" t="n">
        <x:f>IF(ISNUMBER(SEARCH("; domain correction; ","; "&amp;H32&amp;"; ")),1,0)</x:f>
        <x:v>0</x:v>
      </x:c>
      <x:c r="Y32" s="9" t="n">
        <x:f>IF(ISNUMBER(SEARCH("; conceptual discrimination; ","; "&amp;H32&amp;"; ")),1,0)</x:f>
        <x:v>0</x:v>
      </x:c>
      <x:c r="Z32" s="9" t="n">
        <x:f>IF(ISNUMBER(SEARCH("; evidence judgment; ","; "&amp;H32&amp;"; ")),1,0)</x:f>
        <x:v>1</x:v>
      </x:c>
      <x:c r="AA32" s="9" t="n">
        <x:f>IF(ISNUMBER(SEARCH("; methodological judgment; ","; "&amp;H32&amp;"; ")),1,0)</x:f>
        <x:v>1</x:v>
      </x:c>
      <x:c r="AB32" s="9" t="n">
        <x:f>IF(ISNUMBER(SEARCH("; argumentative judgment; ","; "&amp;H32&amp;"; ")),1,0)</x:f>
        <x:v>0</x:v>
      </x:c>
      <x:c r="AC32" s="9" t="n">
        <x:f>IF(ISNUMBER(SEARCH("; genre/writing expertise; ","; "&amp;H32&amp;"; ")),1,0)</x:f>
        <x:v>0</x:v>
      </x:c>
      <x:c r="AD32" s="9" t="n">
        <x:f>IF(ISNUMBER(SEARCH("; none; ","; "&amp;H32&amp;"; ")),1,0)</x:f>
        <x:v>0</x:v>
      </x:c>
    </x:row>
    <x:row r="33" ht="78" customHeight="1">
      <x:c r="A33" s="8" t="str">
        <x:v>P4-EXEC-023</x:v>
      </x:c>
      <x:c r="B33" s="9" t="n">
        <x:v>32</x:v>
      </x:c>
      <x:c r="C33" s="8" t="str">
        <x:v>SLR execution</x:v>
      </x:c>
      <x:c r="D33" s="8" t="str">
        <x:v>For those four that you suggested to include, Can you tell me, can you give a table of their independent and dependent variables? Because I need to still verify if their independent variables are relevant to our scope.</x:v>
      </x:c>
      <x:c r="E33" s="8" t="str">
        <x:v>Evaluation</x:v>
      </x:c>
      <x:c r="F33" s="8" t="str">
        <x:v>Directed delegation</x:v>
      </x:c>
      <x:c r="G33" s="8" t="str">
        <x:v>Evaluative</x:v>
      </x:c>
      <x:c r="H33" s="8" t="str">
        <x:v>evidence judgment; methodological judgment</x:v>
      </x:c>
      <x:c r="I33" s="8" t="str">
        <x:v>Requires IV/DV extraction to verify eligibility before accepting proposed inclusions.</x:v>
      </x:c>
      <x:c r="J33" s="8" t="str">
        <x:v>AI supplies a four-study variable table.</x:v>
      </x:c>
      <x:c r="K33" s="8" t="str">
        <x:v>EXEC p53 L1-p53 L2</x:v>
      </x:c>
      <x:c r="L33" s="8" t="str">
        <x:v>EXEC p53 L3-p54 L17</x:v>
      </x:c>
      <x:c r="M33" s="8" t="str"/>
      <x:c r="N33" s="8" t="str">
        <x:v>Visible next AI response</x:v>
      </x:c>
      <x:c r="O33" s="8" t="str"/>
      <x:c r="P33" s="9" t="n">
        <x:f>IF(OR(E33="Delegation",ISNUMBER(SEARCH("; Delegation; ","; "&amp;F33&amp;"; "))),1,0)</x:f>
        <x:v>0</x:v>
      </x:c>
      <x:c r="Q33" s="9" t="n">
        <x:f>IF(OR(E33="Directed delegation",ISNUMBER(SEARCH("; Directed delegation; ","; "&amp;F33&amp;"; "))),1,0)</x:f>
        <x:v>1</x:v>
      </x:c>
      <x:c r="R33" s="9" t="n">
        <x:f>IF(OR(E33="Evaluation",ISNUMBER(SEARCH("; Evaluation; ","; "&amp;F33&amp;"; "))),1,0)</x:f>
        <x:v>1</x:v>
      </x:c>
      <x:c r="S33" s="9" t="n">
        <x:f>IF(OR(E33="Correction/Challenge",ISNUMBER(SEARCH("; Correction/Challenge; ","; "&amp;F33&amp;"; "))),1,0)</x:f>
        <x:v>0</x:v>
      </x:c>
      <x:c r="T33" s="9" t="n">
        <x:f>IF(OR(E33="Redirection",ISNUMBER(SEARCH("; Redirection; ","; "&amp;F33&amp;"; "))),1,0)</x:f>
        <x:v>0</x:v>
      </x:c>
      <x:c r="U33" s="9" t="n">
        <x:f>IF(OR(E33="Knowledge injection",ISNUMBER(SEARCH("; Knowledge injection; ","; "&amp;F33&amp;"; "))),1,0)</x:f>
        <x:v>0</x:v>
      </x:c>
      <x:c r="V33" s="9" t="n">
        <x:f>IF(OR(E33="Selection/Rejection",ISNUMBER(SEARCH("; Selection/Rejection; ","; "&amp;F33&amp;"; "))),1,0)</x:f>
        <x:v>0</x:v>
      </x:c>
      <x:c r="W33" s="9" t="n">
        <x:f>IF(OR(E33="Deliberation",ISNUMBER(SEARCH("; Deliberation; ","; "&amp;F33&amp;"; "))),1,0)</x:f>
        <x:v>0</x:v>
      </x:c>
      <x:c r="X33" s="9" t="n">
        <x:f>IF(ISNUMBER(SEARCH("; domain correction; ","; "&amp;H33&amp;"; ")),1,0)</x:f>
        <x:v>0</x:v>
      </x:c>
      <x:c r="Y33" s="9" t="n">
        <x:f>IF(ISNUMBER(SEARCH("; conceptual discrimination; ","; "&amp;H33&amp;"; ")),1,0)</x:f>
        <x:v>0</x:v>
      </x:c>
      <x:c r="Z33" s="9" t="n">
        <x:f>IF(ISNUMBER(SEARCH("; evidence judgment; ","; "&amp;H33&amp;"; ")),1,0)</x:f>
        <x:v>1</x:v>
      </x:c>
      <x:c r="AA33" s="9" t="n">
        <x:f>IF(ISNUMBER(SEARCH("; methodological judgment; ","; "&amp;H33&amp;"; ")),1,0)</x:f>
        <x:v>1</x:v>
      </x:c>
      <x:c r="AB33" s="9" t="n">
        <x:f>IF(ISNUMBER(SEARCH("; argumentative judgment; ","; "&amp;H33&amp;"; ")),1,0)</x:f>
        <x:v>0</x:v>
      </x:c>
      <x:c r="AC33" s="9" t="n">
        <x:f>IF(ISNUMBER(SEARCH("; genre/writing expertise; ","; "&amp;H33&amp;"; ")),1,0)</x:f>
        <x:v>0</x:v>
      </x:c>
      <x:c r="AD33" s="9" t="n">
        <x:f>IF(ISNUMBER(SEARCH("; none; ","; "&amp;H33&amp;"; ")),1,0)</x:f>
        <x:v>0</x:v>
      </x:c>
    </x:row>
    <x:row r="34" ht="92" customHeight="1">
      <x:c r="A34" s="8" t="str">
        <x:v>P4-EXEC-024</x:v>
      </x:c>
      <x:c r="B34" s="9" t="n">
        <x:v>33</x:v>
      </x:c>
      <x:c r="C34" s="8" t="str">
        <x:v>SLR execution</x:v>
      </x:c>
      <x:c r="D34" s="8" t="str">
        <x:v>• Code author type (Human vs LLM) • AI model type (ChatGPT, DeepSeek-Coder, Qwen-Coder) • Programming language (Python vs Java) For independent variables like that that you have extracted, are they explicitly mentioned as independent variables, I mean, in their RFQs? Do they conduct such treatmen…</x:v>
      </x:c>
      <x:c r="E34" s="8" t="str">
        <x:v>Evaluation</x:v>
      </x:c>
      <x:c r="F34" s="8" t="str">
        <x:v>Deliberation</x:v>
      </x:c>
      <x:c r="G34" s="8" t="str">
        <x:v>Evaluative</x:v>
      </x:c>
      <x:c r="H34" s="8" t="str">
        <x:v>conceptual discrimination; evidence judgment; methodological judgment</x:v>
      </x:c>
      <x:c r="I34" s="8" t="str">
        <x:v>Checks whether inferred IVs correspond to actual manipulated/compared treatments and empirical measurement.</x:v>
      </x:c>
      <x:c r="J34" s="8" t="str">
        <x:v>AI distinguishes explicit IV terminology from experimental factors and discusses the example.</x:v>
      </x:c>
      <x:c r="K34" s="8" t="str">
        <x:v>EXEC p54 L18-p54 L20</x:v>
      </x:c>
      <x:c r="L34" s="8" t="str">
        <x:v>EXEC p54 L21-p56 L32</x:v>
      </x:c>
      <x:c r="M34" s="8" t="str"/>
      <x:c r="N34" s="8" t="str">
        <x:v>Visible next AI response</x:v>
      </x:c>
      <x:c r="O34" s="8" t="str"/>
      <x:c r="P34" s="9" t="n">
        <x:f>IF(OR(E34="Delegation",ISNUMBER(SEARCH("; Delegation; ","; "&amp;F34&amp;"; "))),1,0)</x:f>
        <x:v>0</x:v>
      </x:c>
      <x:c r="Q34" s="9" t="n">
        <x:f>IF(OR(E34="Directed delegation",ISNUMBER(SEARCH("; Directed delegation; ","; "&amp;F34&amp;"; "))),1,0)</x:f>
        <x:v>0</x:v>
      </x:c>
      <x:c r="R34" s="9" t="n">
        <x:f>IF(OR(E34="Evaluation",ISNUMBER(SEARCH("; Evaluation; ","; "&amp;F34&amp;"; "))),1,0)</x:f>
        <x:v>1</x:v>
      </x:c>
      <x:c r="S34" s="9" t="n">
        <x:f>IF(OR(E34="Correction/Challenge",ISNUMBER(SEARCH("; Correction/Challenge; ","; "&amp;F34&amp;"; "))),1,0)</x:f>
        <x:v>0</x:v>
      </x:c>
      <x:c r="T34" s="9" t="n">
        <x:f>IF(OR(E34="Redirection",ISNUMBER(SEARCH("; Redirection; ","; "&amp;F34&amp;"; "))),1,0)</x:f>
        <x:v>0</x:v>
      </x:c>
      <x:c r="U34" s="9" t="n">
        <x:f>IF(OR(E34="Knowledge injection",ISNUMBER(SEARCH("; Knowledge injection; ","; "&amp;F34&amp;"; "))),1,0)</x:f>
        <x:v>0</x:v>
      </x:c>
      <x:c r="V34" s="9" t="n">
        <x:f>IF(OR(E34="Selection/Rejection",ISNUMBER(SEARCH("; Selection/Rejection; ","; "&amp;F34&amp;"; "))),1,0)</x:f>
        <x:v>0</x:v>
      </x:c>
      <x:c r="W34" s="9" t="n">
        <x:f>IF(OR(E34="Deliberation",ISNUMBER(SEARCH("; Deliberation; ","; "&amp;F34&amp;"; "))),1,0)</x:f>
        <x:v>1</x:v>
      </x:c>
      <x:c r="X34" s="9" t="n">
        <x:f>IF(ISNUMBER(SEARCH("; domain correction; ","; "&amp;H34&amp;"; ")),1,0)</x:f>
        <x:v>0</x:v>
      </x:c>
      <x:c r="Y34" s="9" t="n">
        <x:f>IF(ISNUMBER(SEARCH("; conceptual discrimination; ","; "&amp;H34&amp;"; ")),1,0)</x:f>
        <x:v>1</x:v>
      </x:c>
      <x:c r="Z34" s="9" t="n">
        <x:f>IF(ISNUMBER(SEARCH("; evidence judgment; ","; "&amp;H34&amp;"; ")),1,0)</x:f>
        <x:v>1</x:v>
      </x:c>
      <x:c r="AA34" s="9" t="n">
        <x:f>IF(ISNUMBER(SEARCH("; methodological judgment; ","; "&amp;H34&amp;"; ")),1,0)</x:f>
        <x:v>1</x:v>
      </x:c>
      <x:c r="AB34" s="9" t="n">
        <x:f>IF(ISNUMBER(SEARCH("; argumentative judgment; ","; "&amp;H34&amp;"; ")),1,0)</x:f>
        <x:v>0</x:v>
      </x:c>
      <x:c r="AC34" s="9" t="n">
        <x:f>IF(ISNUMBER(SEARCH("; genre/writing expertise; ","; "&amp;H34&amp;"; ")),1,0)</x:f>
        <x:v>0</x:v>
      </x:c>
      <x:c r="AD34" s="9" t="n">
        <x:f>IF(ISNUMBER(SEARCH("; none; ","; "&amp;H34&amp;"; ")),1,0)</x:f>
        <x:v>0</x:v>
      </x:c>
    </x:row>
    <x:row r="35" ht="64" customHeight="1">
      <x:c r="A35" s="8" t="str">
        <x:v>P4-EXEC-025</x:v>
      </x:c>
      <x:c r="B35" s="9" t="n">
        <x:v>34</x:v>
      </x:c>
      <x:c r="C35" s="8" t="str">
        <x:v>SLR execution</x:v>
      </x:c>
      <x:c r="D35" s="8" t="str">
        <x:v>The current candidate paper pool has 24 papers … tell me which PDFs you have … [supplies list including duplicate entries].</x:v>
      </x:c>
      <x:c r="E35" s="8" t="str">
        <x:v>Evaluation</x:v>
      </x:c>
      <x:c r="F35" s="8" t="str">
        <x:v>Knowledge injection</x:v>
      </x:c>
      <x:c r="G35" s="8" t="str">
        <x:v>Evaluative</x:v>
      </x:c>
      <x:c r="H35" s="8" t="str">
        <x:v>evidence judgment; methodological judgment</x:v>
      </x:c>
      <x:c r="I35" s="8" t="str">
        <x:v>Supplies the purported 24-paper list and audits full-text availability.</x:v>
      </x:c>
      <x:c r="J35" s="8" t="str">
        <x:v>AI detects two duplicated entries, reports 22 unique papers and lists PDF availability.</x:v>
      </x:c>
      <x:c r="K35" s="8" t="str">
        <x:v>EXEC p56 L33-p57 L14</x:v>
      </x:c>
      <x:c r="L35" s="8" t="str">
        <x:v>EXEC p57 L16-p58 L18</x:v>
      </x:c>
      <x:c r="M35" s="8" t="str"/>
      <x:c r="N35" s="8" t="str">
        <x:v>Visible next AI response</x:v>
      </x:c>
      <x:c r="O35" s="8" t="str">
        <x:v>The supplied 24-entry list has duplicates; AI reports 22 unique studies. This audit turn is not evidence of 24 distinct included studies.</x:v>
      </x:c>
      <x:c r="P35" s="9" t="n">
        <x:f>IF(OR(E35="Delegation",ISNUMBER(SEARCH("; Delegation; ","; "&amp;F35&amp;"; "))),1,0)</x:f>
        <x:v>0</x:v>
      </x:c>
      <x:c r="Q35" s="9" t="n">
        <x:f>IF(OR(E35="Directed delegation",ISNUMBER(SEARCH("; Directed delegation; ","; "&amp;F35&amp;"; "))),1,0)</x:f>
        <x:v>0</x:v>
      </x:c>
      <x:c r="R35" s="9" t="n">
        <x:f>IF(OR(E35="Evaluation",ISNUMBER(SEARCH("; Evaluation; ","; "&amp;F35&amp;"; "))),1,0)</x:f>
        <x:v>1</x:v>
      </x:c>
      <x:c r="S35" s="9" t="n">
        <x:f>IF(OR(E35="Correction/Challenge",ISNUMBER(SEARCH("; Correction/Challenge; ","; "&amp;F35&amp;"; "))),1,0)</x:f>
        <x:v>0</x:v>
      </x:c>
      <x:c r="T35" s="9" t="n">
        <x:f>IF(OR(E35="Redirection",ISNUMBER(SEARCH("; Redirection; ","; "&amp;F35&amp;"; "))),1,0)</x:f>
        <x:v>0</x:v>
      </x:c>
      <x:c r="U35" s="9" t="n">
        <x:f>IF(OR(E35="Knowledge injection",ISNUMBER(SEARCH("; Knowledge injection; ","; "&amp;F35&amp;"; "))),1,0)</x:f>
        <x:v>1</x:v>
      </x:c>
      <x:c r="V35" s="9" t="n">
        <x:f>IF(OR(E35="Selection/Rejection",ISNUMBER(SEARCH("; Selection/Rejection; ","; "&amp;F35&amp;"; "))),1,0)</x:f>
        <x:v>0</x:v>
      </x:c>
      <x:c r="W35" s="9" t="n">
        <x:f>IF(OR(E35="Deliberation",ISNUMBER(SEARCH("; Deliberation; ","; "&amp;F35&amp;"; "))),1,0)</x:f>
        <x:v>0</x:v>
      </x:c>
      <x:c r="X35" s="9" t="n">
        <x:f>IF(ISNUMBER(SEARCH("; domain correction; ","; "&amp;H35&amp;"; ")),1,0)</x:f>
        <x:v>0</x:v>
      </x:c>
      <x:c r="Y35" s="9" t="n">
        <x:f>IF(ISNUMBER(SEARCH("; conceptual discrimination; ","; "&amp;H35&amp;"; ")),1,0)</x:f>
        <x:v>0</x:v>
      </x:c>
      <x:c r="Z35" s="9" t="n">
        <x:f>IF(ISNUMBER(SEARCH("; evidence judgment; ","; "&amp;H35&amp;"; ")),1,0)</x:f>
        <x:v>1</x:v>
      </x:c>
      <x:c r="AA35" s="9" t="n">
        <x:f>IF(ISNUMBER(SEARCH("; methodological judgment; ","; "&amp;H35&amp;"; ")),1,0)</x:f>
        <x:v>1</x:v>
      </x:c>
      <x:c r="AB35" s="9" t="n">
        <x:f>IF(ISNUMBER(SEARCH("; argumentative judgment; ","; "&amp;H35&amp;"; ")),1,0)</x:f>
        <x:v>0</x:v>
      </x:c>
      <x:c r="AC35" s="9" t="n">
        <x:f>IF(ISNUMBER(SEARCH("; genre/writing expertise; ","; "&amp;H35&amp;"; ")),1,0)</x:f>
        <x:v>0</x:v>
      </x:c>
      <x:c r="AD35" s="9" t="n">
        <x:f>IF(ISNUMBER(SEARCH("; none; ","; "&amp;H35&amp;"; ")),1,0)</x:f>
        <x:v>0</x:v>
      </x:c>
    </x:row>
    <x:row r="36" ht="232" customHeight="1">
      <x:c r="A36" s="8" t="str">
        <x:v>P4-EXEC-026</x:v>
      </x:c>
      <x:c r="B36" s="9" t="n">
        <x:v>35</x:v>
      </x:c>
      <x:c r="C36" s="8" t="str">
        <x:v>SLR execution</x:v>
      </x:c>
      <x:c r="D36" s="8" t="str">
        <x:v>Okay, here are the PDFs that you said you don't have them. The pool size now should be 22, right? And also tell me if you have all the PDFs now in your workspace.</x:v>
      </x:c>
      <x:c r="E36" s="8" t="str">
        <x:v>Evaluation</x:v>
      </x:c>
      <x:c r="F36" s="8" t="str">
        <x:v>Knowledge injection</x:v>
      </x:c>
      <x:c r="G36" s="8" t="str">
        <x:v>Evaluative</x:v>
      </x:c>
      <x:c r="H36" s="8" t="str">
        <x:v>evidence judgment; methodological judgment</x:v>
      </x:c>
      <x:c r="I36" s="8" t="str">
        <x:v>Supplies requested PDFs and checks corrected pool size and document completeness.</x:v>
      </x:c>
      <x:c r="J36" s="8" t="str">
        <x:v>AI confirms 22 unique studies and reports one missing PDF.</x:v>
      </x:c>
      <x:c r="K36" s="8" t="str">
        <x:v>EXEC p58 L39-p58 L40</x:v>
      </x:c>
      <x:c r="L36" s="8" t="str">
        <x:v>EXEC p58 L41-p60 L2</x:v>
      </x:c>
      <x:c r="M36" s="8" t="str">
        <x:v>Discrete Prompt Optimization Using Genetic Algorithm for Secure Python Code Generation.pdf DOPROM~1.PDF
Do Users Write More Insecure Code with AI Assistants.pdf
An Empirical Evaluation of GitHub Copilot’s Code Suggestions.pdf
Assessing and Analyzing the Correctness of GitHub Copilot’s Code Suggestions.pdf
Assessing the Quality and Security of AI-Generated ....pdf
Choose Your Programming Copilot-a Comparison of Copilot vs Genetic Programming.pdf
Security Weaknesses of Copilot-Generated Code in GitHub Projects-An Empirical St.pdf
Don’t Settle for the First-How Many Copilot Solutions Should a Developer Consider.pdf
GitHub Copilot AI Pair Programmer-Asset or Liability.pdf
On the Robustness of Code Generation Techniques- an Empirical Study on Copilot.pdf</x:v>
      </x:c>
      <x:c r="N36" s="8" t="str">
        <x:v>Visible next AI response</x:v>
      </x:c>
      <x:c r="O36" s="8" t="str"/>
      <x:c r="P36" s="9" t="n">
        <x:f>IF(OR(E36="Delegation",ISNUMBER(SEARCH("; Delegation; ","; "&amp;F36&amp;"; "))),1,0)</x:f>
        <x:v>0</x:v>
      </x:c>
      <x:c r="Q36" s="9" t="n">
        <x:f>IF(OR(E36="Directed delegation",ISNUMBER(SEARCH("; Directed delegation; ","; "&amp;F36&amp;"; "))),1,0)</x:f>
        <x:v>0</x:v>
      </x:c>
      <x:c r="R36" s="9" t="n">
        <x:f>IF(OR(E36="Evaluation",ISNUMBER(SEARCH("; Evaluation; ","; "&amp;F36&amp;"; "))),1,0)</x:f>
        <x:v>1</x:v>
      </x:c>
      <x:c r="S36" s="9" t="n">
        <x:f>IF(OR(E36="Correction/Challenge",ISNUMBER(SEARCH("; Correction/Challenge; ","; "&amp;F36&amp;"; "))),1,0)</x:f>
        <x:v>0</x:v>
      </x:c>
      <x:c r="T36" s="9" t="n">
        <x:f>IF(OR(E36="Redirection",ISNUMBER(SEARCH("; Redirection; ","; "&amp;F36&amp;"; "))),1,0)</x:f>
        <x:v>0</x:v>
      </x:c>
      <x:c r="U36" s="9" t="n">
        <x:f>IF(OR(E36="Knowledge injection",ISNUMBER(SEARCH("; Knowledge injection; ","; "&amp;F36&amp;"; "))),1,0)</x:f>
        <x:v>1</x:v>
      </x:c>
      <x:c r="V36" s="9" t="n">
        <x:f>IF(OR(E36="Selection/Rejection",ISNUMBER(SEARCH("; Selection/Rejection; ","; "&amp;F36&amp;"; "))),1,0)</x:f>
        <x:v>0</x:v>
      </x:c>
      <x:c r="W36" s="9" t="n">
        <x:f>IF(OR(E36="Deliberation",ISNUMBER(SEARCH("; Deliberation; ","; "&amp;F36&amp;"; "))),1,0)</x:f>
        <x:v>0</x:v>
      </x:c>
      <x:c r="X36" s="9" t="n">
        <x:f>IF(ISNUMBER(SEARCH("; domain correction; ","; "&amp;H36&amp;"; ")),1,0)</x:f>
        <x:v>0</x:v>
      </x:c>
      <x:c r="Y36" s="9" t="n">
        <x:f>IF(ISNUMBER(SEARCH("; conceptual discrimination; ","; "&amp;H36&amp;"; ")),1,0)</x:f>
        <x:v>0</x:v>
      </x:c>
      <x:c r="Z36" s="9" t="n">
        <x:f>IF(ISNUMBER(SEARCH("; evidence judgment; ","; "&amp;H36&amp;"; ")),1,0)</x:f>
        <x:v>1</x:v>
      </x:c>
      <x:c r="AA36" s="9" t="n">
        <x:f>IF(ISNUMBER(SEARCH("; methodological judgment; ","; "&amp;H36&amp;"; ")),1,0)</x:f>
        <x:v>1</x:v>
      </x:c>
      <x:c r="AB36" s="9" t="n">
        <x:f>IF(ISNUMBER(SEARCH("; argumentative judgment; ","; "&amp;H36&amp;"; ")),1,0)</x:f>
        <x:v>0</x:v>
      </x:c>
      <x:c r="AC36" s="9" t="n">
        <x:f>IF(ISNUMBER(SEARCH("; genre/writing expertise; ","; "&amp;H36&amp;"; ")),1,0)</x:f>
        <x:v>0</x:v>
      </x:c>
      <x:c r="AD36" s="9" t="n">
        <x:f>IF(ISNUMBER(SEARCH("; none; ","; "&amp;H36&amp;"; ")),1,0)</x:f>
        <x:v>0</x:v>
      </x:c>
    </x:row>
    <x:row r="37" ht="64" customHeight="1">
      <x:c r="A37" s="8" t="str">
        <x:v>P4-EXEC-027</x:v>
      </x:c>
      <x:c r="B37" s="9" t="n">
        <x:v>36</x:v>
      </x:c>
      <x:c r="C37" s="8" t="str">
        <x:v>SLR execution</x:v>
      </x:c>
      <x:c r="D37" s="8" t="str">
        <x:v>and consider these two PDFs. all complete now?</x:v>
      </x:c>
      <x:c r="E37" s="8" t="str">
        <x:v>Evaluation</x:v>
      </x:c>
      <x:c r="F37" s="8" t="str">
        <x:v>Knowledge injection</x:v>
      </x:c>
      <x:c r="G37" s="8" t="str">
        <x:v>Evaluative</x:v>
      </x:c>
      <x:c r="H37" s="8" t="str">
        <x:v>evidence judgment</x:v>
      </x:c>
      <x:c r="I37" s="8" t="str">
        <x:v>Supplies further PDFs and checks whether full-text coverage is complete.</x:v>
      </x:c>
      <x:c r="J37" s="8" t="str">
        <x:v>AI claims all PDFs are now present and asks about quality/security classification.</x:v>
      </x:c>
      <x:c r="K37" s="8" t="str">
        <x:v>EXEC p60 L7-p60 L7</x:v>
      </x:c>
      <x:c r="L37" s="8" t="str">
        <x:v>EXEC p60 L8-p61 L7</x:v>
      </x:c>
      <x:c r="M37" s="8" t="str">
        <x:v>Quality Assessment of ChatGPT Generated Code and their Use by Developers.pdf
Assessing the quality of GitHub copilot’s code generation.pdf</x:v>
      </x:c>
      <x:c r="N37" s="8" t="str">
        <x:v>Visible next AI response</x:v>
      </x:c>
      <x:c r="O37" s="8" t="str"/>
      <x:c r="P37" s="9" t="n">
        <x:f>IF(OR(E37="Delegation",ISNUMBER(SEARCH("; Delegation; ","; "&amp;F37&amp;"; "))),1,0)</x:f>
        <x:v>0</x:v>
      </x:c>
      <x:c r="Q37" s="9" t="n">
        <x:f>IF(OR(E37="Directed delegation",ISNUMBER(SEARCH("; Directed delegation; ","; "&amp;F37&amp;"; "))),1,0)</x:f>
        <x:v>0</x:v>
      </x:c>
      <x:c r="R37" s="9" t="n">
        <x:f>IF(OR(E37="Evaluation",ISNUMBER(SEARCH("; Evaluation; ","; "&amp;F37&amp;"; "))),1,0)</x:f>
        <x:v>1</x:v>
      </x:c>
      <x:c r="S37" s="9" t="n">
        <x:f>IF(OR(E37="Correction/Challenge",ISNUMBER(SEARCH("; Correction/Challenge; ","; "&amp;F37&amp;"; "))),1,0)</x:f>
        <x:v>0</x:v>
      </x:c>
      <x:c r="T37" s="9" t="n">
        <x:f>IF(OR(E37="Redirection",ISNUMBER(SEARCH("; Redirection; ","; "&amp;F37&amp;"; "))),1,0)</x:f>
        <x:v>0</x:v>
      </x:c>
      <x:c r="U37" s="9" t="n">
        <x:f>IF(OR(E37="Knowledge injection",ISNUMBER(SEARCH("; Knowledge injection; ","; "&amp;F37&amp;"; "))),1,0)</x:f>
        <x:v>1</x:v>
      </x:c>
      <x:c r="V37" s="9" t="n">
        <x:f>IF(OR(E37="Selection/Rejection",ISNUMBER(SEARCH("; Selection/Rejection; ","; "&amp;F37&amp;"; "))),1,0)</x:f>
        <x:v>0</x:v>
      </x:c>
      <x:c r="W37" s="9" t="n">
        <x:f>IF(OR(E37="Deliberation",ISNUMBER(SEARCH("; Deliberation; ","; "&amp;F37&amp;"; "))),1,0)</x:f>
        <x:v>0</x:v>
      </x:c>
      <x:c r="X37" s="9" t="n">
        <x:f>IF(ISNUMBER(SEARCH("; domain correction; ","; "&amp;H37&amp;"; ")),1,0)</x:f>
        <x:v>0</x:v>
      </x:c>
      <x:c r="Y37" s="9" t="n">
        <x:f>IF(ISNUMBER(SEARCH("; conceptual discrimination; ","; "&amp;H37&amp;"; ")),1,0)</x:f>
        <x:v>0</x:v>
      </x:c>
      <x:c r="Z37" s="9" t="n">
        <x:f>IF(ISNUMBER(SEARCH("; evidence judgment; ","; "&amp;H37&amp;"; ")),1,0)</x:f>
        <x:v>1</x:v>
      </x:c>
      <x:c r="AA37" s="9" t="n">
        <x:f>IF(ISNUMBER(SEARCH("; methodological judgment; ","; "&amp;H37&amp;"; ")),1,0)</x:f>
        <x:v>0</x:v>
      </x:c>
      <x:c r="AB37" s="9" t="n">
        <x:f>IF(ISNUMBER(SEARCH("; argumentative judgment; ","; "&amp;H37&amp;"; ")),1,0)</x:f>
        <x:v>0</x:v>
      </x:c>
      <x:c r="AC37" s="9" t="n">
        <x:f>IF(ISNUMBER(SEARCH("; genre/writing expertise; ","; "&amp;H37&amp;"; ")),1,0)</x:f>
        <x:v>0</x:v>
      </x:c>
      <x:c r="AD37" s="9" t="n">
        <x:f>IF(ISNUMBER(SEARCH("; none; ","; "&amp;H37&amp;"; ")),1,0)</x:f>
        <x:v>0</x:v>
      </x:c>
    </x:row>
    <x:row r="38" ht="92" customHeight="1">
      <x:c r="A38" s="8" t="str">
        <x:v>P4-EXEC-028</x:v>
      </x:c>
      <x:c r="B38" s="9" t="n">
        <x:v>37</x:v>
      </x:c>
      <x:c r="C38" s="8" t="str">
        <x:v>SLR execution</x:v>
      </x:c>
      <x:c r="D38" s="8" t="str">
        <x:v>Now I want you to do, so we have 22 candidate papers. Now I want you to do the final test of inclusion-exclusion criteria on these 22. Just give me a table showing whether each paper passes the inclusion crtieria, and also, whether the paper shall not meet the exclusion criteria to be included, r…</x:v>
      </x:c>
      <x:c r="E38" s="8" t="str">
        <x:v>Directed delegation</x:v>
      </x:c>
      <x:c r="F38" s="8" t="str">
        <x:v>Evaluation</x:v>
      </x:c>
      <x:c r="G38" s="8" t="str">
        <x:v>Directive</x:v>
      </x:c>
      <x:c r="H38" s="8" t="str">
        <x:v>evidence judgment; methodological judgment</x:v>
      </x:c>
      <x:c r="I38" s="8" t="str">
        <x:v>Requires explicit final inclusion/exclusion decisions for every candidate.</x:v>
      </x:c>
      <x:c r="J38" s="8" t="str">
        <x:v>AI supplies a full-text screening table and claims all 22 qualify.</x:v>
      </x:c>
      <x:c r="K38" s="8" t="str">
        <x:v>EXEC p61 L8-p61 L10</x:v>
      </x:c>
      <x:c r="L38" s="8" t="str">
        <x:v>EXEC p61 L12-p62 L31</x:v>
      </x:c>
      <x:c r="M38" s="8" t="str"/>
      <x:c r="N38" s="8" t="str">
        <x:v>Visible next AI response</x:v>
      </x:c>
      <x:c r="O38" s="8" t="str"/>
      <x:c r="P38" s="9" t="n">
        <x:f>IF(OR(E38="Delegation",ISNUMBER(SEARCH("; Delegation; ","; "&amp;F38&amp;"; "))),1,0)</x:f>
        <x:v>0</x:v>
      </x:c>
      <x:c r="Q38" s="9" t="n">
        <x:f>IF(OR(E38="Directed delegation",ISNUMBER(SEARCH("; Directed delegation; ","; "&amp;F38&amp;"; "))),1,0)</x:f>
        <x:v>1</x:v>
      </x:c>
      <x:c r="R38" s="9" t="n">
        <x:f>IF(OR(E38="Evaluation",ISNUMBER(SEARCH("; Evaluation; ","; "&amp;F38&amp;"; "))),1,0)</x:f>
        <x:v>1</x:v>
      </x:c>
      <x:c r="S38" s="9" t="n">
        <x:f>IF(OR(E38="Correction/Challenge",ISNUMBER(SEARCH("; Correction/Challenge; ","; "&amp;F38&amp;"; "))),1,0)</x:f>
        <x:v>0</x:v>
      </x:c>
      <x:c r="T38" s="9" t="n">
        <x:f>IF(OR(E38="Redirection",ISNUMBER(SEARCH("; Redirection; ","; "&amp;F38&amp;"; "))),1,0)</x:f>
        <x:v>0</x:v>
      </x:c>
      <x:c r="U38" s="9" t="n">
        <x:f>IF(OR(E38="Knowledge injection",ISNUMBER(SEARCH("; Knowledge injection; ","; "&amp;F38&amp;"; "))),1,0)</x:f>
        <x:v>0</x:v>
      </x:c>
      <x:c r="V38" s="9" t="n">
        <x:f>IF(OR(E38="Selection/Rejection",ISNUMBER(SEARCH("; Selection/Rejection; ","; "&amp;F38&amp;"; "))),1,0)</x:f>
        <x:v>0</x:v>
      </x:c>
      <x:c r="W38" s="9" t="n">
        <x:f>IF(OR(E38="Deliberation",ISNUMBER(SEARCH("; Deliberation; ","; "&amp;F38&amp;"; "))),1,0)</x:f>
        <x:v>0</x:v>
      </x:c>
      <x:c r="X38" s="9" t="n">
        <x:f>IF(ISNUMBER(SEARCH("; domain correction; ","; "&amp;H38&amp;"; ")),1,0)</x:f>
        <x:v>0</x:v>
      </x:c>
      <x:c r="Y38" s="9" t="n">
        <x:f>IF(ISNUMBER(SEARCH("; conceptual discrimination; ","; "&amp;H38&amp;"; ")),1,0)</x:f>
        <x:v>0</x:v>
      </x:c>
      <x:c r="Z38" s="9" t="n">
        <x:f>IF(ISNUMBER(SEARCH("; evidence judgment; ","; "&amp;H38&amp;"; ")),1,0)</x:f>
        <x:v>1</x:v>
      </x:c>
      <x:c r="AA38" s="9" t="n">
        <x:f>IF(ISNUMBER(SEARCH("; methodological judgment; ","; "&amp;H38&amp;"; ")),1,0)</x:f>
        <x:v>1</x:v>
      </x:c>
      <x:c r="AB38" s="9" t="n">
        <x:f>IF(ISNUMBER(SEARCH("; argumentative judgment; ","; "&amp;H38&amp;"; ")),1,0)</x:f>
        <x:v>0</x:v>
      </x:c>
      <x:c r="AC38" s="9" t="n">
        <x:f>IF(ISNUMBER(SEARCH("; genre/writing expertise; ","; "&amp;H38&amp;"; ")),1,0)</x:f>
        <x:v>0</x:v>
      </x:c>
      <x:c r="AD38" s="9" t="n">
        <x:f>IF(ISNUMBER(SEARCH("; none; ","; "&amp;H38&amp;"; ")),1,0)</x:f>
        <x:v>0</x:v>
      </x:c>
    </x:row>
    <x:row r="39" ht="92" customHeight="1">
      <x:c r="A39" s="8" t="str">
        <x:v>P4-EXEC-029</x:v>
      </x:c>
      <x:c r="B39" s="9" t="n">
        <x:v>38</x:v>
      </x:c>
      <x:c r="C39" s="8" t="str">
        <x:v>SLR execution</x:v>
      </x:c>
      <x:c r="D39" s="8" t="str">
        <x:v>generate the PRISMA flow numbers</x:v>
      </x:c>
      <x:c r="E39" s="8" t="str">
        <x:v>Directed delegation</x:v>
      </x:c>
      <x:c r="F39" s="8" t="str"/>
      <x:c r="G39" s="8" t="str">
        <x:v>Directive</x:v>
      </x:c>
      <x:c r="H39" s="8" t="str">
        <x:v>methodological judgment</x:v>
      </x:c>
      <x:c r="I39" s="8" t="str">
        <x:v>Requests PRISMA flow counts in the established selection workflow.</x:v>
      </x:c>
      <x:c r="J39" s="8" t="str">
        <x:v>AI supplies exact search/screening numbers without an underlying search-record ledger in the visible log.</x:v>
      </x:c>
      <x:c r="K39" s="8" t="str">
        <x:v>EXEC p62 L32-p62 L32</x:v>
      </x:c>
      <x:c r="L39" s="8" t="str">
        <x:v>EXEC p62 L33-p64 L9</x:v>
      </x:c>
      <x:c r="M39" s="8" t="str"/>
      <x:c r="N39" s="8" t="str">
        <x:v>Visible next AI response</x:v>
      </x:c>
      <x:c r="O39" s="8" t="str">
        <x:v>The response introduces 132 database records, 11 additional records, 19 duplicates, 95 screening exclusions and 7 full-text exclusions. No record-level ledger supporting those exact figures is visible. Arithmetic consistency does not establish empirical provenance.</x:v>
      </x:c>
      <x:c r="P39" s="9" t="n">
        <x:f>IF(OR(E39="Delegation",ISNUMBER(SEARCH("; Delegation; ","; "&amp;F39&amp;"; "))),1,0)</x:f>
        <x:v>0</x:v>
      </x:c>
      <x:c r="Q39" s="9" t="n">
        <x:f>IF(OR(E39="Directed delegation",ISNUMBER(SEARCH("; Directed delegation; ","; "&amp;F39&amp;"; "))),1,0)</x:f>
        <x:v>1</x:v>
      </x:c>
      <x:c r="R39" s="9" t="n">
        <x:f>IF(OR(E39="Evaluation",ISNUMBER(SEARCH("; Evaluation; ","; "&amp;F39&amp;"; "))),1,0)</x:f>
        <x:v>0</x:v>
      </x:c>
      <x:c r="S39" s="9" t="n">
        <x:f>IF(OR(E39="Correction/Challenge",ISNUMBER(SEARCH("; Correction/Challenge; ","; "&amp;F39&amp;"; "))),1,0)</x:f>
        <x:v>0</x:v>
      </x:c>
      <x:c r="T39" s="9" t="n">
        <x:f>IF(OR(E39="Redirection",ISNUMBER(SEARCH("; Redirection; ","; "&amp;F39&amp;"; "))),1,0)</x:f>
        <x:v>0</x:v>
      </x:c>
      <x:c r="U39" s="9" t="n">
        <x:f>IF(OR(E39="Knowledge injection",ISNUMBER(SEARCH("; Knowledge injection; ","; "&amp;F39&amp;"; "))),1,0)</x:f>
        <x:v>0</x:v>
      </x:c>
      <x:c r="V39" s="9" t="n">
        <x:f>IF(OR(E39="Selection/Rejection",ISNUMBER(SEARCH("; Selection/Rejection; ","; "&amp;F39&amp;"; "))),1,0)</x:f>
        <x:v>0</x:v>
      </x:c>
      <x:c r="W39" s="9" t="n">
        <x:f>IF(OR(E39="Deliberation",ISNUMBER(SEARCH("; Deliberation; ","; "&amp;F39&amp;"; "))),1,0)</x:f>
        <x:v>0</x:v>
      </x:c>
      <x:c r="X39" s="9" t="n">
        <x:f>IF(ISNUMBER(SEARCH("; domain correction; ","; "&amp;H39&amp;"; ")),1,0)</x:f>
        <x:v>0</x:v>
      </x:c>
      <x:c r="Y39" s="9" t="n">
        <x:f>IF(ISNUMBER(SEARCH("; conceptual discrimination; ","; "&amp;H39&amp;"; ")),1,0)</x:f>
        <x:v>0</x:v>
      </x:c>
      <x:c r="Z39" s="9" t="n">
        <x:f>IF(ISNUMBER(SEARCH("; evidence judgment; ","; "&amp;H39&amp;"; ")),1,0)</x:f>
        <x:v>0</x:v>
      </x:c>
      <x:c r="AA39" s="9" t="n">
        <x:f>IF(ISNUMBER(SEARCH("; methodological judgment; ","; "&amp;H39&amp;"; ")),1,0)</x:f>
        <x:v>1</x:v>
      </x:c>
      <x:c r="AB39" s="9" t="n">
        <x:f>IF(ISNUMBER(SEARCH("; argumentative judgment; ","; "&amp;H39&amp;"; ")),1,0)</x:f>
        <x:v>0</x:v>
      </x:c>
      <x:c r="AC39" s="9" t="n">
        <x:f>IF(ISNUMBER(SEARCH("; genre/writing expertise; ","; "&amp;H39&amp;"; ")),1,0)</x:f>
        <x:v>0</x:v>
      </x:c>
      <x:c r="AD39" s="9" t="n">
        <x:f>IF(ISNUMBER(SEARCH("; none; ","; "&amp;H39&amp;"; ")),1,0)</x:f>
        <x:v>0</x:v>
      </x:c>
    </x:row>
    <x:row r="40" ht="92" customHeight="1">
      <x:c r="A40" s="8" t="str">
        <x:v>P4-EXEC-030</x:v>
      </x:c>
      <x:c r="B40" s="9" t="n">
        <x:v>39</x:v>
      </x:c>
      <x:c r="C40" s="8" t="str">
        <x:v>SLR execution</x:v>
      </x:c>
      <x:c r="D40" s="8" t="str">
        <x:v>Okay, we (you and I) have the 22 papers PDFs and also the list of them. We are both fully synch'ed. Now we are ready to re-extract the data and evidence from the papers, since our pool has changed sine the initial raw version of the pool. For each paper, I want the following items. Generate / syn…</x:v>
      </x:c>
      <x:c r="E40" s="8" t="str">
        <x:v>Directed delegation</x:v>
      </x:c>
      <x:c r="F40" s="8" t="str">
        <x:v>Redirection; Knowledge injection</x:v>
      </x:c>
      <x:c r="G40" s="8" t="str">
        <x:v>Directive</x:v>
      </x:c>
      <x:c r="H40" s="8" t="str">
        <x:v>evidence judgment; methodological judgment; genre/writing expertise</x:v>
      </x:c>
      <x:c r="I40" s="8" t="str">
        <x:v>Specifies a revised extraction schema, verbatim RQs or objectives, and a new collaboration-practices RQ.</x:v>
      </x:c>
      <x:c r="J40" s="8" t="str">
        <x:v>AI produces a re-extracted 22-study evidence matrix.</x:v>
      </x:c>
      <x:c r="K40" s="8" t="str">
        <x:v>EXEC p64 L10-p64 L22</x:v>
      </x:c>
      <x:c r="L40" s="8" t="str">
        <x:v>EXEC p64 L24-p68 L8</x:v>
      </x:c>
      <x:c r="M40" s="8" t="str"/>
      <x:c r="N40" s="8" t="str">
        <x:v>Visible next AI response</x:v>
      </x:c>
      <x:c r="O40" s="8" t="str"/>
      <x:c r="P40" s="9" t="n">
        <x:f>IF(OR(E40="Delegation",ISNUMBER(SEARCH("; Delegation; ","; "&amp;F40&amp;"; "))),1,0)</x:f>
        <x:v>0</x:v>
      </x:c>
      <x:c r="Q40" s="9" t="n">
        <x:f>IF(OR(E40="Directed delegation",ISNUMBER(SEARCH("; Directed delegation; ","; "&amp;F40&amp;"; "))),1,0)</x:f>
        <x:v>1</x:v>
      </x:c>
      <x:c r="R40" s="9" t="n">
        <x:f>IF(OR(E40="Evaluation",ISNUMBER(SEARCH("; Evaluation; ","; "&amp;F40&amp;"; "))),1,0)</x:f>
        <x:v>0</x:v>
      </x:c>
      <x:c r="S40" s="9" t="n">
        <x:f>IF(OR(E40="Correction/Challenge",ISNUMBER(SEARCH("; Correction/Challenge; ","; "&amp;F40&amp;"; "))),1,0)</x:f>
        <x:v>0</x:v>
      </x:c>
      <x:c r="T40" s="9" t="n">
        <x:f>IF(OR(E40="Redirection",ISNUMBER(SEARCH("; Redirection; ","; "&amp;F40&amp;"; "))),1,0)</x:f>
        <x:v>1</x:v>
      </x:c>
      <x:c r="U40" s="9" t="n">
        <x:f>IF(OR(E40="Knowledge injection",ISNUMBER(SEARCH("; Knowledge injection; ","; "&amp;F40&amp;"; "))),1,0)</x:f>
        <x:v>1</x:v>
      </x:c>
      <x:c r="V40" s="9" t="n">
        <x:f>IF(OR(E40="Selection/Rejection",ISNUMBER(SEARCH("; Selection/Rejection; ","; "&amp;F40&amp;"; "))),1,0)</x:f>
        <x:v>0</x:v>
      </x:c>
      <x:c r="W40" s="9" t="n">
        <x:f>IF(OR(E40="Deliberation",ISNUMBER(SEARCH("; Deliberation; ","; "&amp;F40&amp;"; "))),1,0)</x:f>
        <x:v>0</x:v>
      </x:c>
      <x:c r="X40" s="9" t="n">
        <x:f>IF(ISNUMBER(SEARCH("; domain correction; ","; "&amp;H40&amp;"; ")),1,0)</x:f>
        <x:v>0</x:v>
      </x:c>
      <x:c r="Y40" s="9" t="n">
        <x:f>IF(ISNUMBER(SEARCH("; conceptual discrimination; ","; "&amp;H40&amp;"; ")),1,0)</x:f>
        <x:v>0</x:v>
      </x:c>
      <x:c r="Z40" s="9" t="n">
        <x:f>IF(ISNUMBER(SEARCH("; evidence judgment; ","; "&amp;H40&amp;"; ")),1,0)</x:f>
        <x:v>1</x:v>
      </x:c>
      <x:c r="AA40" s="9" t="n">
        <x:f>IF(ISNUMBER(SEARCH("; methodological judgment; ","; "&amp;H40&amp;"; ")),1,0)</x:f>
        <x:v>1</x:v>
      </x:c>
      <x:c r="AB40" s="9" t="n">
        <x:f>IF(ISNUMBER(SEARCH("; argumentative judgment; ","; "&amp;H40&amp;"; ")),1,0)</x:f>
        <x:v>0</x:v>
      </x:c>
      <x:c r="AC40" s="9" t="n">
        <x:f>IF(ISNUMBER(SEARCH("; genre/writing expertise; ","; "&amp;H40&amp;"; ")),1,0)</x:f>
        <x:v>1</x:v>
      </x:c>
      <x:c r="AD40" s="9" t="n">
        <x:f>IF(ISNUMBER(SEARCH("; none; ","; "&amp;H40&amp;"; ")),1,0)</x:f>
        <x:v>0</x:v>
      </x:c>
    </x:row>
    <x:row r="41" ht="92" customHeight="1">
      <x:c r="A41" s="8" t="str">
        <x:v>P4-EXEC-031</x:v>
      </x:c>
      <x:c r="B41" s="9" t="n">
        <x:v>40</x:v>
      </x:c>
      <x:c r="C41" s="8" t="str">
        <x:v>SLR execution</x:v>
      </x:c>
      <x:c r="D41" s="8" t="str">
        <x:v>I now ask for a refinement. Do not regenerate the entire table, but for the column of list of RQs in each paper, I want to know whether the RQs were explicitly mentioned in the paper or whether you synthesized them by looking at the objective of the paper. Because for some of them, I can see that…</x:v>
      </x:c>
      <x:c r="E41" s="8" t="str">
        <x:v>Correction/Challenge</x:v>
      </x:c>
      <x:c r="F41" s="8" t="str">
        <x:v>Directed delegation; Evaluation</x:v>
      </x:c>
      <x:c r="G41" s="8" t="str">
        <x:v>Critical</x:v>
      </x:c>
      <x:c r="H41" s="8" t="str">
        <x:v>evidence judgment; methodological judgment</x:v>
      </x:c>
      <x:c r="I41" s="8" t="str">
        <x:v>Detects shortened RQ wording and requires explicit-versus-synthesized provenance using supplied PDFs.</x:v>
      </x:c>
      <x:c r="J41" s="8" t="str">
        <x:v>AI supplies an RQ-provenance table.</x:v>
      </x:c>
      <x:c r="K41" s="8" t="str">
        <x:v>EXEC p68 L9-p68 L14</x:v>
      </x:c>
      <x:c r="L41" s="8" t="str">
        <x:v>EXEC p68 L16-p69 L22</x:v>
      </x:c>
      <x:c r="M41" s="8" t="str"/>
      <x:c r="N41" s="8" t="str">
        <x:v>Visible next AI response</x:v>
      </x:c>
      <x:c r="O41" s="8" t="str">
        <x:v>AI marks RQs as explicit/synthesized, but labels are claims until checked against each primary PDF.</x:v>
      </x:c>
      <x:c r="P41" s="9" t="n">
        <x:f>IF(OR(E41="Delegation",ISNUMBER(SEARCH("; Delegation; ","; "&amp;F41&amp;"; "))),1,0)</x:f>
        <x:v>0</x:v>
      </x:c>
      <x:c r="Q41" s="9" t="n">
        <x:f>IF(OR(E41="Directed delegation",ISNUMBER(SEARCH("; Directed delegation; ","; "&amp;F41&amp;"; "))),1,0)</x:f>
        <x:v>1</x:v>
      </x:c>
      <x:c r="R41" s="9" t="n">
        <x:f>IF(OR(E41="Evaluation",ISNUMBER(SEARCH("; Evaluation; ","; "&amp;F41&amp;"; "))),1,0)</x:f>
        <x:v>1</x:v>
      </x:c>
      <x:c r="S41" s="9" t="n">
        <x:f>IF(OR(E41="Correction/Challenge",ISNUMBER(SEARCH("; Correction/Challenge; ","; "&amp;F41&amp;"; "))),1,0)</x:f>
        <x:v>1</x:v>
      </x:c>
      <x:c r="T41" s="9" t="n">
        <x:f>IF(OR(E41="Redirection",ISNUMBER(SEARCH("; Redirection; ","; "&amp;F41&amp;"; "))),1,0)</x:f>
        <x:v>0</x:v>
      </x:c>
      <x:c r="U41" s="9" t="n">
        <x:f>IF(OR(E41="Knowledge injection",ISNUMBER(SEARCH("; Knowledge injection; ","; "&amp;F41&amp;"; "))),1,0)</x:f>
        <x:v>0</x:v>
      </x:c>
      <x:c r="V41" s="9" t="n">
        <x:f>IF(OR(E41="Selection/Rejection",ISNUMBER(SEARCH("; Selection/Rejection; ","; "&amp;F41&amp;"; "))),1,0)</x:f>
        <x:v>0</x:v>
      </x:c>
      <x:c r="W41" s="9" t="n">
        <x:f>IF(OR(E41="Deliberation",ISNUMBER(SEARCH("; Deliberation; ","; "&amp;F41&amp;"; "))),1,0)</x:f>
        <x:v>0</x:v>
      </x:c>
      <x:c r="X41" s="9" t="n">
        <x:f>IF(ISNUMBER(SEARCH("; domain correction; ","; "&amp;H41&amp;"; ")),1,0)</x:f>
        <x:v>0</x:v>
      </x:c>
      <x:c r="Y41" s="9" t="n">
        <x:f>IF(ISNUMBER(SEARCH("; conceptual discrimination; ","; "&amp;H41&amp;"; ")),1,0)</x:f>
        <x:v>0</x:v>
      </x:c>
      <x:c r="Z41" s="9" t="n">
        <x:f>IF(ISNUMBER(SEARCH("; evidence judgment; ","; "&amp;H41&amp;"; ")),1,0)</x:f>
        <x:v>1</x:v>
      </x:c>
      <x:c r="AA41" s="9" t="n">
        <x:f>IF(ISNUMBER(SEARCH("; methodological judgment; ","; "&amp;H41&amp;"; ")),1,0)</x:f>
        <x:v>1</x:v>
      </x:c>
      <x:c r="AB41" s="9" t="n">
        <x:f>IF(ISNUMBER(SEARCH("; argumentative judgment; ","; "&amp;H41&amp;"; ")),1,0)</x:f>
        <x:v>0</x:v>
      </x:c>
      <x:c r="AC41" s="9" t="n">
        <x:f>IF(ISNUMBER(SEARCH("; genre/writing expertise; ","; "&amp;H41&amp;"; ")),1,0)</x:f>
        <x:v>0</x:v>
      </x:c>
      <x:c r="AD41" s="9" t="n">
        <x:f>IF(ISNUMBER(SEARCH("; none; ","; "&amp;H41&amp;"; ")),1,0)</x:f>
        <x:v>0</x:v>
      </x:c>
    </x:row>
    <x:row r="42" ht="92" customHeight="1">
      <x:c r="A42" s="8" t="str">
        <x:v>P4-EXEC-032</x:v>
      </x:c>
      <x:c r="B42" s="9" t="n">
        <x:v>41</x:v>
      </x:c>
      <x:c r="C42" s="8" t="str">
        <x:v>SLR execution</x:v>
      </x:c>
      <x:c r="D42" s="8" t="str">
        <x:v>Generate a table: column number one =the list of papers, column number two = list of RQs in each paper. Make sure the RQs have proper sentences, okay? For RQs of each paper in the table, I don't want short phrases, I want proper question sentences as appeared in the papers. Do not hallucinate, ju…</x:v>
      </x:c>
      <x:c r="E42" s="8" t="str">
        <x:v>Directed delegation</x:v>
      </x:c>
      <x:c r="F42" s="8" t="str">
        <x:v>Correction/Challenge</x:v>
      </x:c>
      <x:c r="G42" s="8" t="str">
        <x:v>Directive</x:v>
      </x:c>
      <x:c r="H42" s="8" t="str">
        <x:v>evidence judgment; genre/writing expertise</x:v>
      </x:c>
      <x:c r="I42" s="8" t="str">
        <x:v>Requires full verbatim question sentences and prohibits invented or paraphrased RQs.</x:v>
      </x:c>
      <x:c r="J42" s="8" t="str">
        <x:v>AI supplies purported exact RQs and marks absent formal RQs.</x:v>
      </x:c>
      <x:c r="K42" s="8" t="str">
        <x:v>EXEC p69 L23-p69 L25</x:v>
      </x:c>
      <x:c r="L42" s="8" t="str">
        <x:v>EXEC p69 L27-p71 L2</x:v>
      </x:c>
      <x:c r="M42" s="8" t="str"/>
      <x:c r="N42" s="8" t="str">
        <x:v>Visible next AI response</x:v>
      </x:c>
      <x:c r="O42" s="8" t="str"/>
      <x:c r="P42" s="9" t="n">
        <x:f>IF(OR(E42="Delegation",ISNUMBER(SEARCH("; Delegation; ","; "&amp;F42&amp;"; "))),1,0)</x:f>
        <x:v>0</x:v>
      </x:c>
      <x:c r="Q42" s="9" t="n">
        <x:f>IF(OR(E42="Directed delegation",ISNUMBER(SEARCH("; Directed delegation; ","; "&amp;F42&amp;"; "))),1,0)</x:f>
        <x:v>1</x:v>
      </x:c>
      <x:c r="R42" s="9" t="n">
        <x:f>IF(OR(E42="Evaluation",ISNUMBER(SEARCH("; Evaluation; ","; "&amp;F42&amp;"; "))),1,0)</x:f>
        <x:v>0</x:v>
      </x:c>
      <x:c r="S42" s="9" t="n">
        <x:f>IF(OR(E42="Correction/Challenge",ISNUMBER(SEARCH("; Correction/Challenge; ","; "&amp;F42&amp;"; "))),1,0)</x:f>
        <x:v>1</x:v>
      </x:c>
      <x:c r="T42" s="9" t="n">
        <x:f>IF(OR(E42="Redirection",ISNUMBER(SEARCH("; Redirection; ","; "&amp;F42&amp;"; "))),1,0)</x:f>
        <x:v>0</x:v>
      </x:c>
      <x:c r="U42" s="9" t="n">
        <x:f>IF(OR(E42="Knowledge injection",ISNUMBER(SEARCH("; Knowledge injection; ","; "&amp;F42&amp;"; "))),1,0)</x:f>
        <x:v>0</x:v>
      </x:c>
      <x:c r="V42" s="9" t="n">
        <x:f>IF(OR(E42="Selection/Rejection",ISNUMBER(SEARCH("; Selection/Rejection; ","; "&amp;F42&amp;"; "))),1,0)</x:f>
        <x:v>0</x:v>
      </x:c>
      <x:c r="W42" s="9" t="n">
        <x:f>IF(OR(E42="Deliberation",ISNUMBER(SEARCH("; Deliberation; ","; "&amp;F42&amp;"; "))),1,0)</x:f>
        <x:v>0</x:v>
      </x:c>
      <x:c r="X42" s="9" t="n">
        <x:f>IF(ISNUMBER(SEARCH("; domain correction; ","; "&amp;H42&amp;"; ")),1,0)</x:f>
        <x:v>0</x:v>
      </x:c>
      <x:c r="Y42" s="9" t="n">
        <x:f>IF(ISNUMBER(SEARCH("; conceptual discrimination; ","; "&amp;H42&amp;"; ")),1,0)</x:f>
        <x:v>0</x:v>
      </x:c>
      <x:c r="Z42" s="9" t="n">
        <x:f>IF(ISNUMBER(SEARCH("; evidence judgment; ","; "&amp;H42&amp;"; ")),1,0)</x:f>
        <x:v>1</x:v>
      </x:c>
      <x:c r="AA42" s="9" t="n">
        <x:f>IF(ISNUMBER(SEARCH("; methodological judgment; ","; "&amp;H42&amp;"; ")),1,0)</x:f>
        <x:v>0</x:v>
      </x:c>
      <x:c r="AB42" s="9" t="n">
        <x:f>IF(ISNUMBER(SEARCH("; argumentative judgment; ","; "&amp;H42&amp;"; ")),1,0)</x:f>
        <x:v>0</x:v>
      </x:c>
      <x:c r="AC42" s="9" t="n">
        <x:f>IF(ISNUMBER(SEARCH("; genre/writing expertise; ","; "&amp;H42&amp;"; ")),1,0)</x:f>
        <x:v>1</x:v>
      </x:c>
      <x:c r="AD42" s="9" t="n">
        <x:f>IF(ISNUMBER(SEARCH("; none; ","; "&amp;H42&amp;"; ")),1,0)</x:f>
        <x:v>0</x:v>
      </x:c>
    </x:row>
    <x:row r="43" ht="92" customHeight="1">
      <x:c r="A43" s="8" t="str">
        <x:v>P4-EXEC-033</x:v>
      </x:c>
      <x:c r="B43" s="9" t="n">
        <x:v>42</x:v>
      </x:c>
      <x:c r="C43" s="8" t="str">
        <x:v>SLR execution</x:v>
      </x:c>
      <x:c r="D43" s="8" t="str">
        <x:v>OK, now we want to start doing the synthesis of evidence, for the study's research questions RQ1..6. in terms of the pool of primary studies, you should have them in your memory and context files and the PDF files in your context. verify that. And I also give you the Excel file that I have, and i…</x:v>
      </x:c>
      <x:c r="E43" s="8" t="str">
        <x:v>Directed delegation</x:v>
      </x:c>
      <x:c r="F43" s="8" t="str">
        <x:v>Knowledge injection; Evaluation</x:v>
      </x:c>
      <x:c r="G43" s="8" t="str">
        <x:v>Directive</x:v>
      </x:c>
      <x:c r="H43" s="8" t="str">
        <x:v>evidence judgment; methodological judgment</x:v>
      </x:c>
      <x:c r="I43" s="8" t="str">
        <x:v>Supplies a cleaned extraction sheet and stable P1–P22 keys, requiring context verification and source-bound synthesis.</x:v>
      </x:c>
      <x:c r="J43" s="8" t="str">
        <x:v>AI confirms understanding/access and offers an RQ1 synthesis.</x:v>
      </x:c>
      <x:c r="K43" s="8" t="str">
        <x:v>EXEC p71 L6-p71 L13</x:v>
      </x:c>
      <x:c r="L43" s="8" t="str">
        <x:v>EXEC p71 L15-p72 L37</x:v>
      </x:c>
      <x:c r="M43" s="8" t="str">
        <x:v>Pool of Primary Studies and Extracted Data.xlsx</x:v>
      </x:c>
      <x:c r="N43" s="8" t="str">
        <x:v>Visible next AI response</x:v>
      </x:c>
      <x:c r="O43" s="8" t="str"/>
      <x:c r="P43" s="9" t="n">
        <x:f>IF(OR(E43="Delegation",ISNUMBER(SEARCH("; Delegation; ","; "&amp;F43&amp;"; "))),1,0)</x:f>
        <x:v>0</x:v>
      </x:c>
      <x:c r="Q43" s="9" t="n">
        <x:f>IF(OR(E43="Directed delegation",ISNUMBER(SEARCH("; Directed delegation; ","; "&amp;F43&amp;"; "))),1,0)</x:f>
        <x:v>1</x:v>
      </x:c>
      <x:c r="R43" s="9" t="n">
        <x:f>IF(OR(E43="Evaluation",ISNUMBER(SEARCH("; Evaluation; ","; "&amp;F43&amp;"; "))),1,0)</x:f>
        <x:v>1</x:v>
      </x:c>
      <x:c r="S43" s="9" t="n">
        <x:f>IF(OR(E43="Correction/Challenge",ISNUMBER(SEARCH("; Correction/Challenge; ","; "&amp;F43&amp;"; "))),1,0)</x:f>
        <x:v>0</x:v>
      </x:c>
      <x:c r="T43" s="9" t="n">
        <x:f>IF(OR(E43="Redirection",ISNUMBER(SEARCH("; Redirection; ","; "&amp;F43&amp;"; "))),1,0)</x:f>
        <x:v>0</x:v>
      </x:c>
      <x:c r="U43" s="9" t="n">
        <x:f>IF(OR(E43="Knowledge injection",ISNUMBER(SEARCH("; Knowledge injection; ","; "&amp;F43&amp;"; "))),1,0)</x:f>
        <x:v>1</x:v>
      </x:c>
      <x:c r="V43" s="9" t="n">
        <x:f>IF(OR(E43="Selection/Rejection",ISNUMBER(SEARCH("; Selection/Rejection; ","; "&amp;F43&amp;"; "))),1,0)</x:f>
        <x:v>0</x:v>
      </x:c>
      <x:c r="W43" s="9" t="n">
        <x:f>IF(OR(E43="Deliberation",ISNUMBER(SEARCH("; Deliberation; ","; "&amp;F43&amp;"; "))),1,0)</x:f>
        <x:v>0</x:v>
      </x:c>
      <x:c r="X43" s="9" t="n">
        <x:f>IF(ISNUMBER(SEARCH("; domain correction; ","; "&amp;H43&amp;"; ")),1,0)</x:f>
        <x:v>0</x:v>
      </x:c>
      <x:c r="Y43" s="9" t="n">
        <x:f>IF(ISNUMBER(SEARCH("; conceptual discrimination; ","; "&amp;H43&amp;"; ")),1,0)</x:f>
        <x:v>0</x:v>
      </x:c>
      <x:c r="Z43" s="9" t="n">
        <x:f>IF(ISNUMBER(SEARCH("; evidence judgment; ","; "&amp;H43&amp;"; ")),1,0)</x:f>
        <x:v>1</x:v>
      </x:c>
      <x:c r="AA43" s="9" t="n">
        <x:f>IF(ISNUMBER(SEARCH("; methodological judgment; ","; "&amp;H43&amp;"; ")),1,0)</x:f>
        <x:v>1</x:v>
      </x:c>
      <x:c r="AB43" s="9" t="n">
        <x:f>IF(ISNUMBER(SEARCH("; argumentative judgment; ","; "&amp;H43&amp;"; ")),1,0)</x:f>
        <x:v>0</x:v>
      </x:c>
      <x:c r="AC43" s="9" t="n">
        <x:f>IF(ISNUMBER(SEARCH("; genre/writing expertise; ","; "&amp;H43&amp;"; ")),1,0)</x:f>
        <x:v>0</x:v>
      </x:c>
      <x:c r="AD43" s="9" t="n">
        <x:f>IF(ISNUMBER(SEARCH("; none; ","; "&amp;H43&amp;"; ")),1,0)</x:f>
        <x:v>0</x:v>
      </x:c>
    </x:row>
    <x:row r="44" ht="92" customHeight="1">
      <x:c r="A44" s="8" t="str">
        <x:v>P4-EXEC-034</x:v>
      </x:c>
      <x:c r="B44" s="9" t="n">
        <x:v>43</x:v>
      </x:c>
      <x:c r="C44" s="8" t="str">
        <x:v>SLR execution</x:v>
      </x:c>
      <x:c r="D44" s="8" t="str">
        <x:v>to add to 4.2.4 Prompt Engineering , Give me a paragraph like in a meta level related to my last prompt. For example, I told you to be ready for the data extraction and synthesis of evidence, and I told you not to do internet searches, and I ensured that you fully understand what we agreed on. Is…</x:v>
      </x:c>
      <x:c r="E44" s="8" t="str">
        <x:v>Directed delegation</x:v>
      </x:c>
      <x:c r="F44" s="8" t="str">
        <x:v>Knowledge injection; Evaluation</x:v>
      </x:c>
      <x:c r="G44" s="8" t="str">
        <x:v>Directive</x:v>
      </x:c>
      <x:c r="H44" s="8" t="str">
        <x:v>methodological judgment; argumentative judgment</x:v>
      </x:c>
      <x:c r="I44" s="8" t="str">
        <x:v>Supplies a reflection on synchronization and requests a methods paragraph and a name for the practice; no explicit comparison of alternatives.</x:v>
      </x:c>
      <x:c r="J44" s="8" t="str">
        <x:v>AI drafts an alignment/context-verification methods paragraph.</x:v>
      </x:c>
      <x:c r="K44" s="8" t="str">
        <x:v>EXEC p72 L38-p73 L2</x:v>
      </x:c>
      <x:c r="L44" s="8" t="str">
        <x:v>EXEC p73 L4-p73 L17</x:v>
      </x:c>
      <x:c r="M44" s="8" t="str"/>
      <x:c r="N44" s="8" t="str">
        <x:v>Visible next AI response</x:v>
      </x:c>
      <x:c r="O44" s="8" t="str">
        <x:v>Heuristic interpretation is the researcher’s own reflection; the AI proposed names are not independently verified as established terminology.</x:v>
      </x:c>
      <x:c r="P44" s="9" t="n">
        <x:f>IF(OR(E44="Delegation",ISNUMBER(SEARCH("; Delegation; ","; "&amp;F44&amp;"; "))),1,0)</x:f>
        <x:v>0</x:v>
      </x:c>
      <x:c r="Q44" s="9" t="n">
        <x:f>IF(OR(E44="Directed delegation",ISNUMBER(SEARCH("; Directed delegation; ","; "&amp;F44&amp;"; "))),1,0)</x:f>
        <x:v>1</x:v>
      </x:c>
      <x:c r="R44" s="9" t="n">
        <x:f>IF(OR(E44="Evaluation",ISNUMBER(SEARCH("; Evaluation; ","; "&amp;F44&amp;"; "))),1,0)</x:f>
        <x:v>1</x:v>
      </x:c>
      <x:c r="S44" s="9" t="n">
        <x:f>IF(OR(E44="Correction/Challenge",ISNUMBER(SEARCH("; Correction/Challenge; ","; "&amp;F44&amp;"; "))),1,0)</x:f>
        <x:v>0</x:v>
      </x:c>
      <x:c r="T44" s="9" t="n">
        <x:f>IF(OR(E44="Redirection",ISNUMBER(SEARCH("; Redirection; ","; "&amp;F44&amp;"; "))),1,0)</x:f>
        <x:v>0</x:v>
      </x:c>
      <x:c r="U44" s="9" t="n">
        <x:f>IF(OR(E44="Knowledge injection",ISNUMBER(SEARCH("; Knowledge injection; ","; "&amp;F44&amp;"; "))),1,0)</x:f>
        <x:v>1</x:v>
      </x:c>
      <x:c r="V44" s="9" t="n">
        <x:f>IF(OR(E44="Selection/Rejection",ISNUMBER(SEARCH("; Selection/Rejection; ","; "&amp;F44&amp;"; "))),1,0)</x:f>
        <x:v>0</x:v>
      </x:c>
      <x:c r="W44" s="9" t="n">
        <x:f>IF(OR(E44="Deliberation",ISNUMBER(SEARCH("; Deliberation; ","; "&amp;F44&amp;"; "))),1,0)</x:f>
        <x:v>0</x:v>
      </x:c>
      <x:c r="X44" s="9" t="n">
        <x:f>IF(ISNUMBER(SEARCH("; domain correction; ","; "&amp;H44&amp;"; ")),1,0)</x:f>
        <x:v>0</x:v>
      </x:c>
      <x:c r="Y44" s="9" t="n">
        <x:f>IF(ISNUMBER(SEARCH("; conceptual discrimination; ","; "&amp;H44&amp;"; ")),1,0)</x:f>
        <x:v>0</x:v>
      </x:c>
      <x:c r="Z44" s="9" t="n">
        <x:f>IF(ISNUMBER(SEARCH("; evidence judgment; ","; "&amp;H44&amp;"; ")),1,0)</x:f>
        <x:v>0</x:v>
      </x:c>
      <x:c r="AA44" s="9" t="n">
        <x:f>IF(ISNUMBER(SEARCH("; methodological judgment; ","; "&amp;H44&amp;"; ")),1,0)</x:f>
        <x:v>1</x:v>
      </x:c>
      <x:c r="AB44" s="9" t="n">
        <x:f>IF(ISNUMBER(SEARCH("; argumentative judgment; ","; "&amp;H44&amp;"; ")),1,0)</x:f>
        <x:v>1</x:v>
      </x:c>
      <x:c r="AC44" s="9" t="n">
        <x:f>IF(ISNUMBER(SEARCH("; genre/writing expertise; ","; "&amp;H44&amp;"; ")),1,0)</x:f>
        <x:v>0</x:v>
      </x:c>
      <x:c r="AD44" s="9" t="n">
        <x:f>IF(ISNUMBER(SEARCH("; none; ","; "&amp;H44&amp;"; ")),1,0)</x:f>
        <x:v>0</x:v>
      </x:c>
    </x:row>
    <x:row r="45" ht="60" customHeight="1">
      <x:c r="A45" s="8" t="str">
        <x:v>P4-EXEC-035</x:v>
      </x:c>
      <x:c r="B45" s="9" t="n">
        <x:v>44</x:v>
      </x:c>
      <x:c r="C45" s="8" t="str">
        <x:v>SLR execution</x:v>
      </x:c>
      <x:c r="D45" s="8" t="str">
        <x:v>Is there a name for the above heuristic? Is there any established term?</x:v>
      </x:c>
      <x:c r="E45" s="8" t="str">
        <x:v>Evaluation</x:v>
      </x:c>
      <x:c r="F45" s="8" t="str"/>
      <x:c r="G45" s="8" t="str">
        <x:v>Evaluative</x:v>
      </x:c>
      <x:c r="H45" s="8" t="str">
        <x:v>evidence judgment; conceptual discrimination</x:v>
      </x:c>
      <x:c r="I45" s="8" t="str">
        <x:v>Checks whether the proposed heuristic has an established term.</x:v>
      </x:c>
      <x:c r="J45" s="8" t="str">
        <x:v>AI proposes related names while saying no single standardized term exists.</x:v>
      </x:c>
      <x:c r="K45" s="8" t="str">
        <x:v>EXEC p73 L18-p73 L18</x:v>
      </x:c>
      <x:c r="L45" s="8" t="str">
        <x:v>EXEC p73 L19-p74 L14</x:v>
      </x:c>
      <x:c r="M45" s="8" t="str"/>
      <x:c r="N45" s="8" t="str">
        <x:v>Visible next AI response</x:v>
      </x:c>
      <x:c r="O45" s="8" t="str">
        <x:v>AI supplies related terms; this coding does not validate their standing in the literature.</x:v>
      </x:c>
      <x:c r="P45" s="9" t="n">
        <x:f>IF(OR(E45="Delegation",ISNUMBER(SEARCH("; Delegation; ","; "&amp;F45&amp;"; "))),1,0)</x:f>
        <x:v>0</x:v>
      </x:c>
      <x:c r="Q45" s="9" t="n">
        <x:f>IF(OR(E45="Directed delegation",ISNUMBER(SEARCH("; Directed delegation; ","; "&amp;F45&amp;"; "))),1,0)</x:f>
        <x:v>0</x:v>
      </x:c>
      <x:c r="R45" s="9" t="n">
        <x:f>IF(OR(E45="Evaluation",ISNUMBER(SEARCH("; Evaluation; ","; "&amp;F45&amp;"; "))),1,0)</x:f>
        <x:v>1</x:v>
      </x:c>
      <x:c r="S45" s="9" t="n">
        <x:f>IF(OR(E45="Correction/Challenge",ISNUMBER(SEARCH("; Correction/Challenge; ","; "&amp;F45&amp;"; "))),1,0)</x:f>
        <x:v>0</x:v>
      </x:c>
      <x:c r="T45" s="9" t="n">
        <x:f>IF(OR(E45="Redirection",ISNUMBER(SEARCH("; Redirection; ","; "&amp;F45&amp;"; "))),1,0)</x:f>
        <x:v>0</x:v>
      </x:c>
      <x:c r="U45" s="9" t="n">
        <x:f>IF(OR(E45="Knowledge injection",ISNUMBER(SEARCH("; Knowledge injection; ","; "&amp;F45&amp;"; "))),1,0)</x:f>
        <x:v>0</x:v>
      </x:c>
      <x:c r="V45" s="9" t="n">
        <x:f>IF(OR(E45="Selection/Rejection",ISNUMBER(SEARCH("; Selection/Rejection; ","; "&amp;F45&amp;"; "))),1,0)</x:f>
        <x:v>0</x:v>
      </x:c>
      <x:c r="W45" s="9" t="n">
        <x:f>IF(OR(E45="Deliberation",ISNUMBER(SEARCH("; Deliberation; ","; "&amp;F45&amp;"; "))),1,0)</x:f>
        <x:v>0</x:v>
      </x:c>
      <x:c r="X45" s="9" t="n">
        <x:f>IF(ISNUMBER(SEARCH("; domain correction; ","; "&amp;H45&amp;"; ")),1,0)</x:f>
        <x:v>0</x:v>
      </x:c>
      <x:c r="Y45" s="9" t="n">
        <x:f>IF(ISNUMBER(SEARCH("; conceptual discrimination; ","; "&amp;H45&amp;"; ")),1,0)</x:f>
        <x:v>1</x:v>
      </x:c>
      <x:c r="Z45" s="9" t="n">
        <x:f>IF(ISNUMBER(SEARCH("; evidence judgment; ","; "&amp;H45&amp;"; ")),1,0)</x:f>
        <x:v>1</x:v>
      </x:c>
      <x:c r="AA45" s="9" t="n">
        <x:f>IF(ISNUMBER(SEARCH("; methodological judgment; ","; "&amp;H45&amp;"; ")),1,0)</x:f>
        <x:v>0</x:v>
      </x:c>
      <x:c r="AB45" s="9" t="n">
        <x:f>IF(ISNUMBER(SEARCH("; argumentative judgment; ","; "&amp;H45&amp;"; ")),1,0)</x:f>
        <x:v>0</x:v>
      </x:c>
      <x:c r="AC45" s="9" t="n">
        <x:f>IF(ISNUMBER(SEARCH("; genre/writing expertise; ","; "&amp;H45&amp;"; ")),1,0)</x:f>
        <x:v>0</x:v>
      </x:c>
      <x:c r="AD45" s="9" t="n">
        <x:f>IF(ISNUMBER(SEARCH("; none; ","; "&amp;H45&amp;"; ")),1,0)</x:f>
        <x:v>0</x:v>
      </x:c>
    </x:row>
    <x:row r="46" ht="64" customHeight="1">
      <x:c r="A46" s="8" t="str">
        <x:v>P4-EXEC-036</x:v>
      </x:c>
      <x:c r="B46" s="9" t="n">
        <x:v>45</x:v>
      </x:c>
      <x:c r="C46" s="8" t="str">
        <x:v>SLR execution</x:v>
      </x:c>
      <x:c r="D46" s="8" t="str">
        <x:v>give a short paragraph and refer to the above four and say that what we did followed the above heuristics and principles that are more broadly established in the AI community.</x:v>
      </x:c>
      <x:c r="E46" s="8" t="str">
        <x:v>Directed delegation</x:v>
      </x:c>
      <x:c r="F46" s="8" t="str"/>
      <x:c r="G46" s="8" t="str">
        <x:v>Directive</x:v>
      </x:c>
      <x:c r="H46" s="8" t="str">
        <x:v>methodological judgment; argumentative judgment; genre/writing expertise</x:v>
      </x:c>
      <x:c r="I46" s="8" t="str">
        <x:v>Requires a concise paragraph relating the workflow to four proposed principles.</x:v>
      </x:c>
      <x:c r="J46" s="8" t="str">
        <x:v>AI drafts a principles-based alignment paragraph.</x:v>
      </x:c>
      <x:c r="K46" s="8" t="str">
        <x:v>EXEC p74 L15-p74 L16</x:v>
      </x:c>
      <x:c r="L46" s="8" t="str">
        <x:v>EXEC p74 L17-p74 L23</x:v>
      </x:c>
      <x:c r="M46" s="8" t="str"/>
      <x:c r="N46" s="8" t="str">
        <x:v>Visible next AI response</x:v>
      </x:c>
      <x:c r="O46" s="8" t="str">
        <x:v>The requested established-principle framing is not evidence that each term is standardized.</x:v>
      </x:c>
      <x:c r="P46" s="9" t="n">
        <x:f>IF(OR(E46="Delegation",ISNUMBER(SEARCH("; Delegation; ","; "&amp;F46&amp;"; "))),1,0)</x:f>
        <x:v>0</x:v>
      </x:c>
      <x:c r="Q46" s="9" t="n">
        <x:f>IF(OR(E46="Directed delegation",ISNUMBER(SEARCH("; Directed delegation; ","; "&amp;F46&amp;"; "))),1,0)</x:f>
        <x:v>1</x:v>
      </x:c>
      <x:c r="R46" s="9" t="n">
        <x:f>IF(OR(E46="Evaluation",ISNUMBER(SEARCH("; Evaluation; ","; "&amp;F46&amp;"; "))),1,0)</x:f>
        <x:v>0</x:v>
      </x:c>
      <x:c r="S46" s="9" t="n">
        <x:f>IF(OR(E46="Correction/Challenge",ISNUMBER(SEARCH("; Correction/Challenge; ","; "&amp;F46&amp;"; "))),1,0)</x:f>
        <x:v>0</x:v>
      </x:c>
      <x:c r="T46" s="9" t="n">
        <x:f>IF(OR(E46="Redirection",ISNUMBER(SEARCH("; Redirection; ","; "&amp;F46&amp;"; "))),1,0)</x:f>
        <x:v>0</x:v>
      </x:c>
      <x:c r="U46" s="9" t="n">
        <x:f>IF(OR(E46="Knowledge injection",ISNUMBER(SEARCH("; Knowledge injection; ","; "&amp;F46&amp;"; "))),1,0)</x:f>
        <x:v>0</x:v>
      </x:c>
      <x:c r="V46" s="9" t="n">
        <x:f>IF(OR(E46="Selection/Rejection",ISNUMBER(SEARCH("; Selection/Rejection; ","; "&amp;F46&amp;"; "))),1,0)</x:f>
        <x:v>0</x:v>
      </x:c>
      <x:c r="W46" s="9" t="n">
        <x:f>IF(OR(E46="Deliberation",ISNUMBER(SEARCH("; Deliberation; ","; "&amp;F46&amp;"; "))),1,0)</x:f>
        <x:v>0</x:v>
      </x:c>
      <x:c r="X46" s="9" t="n">
        <x:f>IF(ISNUMBER(SEARCH("; domain correction; ","; "&amp;H46&amp;"; ")),1,0)</x:f>
        <x:v>0</x:v>
      </x:c>
      <x:c r="Y46" s="9" t="n">
        <x:f>IF(ISNUMBER(SEARCH("; conceptual discrimination; ","; "&amp;H46&amp;"; ")),1,0)</x:f>
        <x:v>0</x:v>
      </x:c>
      <x:c r="Z46" s="9" t="n">
        <x:f>IF(ISNUMBER(SEARCH("; evidence judgment; ","; "&amp;H46&amp;"; ")),1,0)</x:f>
        <x:v>0</x:v>
      </x:c>
      <x:c r="AA46" s="9" t="n">
        <x:f>IF(ISNUMBER(SEARCH("; methodological judgment; ","; "&amp;H46&amp;"; ")),1,0)</x:f>
        <x:v>1</x:v>
      </x:c>
      <x:c r="AB46" s="9" t="n">
        <x:f>IF(ISNUMBER(SEARCH("; argumentative judgment; ","; "&amp;H46&amp;"; ")),1,0)</x:f>
        <x:v>1</x:v>
      </x:c>
      <x:c r="AC46" s="9" t="n">
        <x:f>IF(ISNUMBER(SEARCH("; genre/writing expertise; ","; "&amp;H46&amp;"; ")),1,0)</x:f>
        <x:v>1</x:v>
      </x:c>
      <x:c r="AD46" s="9" t="n">
        <x:f>IF(ISNUMBER(SEARCH("; none; ","; "&amp;H46&amp;"; ")),1,0)</x:f>
        <x:v>0</x:v>
      </x:c>
    </x:row>
    <x:row r="47" ht="64" customHeight="1">
      <x:c r="A47" s="8" t="str">
        <x:v>P4-EXEC-037</x:v>
      </x:c>
      <x:c r="B47" s="9" t="n">
        <x:v>46</x:v>
      </x:c>
      <x:c r="C47" s="8" t="str">
        <x:v>SLR execution</x:v>
      </x:c>
      <x:c r="D47" s="8" t="str">
        <x:v>give 5.1 RQ1 … cite ~10 … do not hallucinate … read from paper PDFs … Present the taxonomy of influencing factors … Include a summary table.</x:v>
      </x:c>
      <x:c r="E47" s="8" t="str">
        <x:v>Directed delegation</x:v>
      </x:c>
      <x:c r="F47" s="8" t="str">
        <x:v>Knowledge injection</x:v>
      </x:c>
      <x:c r="G47" s="8" t="str">
        <x:v>Directive</x:v>
      </x:c>
      <x:c r="H47" s="8" t="str">
        <x:v>evidence judgment; methodological judgment; genre/writing expertise</x:v>
      </x:c>
      <x:c r="I47" s="8" t="str">
        <x:v>Provides taxonomy hints, source constraints and a requested summary table for RQ1 synthesis.</x:v>
      </x:c>
      <x:c r="J47" s="8" t="str">
        <x:v>AI supplies narrative factor synthesis and category counts.</x:v>
      </x:c>
      <x:c r="K47" s="8" t="str">
        <x:v>EXEC p74 L24-p74 L49</x:v>
      </x:c>
      <x:c r="L47" s="8" t="str">
        <x:v>EXEC p74 L51-p76 L2</x:v>
      </x:c>
      <x:c r="M47" s="8" t="str"/>
      <x:c r="N47" s="8" t="str">
        <x:v>Visible next AI response</x:v>
      </x:c>
      <x:c r="O47" s="8" t="str"/>
      <x:c r="P47" s="9" t="n">
        <x:f>IF(OR(E47="Delegation",ISNUMBER(SEARCH("; Delegation; ","; "&amp;F47&amp;"; "))),1,0)</x:f>
        <x:v>0</x:v>
      </x:c>
      <x:c r="Q47" s="9" t="n">
        <x:f>IF(OR(E47="Directed delegation",ISNUMBER(SEARCH("; Directed delegation; ","; "&amp;F47&amp;"; "))),1,0)</x:f>
        <x:v>1</x:v>
      </x:c>
      <x:c r="R47" s="9" t="n">
        <x:f>IF(OR(E47="Evaluation",ISNUMBER(SEARCH("; Evaluation; ","; "&amp;F47&amp;"; "))),1,0)</x:f>
        <x:v>0</x:v>
      </x:c>
      <x:c r="S47" s="9" t="n">
        <x:f>IF(OR(E47="Correction/Challenge",ISNUMBER(SEARCH("; Correction/Challenge; ","; "&amp;F47&amp;"; "))),1,0)</x:f>
        <x:v>0</x:v>
      </x:c>
      <x:c r="T47" s="9" t="n">
        <x:f>IF(OR(E47="Redirection",ISNUMBER(SEARCH("; Redirection; ","; "&amp;F47&amp;"; "))),1,0)</x:f>
        <x:v>0</x:v>
      </x:c>
      <x:c r="U47" s="9" t="n">
        <x:f>IF(OR(E47="Knowledge injection",ISNUMBER(SEARCH("; Knowledge injection; ","; "&amp;F47&amp;"; "))),1,0)</x:f>
        <x:v>1</x:v>
      </x:c>
      <x:c r="V47" s="9" t="n">
        <x:f>IF(OR(E47="Selection/Rejection",ISNUMBER(SEARCH("; Selection/Rejection; ","; "&amp;F47&amp;"; "))),1,0)</x:f>
        <x:v>0</x:v>
      </x:c>
      <x:c r="W47" s="9" t="n">
        <x:f>IF(OR(E47="Deliberation",ISNUMBER(SEARCH("; Deliberation; ","; "&amp;F47&amp;"; "))),1,0)</x:f>
        <x:v>0</x:v>
      </x:c>
      <x:c r="X47" s="9" t="n">
        <x:f>IF(ISNUMBER(SEARCH("; domain correction; ","; "&amp;H47&amp;"; ")),1,0)</x:f>
        <x:v>0</x:v>
      </x:c>
      <x:c r="Y47" s="9" t="n">
        <x:f>IF(ISNUMBER(SEARCH("; conceptual discrimination; ","; "&amp;H47&amp;"; ")),1,0)</x:f>
        <x:v>0</x:v>
      </x:c>
      <x:c r="Z47" s="9" t="n">
        <x:f>IF(ISNUMBER(SEARCH("; evidence judgment; ","; "&amp;H47&amp;"; ")),1,0)</x:f>
        <x:v>1</x:v>
      </x:c>
      <x:c r="AA47" s="9" t="n">
        <x:f>IF(ISNUMBER(SEARCH("; methodological judgment; ","; "&amp;H47&amp;"; ")),1,0)</x:f>
        <x:v>1</x:v>
      </x:c>
      <x:c r="AB47" s="9" t="n">
        <x:f>IF(ISNUMBER(SEARCH("; argumentative judgment; ","; "&amp;H47&amp;"; ")),1,0)</x:f>
        <x:v>0</x:v>
      </x:c>
      <x:c r="AC47" s="9" t="n">
        <x:f>IF(ISNUMBER(SEARCH("; genre/writing expertise; ","; "&amp;H47&amp;"; ")),1,0)</x:f>
        <x:v>1</x:v>
      </x:c>
      <x:c r="AD47" s="9" t="n">
        <x:f>IF(ISNUMBER(SEARCH("; none; ","; "&amp;H47&amp;"; ")),1,0)</x:f>
        <x:v>0</x:v>
      </x:c>
    </x:row>
    <x:row r="48" ht="60" customHeight="1">
      <x:c r="A48" s="8" t="str">
        <x:v>P4-EXEC-038</x:v>
      </x:c>
      <x:c r="B48" s="9" t="n">
        <x:v>47</x:v>
      </x:c>
      <x:c r="C48" s="8" t="str">
        <x:v>SLR execution</x:v>
      </x:c>
      <x:c r="D48" s="8" t="str">
        <x:v>rephase "freshness of tasks" to make it understable</x:v>
      </x:c>
      <x:c r="E48" s="8" t="str">
        <x:v>Correction/Challenge</x:v>
      </x:c>
      <x:c r="F48" s="8" t="str">
        <x:v>Directed delegation</x:v>
      </x:c>
      <x:c r="G48" s="8" t="str">
        <x:v>Critical</x:v>
      </x:c>
      <x:c r="H48" s="8" t="str">
        <x:v>genre/writing expertise</x:v>
      </x:c>
      <x:c r="I48" s="8" t="str">
        <x:v>Identifies unclear task-freshness wording and requests a clearer phrase.</x:v>
      </x:c>
      <x:c r="J48" s="8" t="str">
        <x:v>AI proposes alternatives centered on relation to training data.</x:v>
      </x:c>
      <x:c r="K48" s="8" t="str">
        <x:v>EXEC p76 L4-p76 L4</x:v>
      </x:c>
      <x:c r="L48" s="8" t="str">
        <x:v>EXEC p76 L5-p76 L18</x:v>
      </x:c>
      <x:c r="M48" s="8" t="str"/>
      <x:c r="N48" s="8" t="str">
        <x:v>Visible next AI response</x:v>
      </x:c>
      <x:c r="O48" s="8" t="str"/>
      <x:c r="P48" s="9" t="n">
        <x:f>IF(OR(E48="Delegation",ISNUMBER(SEARCH("; Delegation; ","; "&amp;F48&amp;"; "))),1,0)</x:f>
        <x:v>0</x:v>
      </x:c>
      <x:c r="Q48" s="9" t="n">
        <x:f>IF(OR(E48="Directed delegation",ISNUMBER(SEARCH("; Directed delegation; ","; "&amp;F48&amp;"; "))),1,0)</x:f>
        <x:v>1</x:v>
      </x:c>
      <x:c r="R48" s="9" t="n">
        <x:f>IF(OR(E48="Evaluation",ISNUMBER(SEARCH("; Evaluation; ","; "&amp;F48&amp;"; "))),1,0)</x:f>
        <x:v>0</x:v>
      </x:c>
      <x:c r="S48" s="9" t="n">
        <x:f>IF(OR(E48="Correction/Challenge",ISNUMBER(SEARCH("; Correction/Challenge; ","; "&amp;F48&amp;"; "))),1,0)</x:f>
        <x:v>1</x:v>
      </x:c>
      <x:c r="T48" s="9" t="n">
        <x:f>IF(OR(E48="Redirection",ISNUMBER(SEARCH("; Redirection; ","; "&amp;F48&amp;"; "))),1,0)</x:f>
        <x:v>0</x:v>
      </x:c>
      <x:c r="U48" s="9" t="n">
        <x:f>IF(OR(E48="Knowledge injection",ISNUMBER(SEARCH("; Knowledge injection; ","; "&amp;F48&amp;"; "))),1,0)</x:f>
        <x:v>0</x:v>
      </x:c>
      <x:c r="V48" s="9" t="n">
        <x:f>IF(OR(E48="Selection/Rejection",ISNUMBER(SEARCH("; Selection/Rejection; ","; "&amp;F48&amp;"; "))),1,0)</x:f>
        <x:v>0</x:v>
      </x:c>
      <x:c r="W48" s="9" t="n">
        <x:f>IF(OR(E48="Deliberation",ISNUMBER(SEARCH("; Deliberation; ","; "&amp;F48&amp;"; "))),1,0)</x:f>
        <x:v>0</x:v>
      </x:c>
      <x:c r="X48" s="9" t="n">
        <x:f>IF(ISNUMBER(SEARCH("; domain correction; ","; "&amp;H48&amp;"; ")),1,0)</x:f>
        <x:v>0</x:v>
      </x:c>
      <x:c r="Y48" s="9" t="n">
        <x:f>IF(ISNUMBER(SEARCH("; conceptual discrimination; ","; "&amp;H48&amp;"; ")),1,0)</x:f>
        <x:v>0</x:v>
      </x:c>
      <x:c r="Z48" s="9" t="n">
        <x:f>IF(ISNUMBER(SEARCH("; evidence judgment; ","; "&amp;H48&amp;"; ")),1,0)</x:f>
        <x:v>0</x:v>
      </x:c>
      <x:c r="AA48" s="9" t="n">
        <x:f>IF(ISNUMBER(SEARCH("; methodological judgment; ","; "&amp;H48&amp;"; ")),1,0)</x:f>
        <x:v>0</x:v>
      </x:c>
      <x:c r="AB48" s="9" t="n">
        <x:f>IF(ISNUMBER(SEARCH("; argumentative judgment; ","; "&amp;H48&amp;"; ")),1,0)</x:f>
        <x:v>0</x:v>
      </x:c>
      <x:c r="AC48" s="9" t="n">
        <x:f>IF(ISNUMBER(SEARCH("; genre/writing expertise; ","; "&amp;H48&amp;"; ")),1,0)</x:f>
        <x:v>1</x:v>
      </x:c>
      <x:c r="AD48" s="9" t="n">
        <x:f>IF(ISNUMBER(SEARCH("; none; ","; "&amp;H48&amp;"; ")),1,0)</x:f>
        <x:v>0</x:v>
      </x:c>
    </x:row>
    <x:row r="49" ht="64" customHeight="1">
      <x:c r="A49" s="8" t="str">
        <x:v>P4-EXEC-039</x:v>
      </x:c>
      <x:c r="B49" s="9" t="n">
        <x:v>48</x:v>
      </x:c>
      <x:c r="C49" s="8" t="str">
        <x:v>SLR execution</x:v>
      </x:c>
      <x:c r="D49" s="8" t="str">
        <x:v>BTW, also use past tense for discussing papers, e.g., P1 "studied" consistency across different versions of ChatGPT. and what is task age in text above?</x:v>
      </x:c>
      <x:c r="E49" s="8" t="str">
        <x:v>Directed delegation</x:v>
      </x:c>
      <x:c r="F49" s="8" t="str">
        <x:v>Evaluation</x:v>
      </x:c>
      <x:c r="G49" s="8" t="str">
        <x:v>Directive</x:v>
      </x:c>
      <x:c r="H49" s="8" t="str">
        <x:v>genre/writing expertise</x:v>
      </x:c>
      <x:c r="I49" s="8" t="str">
        <x:v>Requires past tense for prior studies and asks what task age means.</x:v>
      </x:c>
      <x:c r="J49" s="8" t="str">
        <x:v>AI explains task age and recommends consistent past tense.</x:v>
      </x:c>
      <x:c r="K49" s="8" t="str">
        <x:v>EXEC p76 L19-p76 L20</x:v>
      </x:c>
      <x:c r="L49" s="8" t="str">
        <x:v>EXEC p76 L21-p77 L6</x:v>
      </x:c>
      <x:c r="M49" s="8" t="str"/>
      <x:c r="N49" s="8" t="str">
        <x:v>Visible next AI response</x:v>
      </x:c>
      <x:c r="O49" s="8" t="str"/>
      <x:c r="P49" s="9" t="n">
        <x:f>IF(OR(E49="Delegation",ISNUMBER(SEARCH("; Delegation; ","; "&amp;F49&amp;"; "))),1,0)</x:f>
        <x:v>0</x:v>
      </x:c>
      <x:c r="Q49" s="9" t="n">
        <x:f>IF(OR(E49="Directed delegation",ISNUMBER(SEARCH("; Directed delegation; ","; "&amp;F49&amp;"; "))),1,0)</x:f>
        <x:v>1</x:v>
      </x:c>
      <x:c r="R49" s="9" t="n">
        <x:f>IF(OR(E49="Evaluation",ISNUMBER(SEARCH("; Evaluation; ","; "&amp;F49&amp;"; "))),1,0)</x:f>
        <x:v>1</x:v>
      </x:c>
      <x:c r="S49" s="9" t="n">
        <x:f>IF(OR(E49="Correction/Challenge",ISNUMBER(SEARCH("; Correction/Challenge; ","; "&amp;F49&amp;"; "))),1,0)</x:f>
        <x:v>0</x:v>
      </x:c>
      <x:c r="T49" s="9" t="n">
        <x:f>IF(OR(E49="Redirection",ISNUMBER(SEARCH("; Redirection; ","; "&amp;F49&amp;"; "))),1,0)</x:f>
        <x:v>0</x:v>
      </x:c>
      <x:c r="U49" s="9" t="n">
        <x:f>IF(OR(E49="Knowledge injection",ISNUMBER(SEARCH("; Knowledge injection; ","; "&amp;F49&amp;"; "))),1,0)</x:f>
        <x:v>0</x:v>
      </x:c>
      <x:c r="V49" s="9" t="n">
        <x:f>IF(OR(E49="Selection/Rejection",ISNUMBER(SEARCH("; Selection/Rejection; ","; "&amp;F49&amp;"; "))),1,0)</x:f>
        <x:v>0</x:v>
      </x:c>
      <x:c r="W49" s="9" t="n">
        <x:f>IF(OR(E49="Deliberation",ISNUMBER(SEARCH("; Deliberation; ","; "&amp;F49&amp;"; "))),1,0)</x:f>
        <x:v>0</x:v>
      </x:c>
      <x:c r="X49" s="9" t="n">
        <x:f>IF(ISNUMBER(SEARCH("; domain correction; ","; "&amp;H49&amp;"; ")),1,0)</x:f>
        <x:v>0</x:v>
      </x:c>
      <x:c r="Y49" s="9" t="n">
        <x:f>IF(ISNUMBER(SEARCH("; conceptual discrimination; ","; "&amp;H49&amp;"; ")),1,0)</x:f>
        <x:v>0</x:v>
      </x:c>
      <x:c r="Z49" s="9" t="n">
        <x:f>IF(ISNUMBER(SEARCH("; evidence judgment; ","; "&amp;H49&amp;"; ")),1,0)</x:f>
        <x:v>0</x:v>
      </x:c>
      <x:c r="AA49" s="9" t="n">
        <x:f>IF(ISNUMBER(SEARCH("; methodological judgment; ","; "&amp;H49&amp;"; ")),1,0)</x:f>
        <x:v>0</x:v>
      </x:c>
      <x:c r="AB49" s="9" t="n">
        <x:f>IF(ISNUMBER(SEARCH("; argumentative judgment; ","; "&amp;H49&amp;"; ")),1,0)</x:f>
        <x:v>0</x:v>
      </x:c>
      <x:c r="AC49" s="9" t="n">
        <x:f>IF(ISNUMBER(SEARCH("; genre/writing expertise; ","; "&amp;H49&amp;"; ")),1,0)</x:f>
        <x:v>1</x:v>
      </x:c>
      <x:c r="AD49" s="9" t="n">
        <x:f>IF(ISNUMBER(SEARCH("; none; ","; "&amp;H49&amp;"; ")),1,0)</x:f>
        <x:v>0</x:v>
      </x:c>
    </x:row>
    <x:row r="50" ht="92" customHeight="1">
      <x:c r="A50" s="8" t="str">
        <x:v>P4-EXEC-040</x:v>
      </x:c>
      <x:c r="B50" s="9" t="n">
        <x:v>49</x:v>
      </x:c>
      <x:c r="C50" s="8" t="str">
        <x:v>SLR execution</x:v>
      </x:c>
      <x:c r="D50" s="8" t="str">
        <x:v>So it turns out that in our data extraction somewhere either of us made a mistake and we missed, we lost two of the papers. I found them and I have not put them in the Excel file. So now the number of papers is 24, not 22. You can, so I've adjusted the numbers in the Excel sheet. They are in row …</x:v>
      </x:c>
      <x:c r="E50" s="8" t="str">
        <x:v>Correction/Challenge</x:v>
      </x:c>
      <x:c r="F50" s="8" t="str">
        <x:v>Knowledge injection; Directed delegation</x:v>
      </x:c>
      <x:c r="G50" s="8" t="str">
        <x:v>Critical</x:v>
      </x:c>
      <x:c r="H50" s="8" t="str">
        <x:v>evidence judgment; methodological judgment</x:v>
      </x:c>
      <x:c r="I50" s="8" t="str">
        <x:v>Reports two lost studies, corrects the pool to 24 and limits re-extraction to P8/P9 missing fields.</x:v>
      </x:c>
      <x:c r="J50" s="8" t="str">
        <x:v>AI supplies only the two requested evidence/best-practice rows.</x:v>
      </x:c>
      <x:c r="K50" s="8" t="str">
        <x:v>EXEC p77 L9-p77 L13</x:v>
      </x:c>
      <x:c r="L50" s="8" t="str">
        <x:v>EXEC p77 L15-p77 L46</x:v>
      </x:c>
      <x:c r="M50" s="8" t="str">
        <x:v>Pool of Primary Studies and Extracted Data.xlsx</x:v>
      </x:c>
      <x:c r="N50" s="8" t="str">
        <x:v>Visible next AI response</x:v>
      </x:c>
      <x:c r="O50" s="8" t="str">
        <x:v>Recovery of two lost studies and corrected numbering are reported by the researcher. Later IDs may differ from earlier P1–P22 assignments.</x:v>
      </x:c>
      <x:c r="P50" s="9" t="n">
        <x:f>IF(OR(E50="Delegation",ISNUMBER(SEARCH("; Delegation; ","; "&amp;F50&amp;"; "))),1,0)</x:f>
        <x:v>0</x:v>
      </x:c>
      <x:c r="Q50" s="9" t="n">
        <x:f>IF(OR(E50="Directed delegation",ISNUMBER(SEARCH("; Directed delegation; ","; "&amp;F50&amp;"; "))),1,0)</x:f>
        <x:v>1</x:v>
      </x:c>
      <x:c r="R50" s="9" t="n">
        <x:f>IF(OR(E50="Evaluation",ISNUMBER(SEARCH("; Evaluation; ","; "&amp;F50&amp;"; "))),1,0)</x:f>
        <x:v>0</x:v>
      </x:c>
      <x:c r="S50" s="9" t="n">
        <x:f>IF(OR(E50="Correction/Challenge",ISNUMBER(SEARCH("; Correction/Challenge; ","; "&amp;F50&amp;"; "))),1,0)</x:f>
        <x:v>1</x:v>
      </x:c>
      <x:c r="T50" s="9" t="n">
        <x:f>IF(OR(E50="Redirection",ISNUMBER(SEARCH("; Redirection; ","; "&amp;F50&amp;"; "))),1,0)</x:f>
        <x:v>0</x:v>
      </x:c>
      <x:c r="U50" s="9" t="n">
        <x:f>IF(OR(E50="Knowledge injection",ISNUMBER(SEARCH("; Knowledge injection; ","; "&amp;F50&amp;"; "))),1,0)</x:f>
        <x:v>1</x:v>
      </x:c>
      <x:c r="V50" s="9" t="n">
        <x:f>IF(OR(E50="Selection/Rejection",ISNUMBER(SEARCH("; Selection/Rejection; ","; "&amp;F50&amp;"; "))),1,0)</x:f>
        <x:v>0</x:v>
      </x:c>
      <x:c r="W50" s="9" t="n">
        <x:f>IF(OR(E50="Deliberation",ISNUMBER(SEARCH("; Deliberation; ","; "&amp;F50&amp;"; "))),1,0)</x:f>
        <x:v>0</x:v>
      </x:c>
      <x:c r="X50" s="9" t="n">
        <x:f>IF(ISNUMBER(SEARCH("; domain correction; ","; "&amp;H50&amp;"; ")),1,0)</x:f>
        <x:v>0</x:v>
      </x:c>
      <x:c r="Y50" s="9" t="n">
        <x:f>IF(ISNUMBER(SEARCH("; conceptual discrimination; ","; "&amp;H50&amp;"; ")),1,0)</x:f>
        <x:v>0</x:v>
      </x:c>
      <x:c r="Z50" s="9" t="n">
        <x:f>IF(ISNUMBER(SEARCH("; evidence judgment; ","; "&amp;H50&amp;"; ")),1,0)</x:f>
        <x:v>1</x:v>
      </x:c>
      <x:c r="AA50" s="9" t="n">
        <x:f>IF(ISNUMBER(SEARCH("; methodological judgment; ","; "&amp;H50&amp;"; ")),1,0)</x:f>
        <x:v>1</x:v>
      </x:c>
      <x:c r="AB50" s="9" t="n">
        <x:f>IF(ISNUMBER(SEARCH("; argumentative judgment; ","; "&amp;H50&amp;"; ")),1,0)</x:f>
        <x:v>0</x:v>
      </x:c>
      <x:c r="AC50" s="9" t="n">
        <x:f>IF(ISNUMBER(SEARCH("; genre/writing expertise; ","; "&amp;H50&amp;"; ")),1,0)</x:f>
        <x:v>0</x:v>
      </x:c>
      <x:c r="AD50" s="9" t="n">
        <x:f>IF(ISNUMBER(SEARCH("; none; ","; "&amp;H50&amp;"; ")),1,0)</x:f>
        <x:v>0</x:v>
      </x:c>
    </x:row>
    <x:row r="51" ht="60" customHeight="1">
      <x:c r="A51" s="8" t="str">
        <x:v>P4-EXEC-041</x:v>
      </x:c>
      <x:c r="B51" s="9" t="n">
        <x:v>50</x:v>
      </x:c>
      <x:c r="C51" s="8" t="str">
        <x:v>SLR execution</x:v>
      </x:c>
      <x:c r="D51" s="8" t="str">
        <x:v>clarify this phase that you gave above (provide more details): P4 does the same at larger scale</x:v>
      </x:c>
      <x:c r="E51" s="8" t="str">
        <x:v>Correction/Challenge</x:v>
      </x:c>
      <x:c r="F51" s="8" t="str">
        <x:v>Directed delegation</x:v>
      </x:c>
      <x:c r="G51" s="8" t="str">
        <x:v>Critical</x:v>
      </x:c>
      <x:c r="H51" s="8" t="str">
        <x:v>genre/writing expertise; evidence judgment</x:v>
      </x:c>
      <x:c r="I51" s="8" t="str">
        <x:v>Challenges vague study characterization and requires a more informative account.</x:v>
      </x:c>
      <x:c r="J51" s="8" t="str">
        <x:v>AI expands the P4 study description.</x:v>
      </x:c>
      <x:c r="K51" s="8" t="str">
        <x:v>EXEC p77 L47-p77 L47</x:v>
      </x:c>
      <x:c r="L51" s="8" t="str">
        <x:v>EXEC p77 L48-p78 L15</x:v>
      </x:c>
      <x:c r="M51" s="8" t="str"/>
      <x:c r="N51" s="8" t="str">
        <x:v>Visible next AI response</x:v>
      </x:c>
      <x:c r="O51" s="8" t="str"/>
      <x:c r="P51" s="9" t="n">
        <x:f>IF(OR(E51="Delegation",ISNUMBER(SEARCH("; Delegation; ","; "&amp;F51&amp;"; "))),1,0)</x:f>
        <x:v>0</x:v>
      </x:c>
      <x:c r="Q51" s="9" t="n">
        <x:f>IF(OR(E51="Directed delegation",ISNUMBER(SEARCH("; Directed delegation; ","; "&amp;F51&amp;"; "))),1,0)</x:f>
        <x:v>1</x:v>
      </x:c>
      <x:c r="R51" s="9" t="n">
        <x:f>IF(OR(E51="Evaluation",ISNUMBER(SEARCH("; Evaluation; ","; "&amp;F51&amp;"; "))),1,0)</x:f>
        <x:v>0</x:v>
      </x:c>
      <x:c r="S51" s="9" t="n">
        <x:f>IF(OR(E51="Correction/Challenge",ISNUMBER(SEARCH("; Correction/Challenge; ","; "&amp;F51&amp;"; "))),1,0)</x:f>
        <x:v>1</x:v>
      </x:c>
      <x:c r="T51" s="9" t="n">
        <x:f>IF(OR(E51="Redirection",ISNUMBER(SEARCH("; Redirection; ","; "&amp;F51&amp;"; "))),1,0)</x:f>
        <x:v>0</x:v>
      </x:c>
      <x:c r="U51" s="9" t="n">
        <x:f>IF(OR(E51="Knowledge injection",ISNUMBER(SEARCH("; Knowledge injection; ","; "&amp;F51&amp;"; "))),1,0)</x:f>
        <x:v>0</x:v>
      </x:c>
      <x:c r="V51" s="9" t="n">
        <x:f>IF(OR(E51="Selection/Rejection",ISNUMBER(SEARCH("; Selection/Rejection; ","; "&amp;F51&amp;"; "))),1,0)</x:f>
        <x:v>0</x:v>
      </x:c>
      <x:c r="W51" s="9" t="n">
        <x:f>IF(OR(E51="Deliberation",ISNUMBER(SEARCH("; Deliberation; ","; "&amp;F51&amp;"; "))),1,0)</x:f>
        <x:v>0</x:v>
      </x:c>
      <x:c r="X51" s="9" t="n">
        <x:f>IF(ISNUMBER(SEARCH("; domain correction; ","; "&amp;H51&amp;"; ")),1,0)</x:f>
        <x:v>0</x:v>
      </x:c>
      <x:c r="Y51" s="9" t="n">
        <x:f>IF(ISNUMBER(SEARCH("; conceptual discrimination; ","; "&amp;H51&amp;"; ")),1,0)</x:f>
        <x:v>0</x:v>
      </x:c>
      <x:c r="Z51" s="9" t="n">
        <x:f>IF(ISNUMBER(SEARCH("; evidence judgment; ","; "&amp;H51&amp;"; ")),1,0)</x:f>
        <x:v>1</x:v>
      </x:c>
      <x:c r="AA51" s="9" t="n">
        <x:f>IF(ISNUMBER(SEARCH("; methodological judgment; ","; "&amp;H51&amp;"; ")),1,0)</x:f>
        <x:v>0</x:v>
      </x:c>
      <x:c r="AB51" s="9" t="n">
        <x:f>IF(ISNUMBER(SEARCH("; argumentative judgment; ","; "&amp;H51&amp;"; ")),1,0)</x:f>
        <x:v>0</x:v>
      </x:c>
      <x:c r="AC51" s="9" t="n">
        <x:f>IF(ISNUMBER(SEARCH("; genre/writing expertise; ","; "&amp;H51&amp;"; ")),1,0)</x:f>
        <x:v>1</x:v>
      </x:c>
      <x:c r="AD51" s="9" t="n">
        <x:f>IF(ISNUMBER(SEARCH("; none; ","; "&amp;H51&amp;"; ")),1,0)</x:f>
        <x:v>0</x:v>
      </x:c>
    </x:row>
    <x:row r="52" ht="60" customHeight="1">
      <x:c r="A52" s="8" t="str">
        <x:v>P4-EXEC-042</x:v>
      </x:c>
      <x:c r="B52" s="9" t="n">
        <x:v>51</x:v>
      </x:c>
      <x:c r="C52" s="8" t="str">
        <x:v>SLR execution</x:v>
      </x:c>
      <x:c r="D52" s="8" t="str">
        <x:v>do the same for: P19 distinguished between Python and Java code mined from DevGPT</x:v>
      </x:c>
      <x:c r="E52" s="8" t="str">
        <x:v>Directed delegation</x:v>
      </x:c>
      <x:c r="F52" s="8" t="str"/>
      <x:c r="G52" s="8" t="str">
        <x:v>Directive</x:v>
      </x:c>
      <x:c r="H52" s="8" t="str">
        <x:v>genre/writing expertise</x:v>
      </x:c>
      <x:c r="I52" s="8" t="str">
        <x:v>Applies the preceding precision-revision instruction to P19 wording.</x:v>
      </x:c>
      <x:c r="J52" s="8" t="str">
        <x:v>AI supplies a more explicit comparative-study description.</x:v>
      </x:c>
      <x:c r="K52" s="8" t="str">
        <x:v>EXEC p78 L16-p78 L16</x:v>
      </x:c>
      <x:c r="L52" s="8" t="str">
        <x:v>EXEC p78 L17-p78 L33</x:v>
      </x:c>
      <x:c r="M52" s="8" t="str"/>
      <x:c r="N52" s="8" t="str">
        <x:v>Visible next AI response</x:v>
      </x:c>
      <x:c r="O52" s="8" t="str"/>
      <x:c r="P52" s="9" t="n">
        <x:f>IF(OR(E52="Delegation",ISNUMBER(SEARCH("; Delegation; ","; "&amp;F52&amp;"; "))),1,0)</x:f>
        <x:v>0</x:v>
      </x:c>
      <x:c r="Q52" s="9" t="n">
        <x:f>IF(OR(E52="Directed delegation",ISNUMBER(SEARCH("; Directed delegation; ","; "&amp;F52&amp;"; "))),1,0)</x:f>
        <x:v>1</x:v>
      </x:c>
      <x:c r="R52" s="9" t="n">
        <x:f>IF(OR(E52="Evaluation",ISNUMBER(SEARCH("; Evaluation; ","; "&amp;F52&amp;"; "))),1,0)</x:f>
        <x:v>0</x:v>
      </x:c>
      <x:c r="S52" s="9" t="n">
        <x:f>IF(OR(E52="Correction/Challenge",ISNUMBER(SEARCH("; Correction/Challenge; ","; "&amp;F52&amp;"; "))),1,0)</x:f>
        <x:v>0</x:v>
      </x:c>
      <x:c r="T52" s="9" t="n">
        <x:f>IF(OR(E52="Redirection",ISNUMBER(SEARCH("; Redirection; ","; "&amp;F52&amp;"; "))),1,0)</x:f>
        <x:v>0</x:v>
      </x:c>
      <x:c r="U52" s="9" t="n">
        <x:f>IF(OR(E52="Knowledge injection",ISNUMBER(SEARCH("; Knowledge injection; ","; "&amp;F52&amp;"; "))),1,0)</x:f>
        <x:v>0</x:v>
      </x:c>
      <x:c r="V52" s="9" t="n">
        <x:f>IF(OR(E52="Selection/Rejection",ISNUMBER(SEARCH("; Selection/Rejection; ","; "&amp;F52&amp;"; "))),1,0)</x:f>
        <x:v>0</x:v>
      </x:c>
      <x:c r="W52" s="9" t="n">
        <x:f>IF(OR(E52="Deliberation",ISNUMBER(SEARCH("; Deliberation; ","; "&amp;F52&amp;"; "))),1,0)</x:f>
        <x:v>0</x:v>
      </x:c>
      <x:c r="X52" s="9" t="n">
        <x:f>IF(ISNUMBER(SEARCH("; domain correction; ","; "&amp;H52&amp;"; ")),1,0)</x:f>
        <x:v>0</x:v>
      </x:c>
      <x:c r="Y52" s="9" t="n">
        <x:f>IF(ISNUMBER(SEARCH("; conceptual discrimination; ","; "&amp;H52&amp;"; ")),1,0)</x:f>
        <x:v>0</x:v>
      </x:c>
      <x:c r="Z52" s="9" t="n">
        <x:f>IF(ISNUMBER(SEARCH("; evidence judgment; ","; "&amp;H52&amp;"; ")),1,0)</x:f>
        <x:v>0</x:v>
      </x:c>
      <x:c r="AA52" s="9" t="n">
        <x:f>IF(ISNUMBER(SEARCH("; methodological judgment; ","; "&amp;H52&amp;"; ")),1,0)</x:f>
        <x:v>0</x:v>
      </x:c>
      <x:c r="AB52" s="9" t="n">
        <x:f>IF(ISNUMBER(SEARCH("; argumentative judgment; ","; "&amp;H52&amp;"; ")),1,0)</x:f>
        <x:v>0</x:v>
      </x:c>
      <x:c r="AC52" s="9" t="n">
        <x:f>IF(ISNUMBER(SEARCH("; genre/writing expertise; ","; "&amp;H52&amp;"; ")),1,0)</x:f>
        <x:v>1</x:v>
      </x:c>
      <x:c r="AD52" s="9" t="n">
        <x:f>IF(ISNUMBER(SEARCH("; none; ","; "&amp;H52&amp;"; ")),1,0)</x:f>
        <x:v>0</x:v>
      </x:c>
    </x:row>
    <x:row r="53" ht="60" customHeight="1">
      <x:c r="A53" s="8" t="str">
        <x:v>P4-EXEC-043</x:v>
      </x:c>
      <x:c r="B53" s="9" t="n">
        <x:v>52</x:v>
      </x:c>
      <x:c r="C53" s="8" t="str">
        <x:v>SLR execution</x:v>
      </x:c>
      <x:c r="D53" s="8" t="str">
        <x:v>when you said "using static-analysis feedback" in Interaction factors, what did you mean?</x:v>
      </x:c>
      <x:c r="E53" s="8" t="str">
        <x:v>Evaluation</x:v>
      </x:c>
      <x:c r="F53" s="8" t="str"/>
      <x:c r="G53" s="8" t="str">
        <x:v>Evaluative</x:v>
      </x:c>
      <x:c r="H53" s="8" t="str">
        <x:v>none</x:v>
      </x:c>
      <x:c r="I53" s="8" t="str">
        <x:v>Requests explanation of static-analysis feedback without independently supplying a technical distinction.</x:v>
      </x:c>
      <x:c r="J53" s="8" t="str">
        <x:v>AI explains a feedback-based code-repair loop.</x:v>
      </x:c>
      <x:c r="K53" s="8" t="str">
        <x:v>EXEC p78 L34-p78 L34</x:v>
      </x:c>
      <x:c r="L53" s="8" t="str">
        <x:v>EXEC p78 L35-p79 L37</x:v>
      </x:c>
      <x:c r="M53" s="8" t="str"/>
      <x:c r="N53" s="8" t="str">
        <x:v>Visible next AI response</x:v>
      </x:c>
      <x:c r="O53" s="8" t="str">
        <x:v>Requesting an explanation is not itself evidence of technical expertise.</x:v>
      </x:c>
      <x:c r="P53" s="9" t="n">
        <x:f>IF(OR(E53="Delegation",ISNUMBER(SEARCH("; Delegation; ","; "&amp;F53&amp;"; "))),1,0)</x:f>
        <x:v>0</x:v>
      </x:c>
      <x:c r="Q53" s="9" t="n">
        <x:f>IF(OR(E53="Directed delegation",ISNUMBER(SEARCH("; Directed delegation; ","; "&amp;F53&amp;"; "))),1,0)</x:f>
        <x:v>0</x:v>
      </x:c>
      <x:c r="R53" s="9" t="n">
        <x:f>IF(OR(E53="Evaluation",ISNUMBER(SEARCH("; Evaluation; ","; "&amp;F53&amp;"; "))),1,0)</x:f>
        <x:v>1</x:v>
      </x:c>
      <x:c r="S53" s="9" t="n">
        <x:f>IF(OR(E53="Correction/Challenge",ISNUMBER(SEARCH("; Correction/Challenge; ","; "&amp;F53&amp;"; "))),1,0)</x:f>
        <x:v>0</x:v>
      </x:c>
      <x:c r="T53" s="9" t="n">
        <x:f>IF(OR(E53="Redirection",ISNUMBER(SEARCH("; Redirection; ","; "&amp;F53&amp;"; "))),1,0)</x:f>
        <x:v>0</x:v>
      </x:c>
      <x:c r="U53" s="9" t="n">
        <x:f>IF(OR(E53="Knowledge injection",ISNUMBER(SEARCH("; Knowledge injection; ","; "&amp;F53&amp;"; "))),1,0)</x:f>
        <x:v>0</x:v>
      </x:c>
      <x:c r="V53" s="9" t="n">
        <x:f>IF(OR(E53="Selection/Rejection",ISNUMBER(SEARCH("; Selection/Rejection; ","; "&amp;F53&amp;"; "))),1,0)</x:f>
        <x:v>0</x:v>
      </x:c>
      <x:c r="W53" s="9" t="n">
        <x:f>IF(OR(E53="Deliberation",ISNUMBER(SEARCH("; Deliberation; ","; "&amp;F53&amp;"; "))),1,0)</x:f>
        <x:v>0</x:v>
      </x:c>
      <x:c r="X53" s="9" t="n">
        <x:f>IF(ISNUMBER(SEARCH("; domain correction; ","; "&amp;H53&amp;"; ")),1,0)</x:f>
        <x:v>0</x:v>
      </x:c>
      <x:c r="Y53" s="9" t="n">
        <x:f>IF(ISNUMBER(SEARCH("; conceptual discrimination; ","; "&amp;H53&amp;"; ")),1,0)</x:f>
        <x:v>0</x:v>
      </x:c>
      <x:c r="Z53" s="9" t="n">
        <x:f>IF(ISNUMBER(SEARCH("; evidence judgment; ","; "&amp;H53&amp;"; ")),1,0)</x:f>
        <x:v>0</x:v>
      </x:c>
      <x:c r="AA53" s="9" t="n">
        <x:f>IF(ISNUMBER(SEARCH("; methodological judgment; ","; "&amp;H53&amp;"; ")),1,0)</x:f>
        <x:v>0</x:v>
      </x:c>
      <x:c r="AB53" s="9" t="n">
        <x:f>IF(ISNUMBER(SEARCH("; argumentative judgment; ","; "&amp;H53&amp;"; ")),1,0)</x:f>
        <x:v>0</x:v>
      </x:c>
      <x:c r="AC53" s="9" t="n">
        <x:f>IF(ISNUMBER(SEARCH("; genre/writing expertise; ","; "&amp;H53&amp;"; ")),1,0)</x:f>
        <x:v>0</x:v>
      </x:c>
      <x:c r="AD53" s="9" t="n">
        <x:f>IF(ISNUMBER(SEARCH("; none; ","; "&amp;H53&amp;"; ")),1,0)</x:f>
        <x:v>1</x:v>
      </x:c>
    </x:row>
    <x:row r="54" ht="60" customHeight="1">
      <x:c r="A54" s="8" t="str">
        <x:v>P4-EXEC-044</x:v>
      </x:c>
      <x:c r="B54" s="9" t="n">
        <x:v>53</x:v>
      </x:c>
      <x:c r="C54" s="8" t="str">
        <x:v>SLR execution</x:v>
      </x:c>
      <x:c r="D54" s="8" t="str">
        <x:v>and what you meant by: using Retrieval-Augmented Generation (RAG)-based mitigation during code generation ?</x:v>
      </x:c>
      <x:c r="E54" s="8" t="str">
        <x:v>Evaluation</x:v>
      </x:c>
      <x:c r="F54" s="8" t="str"/>
      <x:c r="G54" s="8" t="str">
        <x:v>Evaluative</x:v>
      </x:c>
      <x:c r="H54" s="8" t="str">
        <x:v>none</x:v>
      </x:c>
      <x:c r="I54" s="8" t="str">
        <x:v>Requests explanation of RAG-based mitigation; a clarification request alone does not demonstrate domain expertise.</x:v>
      </x:c>
      <x:c r="J54" s="8" t="str">
        <x:v>AI explains retrieval-augmented generation and mitigation.</x:v>
      </x:c>
      <x:c r="K54" s="8" t="str">
        <x:v>EXEC p79 L38-p79 L38</x:v>
      </x:c>
      <x:c r="L54" s="8" t="str">
        <x:v>EXEC p80 L1-p81 L13</x:v>
      </x:c>
      <x:c r="M54" s="8" t="str"/>
      <x:c r="N54" s="8" t="str">
        <x:v>Visible next AI response</x:v>
      </x:c>
      <x:c r="O54" s="8" t="str">
        <x:v>Requesting an explanation is not itself evidence of technical expertise. AI source attribution remains unverified.</x:v>
      </x:c>
      <x:c r="P54" s="9" t="n">
        <x:f>IF(OR(E54="Delegation",ISNUMBER(SEARCH("; Delegation; ","; "&amp;F54&amp;"; "))),1,0)</x:f>
        <x:v>0</x:v>
      </x:c>
      <x:c r="Q54" s="9" t="n">
        <x:f>IF(OR(E54="Directed delegation",ISNUMBER(SEARCH("; Directed delegation; ","; "&amp;F54&amp;"; "))),1,0)</x:f>
        <x:v>0</x:v>
      </x:c>
      <x:c r="R54" s="9" t="n">
        <x:f>IF(OR(E54="Evaluation",ISNUMBER(SEARCH("; Evaluation; ","; "&amp;F54&amp;"; "))),1,0)</x:f>
        <x:v>1</x:v>
      </x:c>
      <x:c r="S54" s="9" t="n">
        <x:f>IF(OR(E54="Correction/Challenge",ISNUMBER(SEARCH("; Correction/Challenge; ","; "&amp;F54&amp;"; "))),1,0)</x:f>
        <x:v>0</x:v>
      </x:c>
      <x:c r="T54" s="9" t="n">
        <x:f>IF(OR(E54="Redirection",ISNUMBER(SEARCH("; Redirection; ","; "&amp;F54&amp;"; "))),1,0)</x:f>
        <x:v>0</x:v>
      </x:c>
      <x:c r="U54" s="9" t="n">
        <x:f>IF(OR(E54="Knowledge injection",ISNUMBER(SEARCH("; Knowledge injection; ","; "&amp;F54&amp;"; "))),1,0)</x:f>
        <x:v>0</x:v>
      </x:c>
      <x:c r="V54" s="9" t="n">
        <x:f>IF(OR(E54="Selection/Rejection",ISNUMBER(SEARCH("; Selection/Rejection; ","; "&amp;F54&amp;"; "))),1,0)</x:f>
        <x:v>0</x:v>
      </x:c>
      <x:c r="W54" s="9" t="n">
        <x:f>IF(OR(E54="Deliberation",ISNUMBER(SEARCH("; Deliberation; ","; "&amp;F54&amp;"; "))),1,0)</x:f>
        <x:v>0</x:v>
      </x:c>
      <x:c r="X54" s="9" t="n">
        <x:f>IF(ISNUMBER(SEARCH("; domain correction; ","; "&amp;H54&amp;"; ")),1,0)</x:f>
        <x:v>0</x:v>
      </x:c>
      <x:c r="Y54" s="9" t="n">
        <x:f>IF(ISNUMBER(SEARCH("; conceptual discrimination; ","; "&amp;H54&amp;"; ")),1,0)</x:f>
        <x:v>0</x:v>
      </x:c>
      <x:c r="Z54" s="9" t="n">
        <x:f>IF(ISNUMBER(SEARCH("; evidence judgment; ","; "&amp;H54&amp;"; ")),1,0)</x:f>
        <x:v>0</x:v>
      </x:c>
      <x:c r="AA54" s="9" t="n">
        <x:f>IF(ISNUMBER(SEARCH("; methodological judgment; ","; "&amp;H54&amp;"; ")),1,0)</x:f>
        <x:v>0</x:v>
      </x:c>
      <x:c r="AB54" s="9" t="n">
        <x:f>IF(ISNUMBER(SEARCH("; argumentative judgment; ","; "&amp;H54&amp;"; ")),1,0)</x:f>
        <x:v>0</x:v>
      </x:c>
      <x:c r="AC54" s="9" t="n">
        <x:f>IF(ISNUMBER(SEARCH("; genre/writing expertise; ","; "&amp;H54&amp;"; ")),1,0)</x:f>
        <x:v>0</x:v>
      </x:c>
      <x:c r="AD54" s="9" t="n">
        <x:f>IF(ISNUMBER(SEARCH("; none; ","; "&amp;H54&amp;"; ")),1,0)</x:f>
        <x:v>1</x:v>
      </x:c>
    </x:row>
    <x:row r="55" ht="92" customHeight="1">
      <x:c r="A55" s="8" t="str">
        <x:v>P4-EXEC-045</x:v>
      </x:c>
      <x:c r="B55" s="9" t="n">
        <x:v>54</x:v>
      </x:c>
      <x:c r="C55" s="8" t="str">
        <x:v>SLR execution</x:v>
      </x:c>
      <x:c r="D55" s="8" t="str">
        <x:v>epxnad these phrases a bit (max 2 fold in length) to make them more informative: P13 examined whether developers should inspect one or several Copilot suggestions; P19 evaluated single-round versus multi-round fixing; P22 studied repair prompts with static-analysis and runtime feedback; P23 compa…</x:v>
      </x:c>
      <x:c r="E55" s="8" t="str">
        <x:v>Directed delegation</x:v>
      </x:c>
      <x:c r="F55" s="8" t="str">
        <x:v>Knowledge injection</x:v>
      </x:c>
      <x:c r="G55" s="8" t="str">
        <x:v>Directive</x:v>
      </x:c>
      <x:c r="H55" s="8" t="str">
        <x:v>genre/writing expertise</x:v>
      </x:c>
      <x:c r="I55" s="8" t="str">
        <x:v>Supplies study descriptions and caps their expansion at twice the length.</x:v>
      </x:c>
      <x:c r="J55" s="8" t="str">
        <x:v>AI produces expanded study descriptions.</x:v>
      </x:c>
      <x:c r="K55" s="8" t="str">
        <x:v>EXEC p81 L14-p81 L16</x:v>
      </x:c>
      <x:c r="L55" s="8" t="str">
        <x:v>EXEC p81 L18-p81 L26</x:v>
      </x:c>
      <x:c r="M55" s="8" t="str"/>
      <x:c r="N55" s="8" t="str">
        <x:v>Visible next AI response</x:v>
      </x:c>
      <x:c r="O55" s="8" t="str"/>
      <x:c r="P55" s="9" t="n">
        <x:f>IF(OR(E55="Delegation",ISNUMBER(SEARCH("; Delegation; ","; "&amp;F55&amp;"; "))),1,0)</x:f>
        <x:v>0</x:v>
      </x:c>
      <x:c r="Q55" s="9" t="n">
        <x:f>IF(OR(E55="Directed delegation",ISNUMBER(SEARCH("; Directed delegation; ","; "&amp;F55&amp;"; "))),1,0)</x:f>
        <x:v>1</x:v>
      </x:c>
      <x:c r="R55" s="9" t="n">
        <x:f>IF(OR(E55="Evaluation",ISNUMBER(SEARCH("; Evaluation; ","; "&amp;F55&amp;"; "))),1,0)</x:f>
        <x:v>0</x:v>
      </x:c>
      <x:c r="S55" s="9" t="n">
        <x:f>IF(OR(E55="Correction/Challenge",ISNUMBER(SEARCH("; Correction/Challenge; ","; "&amp;F55&amp;"; "))),1,0)</x:f>
        <x:v>0</x:v>
      </x:c>
      <x:c r="T55" s="9" t="n">
        <x:f>IF(OR(E55="Redirection",ISNUMBER(SEARCH("; Redirection; ","; "&amp;F55&amp;"; "))),1,0)</x:f>
        <x:v>0</x:v>
      </x:c>
      <x:c r="U55" s="9" t="n">
        <x:f>IF(OR(E55="Knowledge injection",ISNUMBER(SEARCH("; Knowledge injection; ","; "&amp;F55&amp;"; "))),1,0)</x:f>
        <x:v>1</x:v>
      </x:c>
      <x:c r="V55" s="9" t="n">
        <x:f>IF(OR(E55="Selection/Rejection",ISNUMBER(SEARCH("; Selection/Rejection; ","; "&amp;F55&amp;"; "))),1,0)</x:f>
        <x:v>0</x:v>
      </x:c>
      <x:c r="W55" s="9" t="n">
        <x:f>IF(OR(E55="Deliberation",ISNUMBER(SEARCH("; Deliberation; ","; "&amp;F55&amp;"; "))),1,0)</x:f>
        <x:v>0</x:v>
      </x:c>
      <x:c r="X55" s="9" t="n">
        <x:f>IF(ISNUMBER(SEARCH("; domain correction; ","; "&amp;H55&amp;"; ")),1,0)</x:f>
        <x:v>0</x:v>
      </x:c>
      <x:c r="Y55" s="9" t="n">
        <x:f>IF(ISNUMBER(SEARCH("; conceptual discrimination; ","; "&amp;H55&amp;"; ")),1,0)</x:f>
        <x:v>0</x:v>
      </x:c>
      <x:c r="Z55" s="9" t="n">
        <x:f>IF(ISNUMBER(SEARCH("; evidence judgment; ","; "&amp;H55&amp;"; ")),1,0)</x:f>
        <x:v>0</x:v>
      </x:c>
      <x:c r="AA55" s="9" t="n">
        <x:f>IF(ISNUMBER(SEARCH("; methodological judgment; ","; "&amp;H55&amp;"; ")),1,0)</x:f>
        <x:v>0</x:v>
      </x:c>
      <x:c r="AB55" s="9" t="n">
        <x:f>IF(ISNUMBER(SEARCH("; argumentative judgment; ","; "&amp;H55&amp;"; ")),1,0)</x:f>
        <x:v>0</x:v>
      </x:c>
      <x:c r="AC55" s="9" t="n">
        <x:f>IF(ISNUMBER(SEARCH("; genre/writing expertise; ","; "&amp;H55&amp;"; ")),1,0)</x:f>
        <x:v>1</x:v>
      </x:c>
      <x:c r="AD55" s="9" t="n">
        <x:f>IF(ISNUMBER(SEARCH("; none; ","; "&amp;H55&amp;"; ")),1,0)</x:f>
        <x:v>0</x:v>
      </x:c>
    </x:row>
    <x:row r="56" ht="64" customHeight="1">
      <x:c r="A56" s="8" t="str">
        <x:v>P4-EXEC-046</x:v>
      </x:c>
      <x:c r="B56" s="9" t="n">
        <x:v>55</x:v>
      </x:c>
      <x:c r="C56" s="8" t="str">
        <x:v>SLR execution</x:v>
      </x:c>
      <x:c r="D56" s="8" t="str">
        <x:v>Since our number of studies went up by two, update this table. Also, give me a paragraph referencing to this table and discussing the insights that we understand from it.</x:v>
      </x:c>
      <x:c r="E56" s="8" t="str">
        <x:v>Directed delegation</x:v>
      </x:c>
      <x:c r="F56" s="8" t="str">
        <x:v>Knowledge injection</x:v>
      </x:c>
      <x:c r="G56" s="8" t="str">
        <x:v>Directive</x:v>
      </x:c>
      <x:c r="H56" s="8" t="str">
        <x:v>methodological judgment; argumentative judgment</x:v>
      </x:c>
      <x:c r="I56" s="8" t="str">
        <x:v>Requires updated factor counts after pool growth and an interpretive paragraph about the table.</x:v>
      </x:c>
      <x:c r="J56" s="8" t="str">
        <x:v>AI supplies revised counts and a cross-factor interpretation.</x:v>
      </x:c>
      <x:c r="K56" s="8" t="str">
        <x:v>EXEC p81 L27-p81 L28</x:v>
      </x:c>
      <x:c r="L56" s="8" t="str">
        <x:v>EXEC p81 L29-p82 L24</x:v>
      </x:c>
      <x:c r="M56" s="8" t="str"/>
      <x:c r="N56" s="8" t="str">
        <x:v>Visible next AI response</x:v>
      </x:c>
      <x:c r="O56" s="8" t="str"/>
      <x:c r="P56" s="9" t="n">
        <x:f>IF(OR(E56="Delegation",ISNUMBER(SEARCH("; Delegation; ","; "&amp;F56&amp;"; "))),1,0)</x:f>
        <x:v>0</x:v>
      </x:c>
      <x:c r="Q56" s="9" t="n">
        <x:f>IF(OR(E56="Directed delegation",ISNUMBER(SEARCH("; Directed delegation; ","; "&amp;F56&amp;"; "))),1,0)</x:f>
        <x:v>1</x:v>
      </x:c>
      <x:c r="R56" s="9" t="n">
        <x:f>IF(OR(E56="Evaluation",ISNUMBER(SEARCH("; Evaluation; ","; "&amp;F56&amp;"; "))),1,0)</x:f>
        <x:v>0</x:v>
      </x:c>
      <x:c r="S56" s="9" t="n">
        <x:f>IF(OR(E56="Correction/Challenge",ISNUMBER(SEARCH("; Correction/Challenge; ","; "&amp;F56&amp;"; "))),1,0)</x:f>
        <x:v>0</x:v>
      </x:c>
      <x:c r="T56" s="9" t="n">
        <x:f>IF(OR(E56="Redirection",ISNUMBER(SEARCH("; Redirection; ","; "&amp;F56&amp;"; "))),1,0)</x:f>
        <x:v>0</x:v>
      </x:c>
      <x:c r="U56" s="9" t="n">
        <x:f>IF(OR(E56="Knowledge injection",ISNUMBER(SEARCH("; Knowledge injection; ","; "&amp;F56&amp;"; "))),1,0)</x:f>
        <x:v>1</x:v>
      </x:c>
      <x:c r="V56" s="9" t="n">
        <x:f>IF(OR(E56="Selection/Rejection",ISNUMBER(SEARCH("; Selection/Rejection; ","; "&amp;F56&amp;"; "))),1,0)</x:f>
        <x:v>0</x:v>
      </x:c>
      <x:c r="W56" s="9" t="n">
        <x:f>IF(OR(E56="Deliberation",ISNUMBER(SEARCH("; Deliberation; ","; "&amp;F56&amp;"; "))),1,0)</x:f>
        <x:v>0</x:v>
      </x:c>
      <x:c r="X56" s="9" t="n">
        <x:f>IF(ISNUMBER(SEARCH("; domain correction; ","; "&amp;H56&amp;"; ")),1,0)</x:f>
        <x:v>0</x:v>
      </x:c>
      <x:c r="Y56" s="9" t="n">
        <x:f>IF(ISNUMBER(SEARCH("; conceptual discrimination; ","; "&amp;H56&amp;"; ")),1,0)</x:f>
        <x:v>0</x:v>
      </x:c>
      <x:c r="Z56" s="9" t="n">
        <x:f>IF(ISNUMBER(SEARCH("; evidence judgment; ","; "&amp;H56&amp;"; ")),1,0)</x:f>
        <x:v>0</x:v>
      </x:c>
      <x:c r="AA56" s="9" t="n">
        <x:f>IF(ISNUMBER(SEARCH("; methodological judgment; ","; "&amp;H56&amp;"; ")),1,0)</x:f>
        <x:v>1</x:v>
      </x:c>
      <x:c r="AB56" s="9" t="n">
        <x:f>IF(ISNUMBER(SEARCH("; argumentative judgment; ","; "&amp;H56&amp;"; ")),1,0)</x:f>
        <x:v>1</x:v>
      </x:c>
      <x:c r="AC56" s="9" t="n">
        <x:f>IF(ISNUMBER(SEARCH("; genre/writing expertise; ","; "&amp;H56&amp;"; ")),1,0)</x:f>
        <x:v>0</x:v>
      </x:c>
      <x:c r="AD56" s="9" t="n">
        <x:f>IF(ISNUMBER(SEARCH("; none; ","; "&amp;H56&amp;"; ")),1,0)</x:f>
        <x:v>0</x:v>
      </x:c>
    </x:row>
    <x:row r="57" ht="64" customHeight="1">
      <x:c r="A57" s="8" t="str">
        <x:v>P4-EXEC-047</x:v>
      </x:c>
      <x:c r="B57" s="9" t="n">
        <x:v>56</x:v>
      </x:c>
      <x:c r="C57" s="8" t="str">
        <x:v>SLR execution</x:v>
      </x:c>
      <x:c r="D57" s="8" t="str">
        <x:v>I found these two other candidate sources. do they pass the inclusion crtieria of the SLR?</x:v>
      </x:c>
      <x:c r="E57" s="8" t="str">
        <x:v>Evaluation</x:v>
      </x:c>
      <x:c r="F57" s="8" t="str">
        <x:v>Knowledge injection</x:v>
      </x:c>
      <x:c r="G57" s="8" t="str">
        <x:v>Evaluative</x:v>
      </x:c>
      <x:c r="H57" s="8" t="str">
        <x:v>evidence judgment; methodological judgment</x:v>
      </x:c>
      <x:c r="I57" s="8" t="str">
        <x:v>Requests inclusion screening of two new candidates.</x:v>
      </x:c>
      <x:c r="J57" s="8" t="str">
        <x:v>AI recommends excluding both MSc sources under its peer-review/scope interpretation.</x:v>
      </x:c>
      <x:c r="K57" s="8" t="str">
        <x:v>EXEC p82 L30-p82 L30</x:v>
      </x:c>
      <x:c r="L57" s="8" t="str">
        <x:v>EXEC p82 L31-p83 L25</x:v>
      </x:c>
      <x:c r="M57" s="8" t="str">
        <x:v>AI-driven Software Development Source Code Quality-MSc thesis.pdf
AI-Driven Code Quality Assessment and Enhancement-MSc.pdf</x:v>
      </x:c>
      <x:c r="N57" s="8" t="str">
        <x:v>Visible next AI response</x:v>
      </x:c>
      <x:c r="O57" s="8" t="str"/>
      <x:c r="P57" s="9" t="n">
        <x:f>IF(OR(E57="Delegation",ISNUMBER(SEARCH("; Delegation; ","; "&amp;F57&amp;"; "))),1,0)</x:f>
        <x:v>0</x:v>
      </x:c>
      <x:c r="Q57" s="9" t="n">
        <x:f>IF(OR(E57="Directed delegation",ISNUMBER(SEARCH("; Directed delegation; ","; "&amp;F57&amp;"; "))),1,0)</x:f>
        <x:v>0</x:v>
      </x:c>
      <x:c r="R57" s="9" t="n">
        <x:f>IF(OR(E57="Evaluation",ISNUMBER(SEARCH("; Evaluation; ","; "&amp;F57&amp;"; "))),1,0)</x:f>
        <x:v>1</x:v>
      </x:c>
      <x:c r="S57" s="9" t="n">
        <x:f>IF(OR(E57="Correction/Challenge",ISNUMBER(SEARCH("; Correction/Challenge; ","; "&amp;F57&amp;"; "))),1,0)</x:f>
        <x:v>0</x:v>
      </x:c>
      <x:c r="T57" s="9" t="n">
        <x:f>IF(OR(E57="Redirection",ISNUMBER(SEARCH("; Redirection; ","; "&amp;F57&amp;"; "))),1,0)</x:f>
        <x:v>0</x:v>
      </x:c>
      <x:c r="U57" s="9" t="n">
        <x:f>IF(OR(E57="Knowledge injection",ISNUMBER(SEARCH("; Knowledge injection; ","; "&amp;F57&amp;"; "))),1,0)</x:f>
        <x:v>1</x:v>
      </x:c>
      <x:c r="V57" s="9" t="n">
        <x:f>IF(OR(E57="Selection/Rejection",ISNUMBER(SEARCH("; Selection/Rejection; ","; "&amp;F57&amp;"; "))),1,0)</x:f>
        <x:v>0</x:v>
      </x:c>
      <x:c r="W57" s="9" t="n">
        <x:f>IF(OR(E57="Deliberation",ISNUMBER(SEARCH("; Deliberation; ","; "&amp;F57&amp;"; "))),1,0)</x:f>
        <x:v>0</x:v>
      </x:c>
      <x:c r="X57" s="9" t="n">
        <x:f>IF(ISNUMBER(SEARCH("; domain correction; ","; "&amp;H57&amp;"; ")),1,0)</x:f>
        <x:v>0</x:v>
      </x:c>
      <x:c r="Y57" s="9" t="n">
        <x:f>IF(ISNUMBER(SEARCH("; conceptual discrimination; ","; "&amp;H57&amp;"; ")),1,0)</x:f>
        <x:v>0</x:v>
      </x:c>
      <x:c r="Z57" s="9" t="n">
        <x:f>IF(ISNUMBER(SEARCH("; evidence judgment; ","; "&amp;H57&amp;"; ")),1,0)</x:f>
        <x:v>1</x:v>
      </x:c>
      <x:c r="AA57" s="9" t="n">
        <x:f>IF(ISNUMBER(SEARCH("; methodological judgment; ","; "&amp;H57&amp;"; ")),1,0)</x:f>
        <x:v>1</x:v>
      </x:c>
      <x:c r="AB57" s="9" t="n">
        <x:f>IF(ISNUMBER(SEARCH("; argumentative judgment; ","; "&amp;H57&amp;"; ")),1,0)</x:f>
        <x:v>0</x:v>
      </x:c>
      <x:c r="AC57" s="9" t="n">
        <x:f>IF(ISNUMBER(SEARCH("; genre/writing expertise; ","; "&amp;H57&amp;"; ")),1,0)</x:f>
        <x:v>0</x:v>
      </x:c>
      <x:c r="AD57" s="9" t="n">
        <x:f>IF(ISNUMBER(SEARCH("; none; ","; "&amp;H57&amp;"; ")),1,0)</x:f>
        <x:v>0</x:v>
      </x:c>
    </x:row>
    <x:row r="58" ht="78" customHeight="1">
      <x:c r="A58" s="8" t="str">
        <x:v>P4-EXEC-048</x:v>
      </x:c>
      <x:c r="B58" s="9" t="n">
        <x:v>57</x:v>
      </x:c>
      <x:c r="C58" s="8" t="str">
        <x:v>SLR execution</x:v>
      </x:c>
      <x:c r="D58" s="8" t="str">
        <x:v>well, these are reviewed by several profs, thus technically peer review. consider that particular rule pass</x:v>
      </x:c>
      <x:c r="E58" s="8" t="str">
        <x:v>Correction/Challenge</x:v>
      </x:c>
      <x:c r="F58" s="8" t="str">
        <x:v>Redirection; Knowledge injection</x:v>
      </x:c>
      <x:c r="G58" s="8" t="str">
        <x:v>Critical</x:v>
      </x:c>
      <x:c r="H58" s="8" t="str">
        <x:v>conceptual discrimination; evidence judgment; methodological judgment</x:v>
      </x:c>
      <x:c r="I58" s="8" t="str">
        <x:v>Challenges exclusion based on peer review and directs committee review to satisfy that rule.</x:v>
      </x:c>
      <x:c r="J58" s="8" t="str">
        <x:v>AI relaxes the criterion and recommends one thesis with caution.</x:v>
      </x:c>
      <x:c r="K58" s="8" t="str">
        <x:v>EXEC p83 L26-p83 L26</x:v>
      </x:c>
      <x:c r="L58" s="8" t="str">
        <x:v>EXEC p83 L27-p85 L4</x:v>
      </x:c>
      <x:c r="M58" s="8" t="str"/>
      <x:c r="N58" s="8" t="str">
        <x:v>Visible next AI response</x:v>
      </x:c>
      <x:c r="O58" s="8" t="str">
        <x:v>Human explicitly broadens the peer-review interpretation to committee-reviewed theses. This does not establish equivalence to journal/conference peer review or prove a thesis was included in the final manuscript pool.</x:v>
      </x:c>
      <x:c r="P58" s="9" t="n">
        <x:f>IF(OR(E58="Delegation",ISNUMBER(SEARCH("; Delegation; ","; "&amp;F58&amp;"; "))),1,0)</x:f>
        <x:v>0</x:v>
      </x:c>
      <x:c r="Q58" s="9" t="n">
        <x:f>IF(OR(E58="Directed delegation",ISNUMBER(SEARCH("; Directed delegation; ","; "&amp;F58&amp;"; "))),1,0)</x:f>
        <x:v>0</x:v>
      </x:c>
      <x:c r="R58" s="9" t="n">
        <x:f>IF(OR(E58="Evaluation",ISNUMBER(SEARCH("; Evaluation; ","; "&amp;F58&amp;"; "))),1,0)</x:f>
        <x:v>0</x:v>
      </x:c>
      <x:c r="S58" s="9" t="n">
        <x:f>IF(OR(E58="Correction/Challenge",ISNUMBER(SEARCH("; Correction/Challenge; ","; "&amp;F58&amp;"; "))),1,0)</x:f>
        <x:v>1</x:v>
      </x:c>
      <x:c r="T58" s="9" t="n">
        <x:f>IF(OR(E58="Redirection",ISNUMBER(SEARCH("; Redirection; ","; "&amp;F58&amp;"; "))),1,0)</x:f>
        <x:v>1</x:v>
      </x:c>
      <x:c r="U58" s="9" t="n">
        <x:f>IF(OR(E58="Knowledge injection",ISNUMBER(SEARCH("; Knowledge injection; ","; "&amp;F58&amp;"; "))),1,0)</x:f>
        <x:v>1</x:v>
      </x:c>
      <x:c r="V58" s="9" t="n">
        <x:f>IF(OR(E58="Selection/Rejection",ISNUMBER(SEARCH("; Selection/Rejection; ","; "&amp;F58&amp;"; "))),1,0)</x:f>
        <x:v>0</x:v>
      </x:c>
      <x:c r="W58" s="9" t="n">
        <x:f>IF(OR(E58="Deliberation",ISNUMBER(SEARCH("; Deliberation; ","; "&amp;F58&amp;"; "))),1,0)</x:f>
        <x:v>0</x:v>
      </x:c>
      <x:c r="X58" s="9" t="n">
        <x:f>IF(ISNUMBER(SEARCH("; domain correction; ","; "&amp;H58&amp;"; ")),1,0)</x:f>
        <x:v>0</x:v>
      </x:c>
      <x:c r="Y58" s="9" t="n">
        <x:f>IF(ISNUMBER(SEARCH("; conceptual discrimination; ","; "&amp;H58&amp;"; ")),1,0)</x:f>
        <x:v>1</x:v>
      </x:c>
      <x:c r="Z58" s="9" t="n">
        <x:f>IF(ISNUMBER(SEARCH("; evidence judgment; ","; "&amp;H58&amp;"; ")),1,0)</x:f>
        <x:v>1</x:v>
      </x:c>
      <x:c r="AA58" s="9" t="n">
        <x:f>IF(ISNUMBER(SEARCH("; methodological judgment; ","; "&amp;H58&amp;"; ")),1,0)</x:f>
        <x:v>1</x:v>
      </x:c>
      <x:c r="AB58" s="9" t="n">
        <x:f>IF(ISNUMBER(SEARCH("; argumentative judgment; ","; "&amp;H58&amp;"; ")),1,0)</x:f>
        <x:v>0</x:v>
      </x:c>
      <x:c r="AC58" s="9" t="n">
        <x:f>IF(ISNUMBER(SEARCH("; genre/writing expertise; ","; "&amp;H58&amp;"; ")),1,0)</x:f>
        <x:v>0</x:v>
      </x:c>
      <x:c r="AD58" s="9" t="n">
        <x:f>IF(ISNUMBER(SEARCH("; none; ","; "&amp;H58&amp;"; ")),1,0)</x:f>
        <x:v>0</x:v>
      </x:c>
    </x:row>
    <x:row r="59" ht="60" customHeight="1">
      <x:c r="A59" s="8" t="str">
        <x:v>P4-W1-001</x:v>
      </x:c>
      <x:c r="B59" s="9" t="n">
        <x:v>58</x:v>
      </x:c>
      <x:c r="C59" s="8" t="str">
        <x:v>Writing part 1</x:v>
      </x:c>
      <x:c r="D59" s="8" t="str">
        <x:v>-- latest paper is attached. do a review until begin of sec 5. I know rthat we still have to write 4.3</x:v>
      </x:c>
      <x:c r="E59" s="8" t="str">
        <x:v>Evaluation</x:v>
      </x:c>
      <x:c r="F59" s="8" t="str">
        <x:v>Knowledge injection; Directed delegation</x:v>
      </x:c>
      <x:c r="G59" s="8" t="str">
        <x:v>Evaluative</x:v>
      </x:c>
      <x:c r="H59" s="8" t="str">
        <x:v>genre/writing expertise</x:v>
      </x:c>
      <x:c r="I59" s="8" t="str">
        <x:v>Supplies a draft and constrains review to pre-results sections, noting unfinished synthesis text.</x:v>
      </x:c>
      <x:c r="J59" s="8" t="str">
        <x:v>AI provides a focused draft review and offers synthesis drafting.</x:v>
      </x:c>
      <x:c r="K59" s="8" t="str">
        <x:v>W1 p3 L4-p3 L4</x:v>
      </x:c>
      <x:c r="L59" s="8" t="str">
        <x:v>W1 p3 L5-p8 L10</x:v>
      </x:c>
      <x:c r="M59" s="8" t="str">
        <x:v>Paper1-SLR1-AI coding impact on Quality.docx</x:v>
      </x:c>
      <x:c r="N59" s="8" t="str">
        <x:v>Visible next AI response</x:v>
      </x:c>
      <x:c r="O59" s="8" t="str"/>
      <x:c r="P59" s="9" t="n">
        <x:f>IF(OR(E59="Delegation",ISNUMBER(SEARCH("; Delegation; ","; "&amp;F59&amp;"; "))),1,0)</x:f>
        <x:v>0</x:v>
      </x:c>
      <x:c r="Q59" s="9" t="n">
        <x:f>IF(OR(E59="Directed delegation",ISNUMBER(SEARCH("; Directed delegation; ","; "&amp;F59&amp;"; "))),1,0)</x:f>
        <x:v>1</x:v>
      </x:c>
      <x:c r="R59" s="9" t="n">
        <x:f>IF(OR(E59="Evaluation",ISNUMBER(SEARCH("; Evaluation; ","; "&amp;F59&amp;"; "))),1,0)</x:f>
        <x:v>1</x:v>
      </x:c>
      <x:c r="S59" s="9" t="n">
        <x:f>IF(OR(E59="Correction/Challenge",ISNUMBER(SEARCH("; Correction/Challenge; ","; "&amp;F59&amp;"; "))),1,0)</x:f>
        <x:v>0</x:v>
      </x:c>
      <x:c r="T59" s="9" t="n">
        <x:f>IF(OR(E59="Redirection",ISNUMBER(SEARCH("; Redirection; ","; "&amp;F59&amp;"; "))),1,0)</x:f>
        <x:v>0</x:v>
      </x:c>
      <x:c r="U59" s="9" t="n">
        <x:f>IF(OR(E59="Knowledge injection",ISNUMBER(SEARCH("; Knowledge injection; ","; "&amp;F59&amp;"; "))),1,0)</x:f>
        <x:v>1</x:v>
      </x:c>
      <x:c r="V59" s="9" t="n">
        <x:f>IF(OR(E59="Selection/Rejection",ISNUMBER(SEARCH("; Selection/Rejection; ","; "&amp;F59&amp;"; "))),1,0)</x:f>
        <x:v>0</x:v>
      </x:c>
      <x:c r="W59" s="9" t="n">
        <x:f>IF(OR(E59="Deliberation",ISNUMBER(SEARCH("; Deliberation; ","; "&amp;F59&amp;"; "))),1,0)</x:f>
        <x:v>0</x:v>
      </x:c>
      <x:c r="X59" s="9" t="n">
        <x:f>IF(ISNUMBER(SEARCH("; domain correction; ","; "&amp;H59&amp;"; ")),1,0)</x:f>
        <x:v>0</x:v>
      </x:c>
      <x:c r="Y59" s="9" t="n">
        <x:f>IF(ISNUMBER(SEARCH("; conceptual discrimination; ","; "&amp;H59&amp;"; ")),1,0)</x:f>
        <x:v>0</x:v>
      </x:c>
      <x:c r="Z59" s="9" t="n">
        <x:f>IF(ISNUMBER(SEARCH("; evidence judgment; ","; "&amp;H59&amp;"; ")),1,0)</x:f>
        <x:v>0</x:v>
      </x:c>
      <x:c r="AA59" s="9" t="n">
        <x:f>IF(ISNUMBER(SEARCH("; methodological judgment; ","; "&amp;H59&amp;"; ")),1,0)</x:f>
        <x:v>0</x:v>
      </x:c>
      <x:c r="AB59" s="9" t="n">
        <x:f>IF(ISNUMBER(SEARCH("; argumentative judgment; ","; "&amp;H59&amp;"; ")),1,0)</x:f>
        <x:v>0</x:v>
      </x:c>
      <x:c r="AC59" s="9" t="n">
        <x:f>IF(ISNUMBER(SEARCH("; genre/writing expertise; ","; "&amp;H59&amp;"; ")),1,0)</x:f>
        <x:v>1</x:v>
      </x:c>
      <x:c r="AD59" s="9" t="n">
        <x:f>IF(ISNUMBER(SEARCH("; none; ","; "&amp;H59&amp;"; ")),1,0)</x:f>
        <x:v>0</x:v>
      </x:c>
    </x:row>
    <x:row r="60" ht="60" customHeight="1">
      <x:c r="A60" s="8" t="str">
        <x:v>P4-W1-002</x:v>
      </x:c>
      <x:c r="B60" s="9" t="n">
        <x:v>59</x:v>
      </x:c>
      <x:c r="C60" s="8" t="str">
        <x:v>Writing part 1</x:v>
      </x:c>
      <x:c r="D60" s="8" t="str">
        <x:v>have you got the TOC right? see attached</x:v>
      </x:c>
      <x:c r="E60" s="8" t="str">
        <x:v>Correction/Challenge</x:v>
      </x:c>
      <x:c r="F60" s="8" t="str">
        <x:v>Evaluation; Knowledge injection</x:v>
      </x:c>
      <x:c r="G60" s="8" t="str">
        <x:v>Critical</x:v>
      </x:c>
      <x:c r="H60" s="8" t="str">
        <x:v>genre/writing expertise</x:v>
      </x:c>
      <x:c r="I60" s="8" t="str">
        <x:v>Questions whether AI understood the actual TOC and supplies a screenshot.</x:v>
      </x:c>
      <x:c r="J60" s="8" t="str">
        <x:v>AI revises its assessment of the manuscript structure.</x:v>
      </x:c>
      <x:c r="K60" s="8" t="str">
        <x:v>W1 p8 L11-p8 L11</x:v>
      </x:c>
      <x:c r="L60" s="8" t="str">
        <x:v>W1 p8 L12-p12 L13</x:v>
      </x:c>
      <x:c r="M60" s="8" t="str">
        <x:v>Referenced screenshot/figure; image contents are not human prompt prose.</x:v>
      </x:c>
      <x:c r="N60" s="8" t="str">
        <x:v>Visible next AI response</x:v>
      </x:c>
      <x:c r="O60" s="8" t="str">
        <x:v>A screenshot is referenced but is not transcribed into the prompt text; AI’s revised assessment is an observed response.</x:v>
      </x:c>
      <x:c r="P60" s="9" t="n">
        <x:f>IF(OR(E60="Delegation",ISNUMBER(SEARCH("; Delegation; ","; "&amp;F60&amp;"; "))),1,0)</x:f>
        <x:v>0</x:v>
      </x:c>
      <x:c r="Q60" s="9" t="n">
        <x:f>IF(OR(E60="Directed delegation",ISNUMBER(SEARCH("; Directed delegation; ","; "&amp;F60&amp;"; "))),1,0)</x:f>
        <x:v>0</x:v>
      </x:c>
      <x:c r="R60" s="9" t="n">
        <x:f>IF(OR(E60="Evaluation",ISNUMBER(SEARCH("; Evaluation; ","; "&amp;F60&amp;"; "))),1,0)</x:f>
        <x:v>1</x:v>
      </x:c>
      <x:c r="S60" s="9" t="n">
        <x:f>IF(OR(E60="Correction/Challenge",ISNUMBER(SEARCH("; Correction/Challenge; ","; "&amp;F60&amp;"; "))),1,0)</x:f>
        <x:v>1</x:v>
      </x:c>
      <x:c r="T60" s="9" t="n">
        <x:f>IF(OR(E60="Redirection",ISNUMBER(SEARCH("; Redirection; ","; "&amp;F60&amp;"; "))),1,0)</x:f>
        <x:v>0</x:v>
      </x:c>
      <x:c r="U60" s="9" t="n">
        <x:f>IF(OR(E60="Knowledge injection",ISNUMBER(SEARCH("; Knowledge injection; ","; "&amp;F60&amp;"; "))),1,0)</x:f>
        <x:v>1</x:v>
      </x:c>
      <x:c r="V60" s="9" t="n">
        <x:f>IF(OR(E60="Selection/Rejection",ISNUMBER(SEARCH("; Selection/Rejection; ","; "&amp;F60&amp;"; "))),1,0)</x:f>
        <x:v>0</x:v>
      </x:c>
      <x:c r="W60" s="9" t="n">
        <x:f>IF(OR(E60="Deliberation",ISNUMBER(SEARCH("; Deliberation; ","; "&amp;F60&amp;"; "))),1,0)</x:f>
        <x:v>0</x:v>
      </x:c>
      <x:c r="X60" s="9" t="n">
        <x:f>IF(ISNUMBER(SEARCH("; domain correction; ","; "&amp;H60&amp;"; ")),1,0)</x:f>
        <x:v>0</x:v>
      </x:c>
      <x:c r="Y60" s="9" t="n">
        <x:f>IF(ISNUMBER(SEARCH("; conceptual discrimination; ","; "&amp;H60&amp;"; ")),1,0)</x:f>
        <x:v>0</x:v>
      </x:c>
      <x:c r="Z60" s="9" t="n">
        <x:f>IF(ISNUMBER(SEARCH("; evidence judgment; ","; "&amp;H60&amp;"; ")),1,0)</x:f>
        <x:v>0</x:v>
      </x:c>
      <x:c r="AA60" s="9" t="n">
        <x:f>IF(ISNUMBER(SEARCH("; methodological judgment; ","; "&amp;H60&amp;"; ")),1,0)</x:f>
        <x:v>0</x:v>
      </x:c>
      <x:c r="AB60" s="9" t="n">
        <x:f>IF(ISNUMBER(SEARCH("; argumentative judgment; ","; "&amp;H60&amp;"; ")),1,0)</x:f>
        <x:v>0</x:v>
      </x:c>
      <x:c r="AC60" s="9" t="n">
        <x:f>IF(ISNUMBER(SEARCH("; genre/writing expertise; ","; "&amp;H60&amp;"; ")),1,0)</x:f>
        <x:v>1</x:v>
      </x:c>
      <x:c r="AD60" s="9" t="n">
        <x:f>IF(ISNUMBER(SEARCH("; none; ","; "&amp;H60&amp;"; ")),1,0)</x:f>
        <x:v>0</x:v>
      </x:c>
    </x:row>
    <x:row r="61" ht="60" customHeight="1">
      <x:c r="A61" s="8" t="str">
        <x:v>P4-W1-003</x:v>
      </x:c>
      <x:c r="B61" s="9" t="n">
        <x:v>60</x:v>
      </x:c>
      <x:c r="C61" s="8" t="str">
        <x:v>Writing part 1</x:v>
      </x:c>
      <x:c r="D61" s="8" t="str">
        <x:v>I did some text moving from sec 3 to sec 4, review this version. is it all good until 4.3?</x:v>
      </x:c>
      <x:c r="E61" s="8" t="str">
        <x:v>Evaluation</x:v>
      </x:c>
      <x:c r="F61" s="8" t="str">
        <x:v>Knowledge injection</x:v>
      </x:c>
      <x:c r="G61" s="8" t="str">
        <x:v>Evaluative</x:v>
      </x:c>
      <x:c r="H61" s="8" t="str">
        <x:v>genre/writing expertise</x:v>
      </x:c>
      <x:c r="I61" s="8" t="str">
        <x:v>Reports moving text between methods sections and requests bounded review of the revision.</x:v>
      </x:c>
      <x:c r="J61" s="8" t="str">
        <x:v>AI reviews the revised methods organization and identifies remaining issues.</x:v>
      </x:c>
      <x:c r="K61" s="8" t="str">
        <x:v>W1 p12 L16-p12 L16</x:v>
      </x:c>
      <x:c r="L61" s="8" t="str">
        <x:v>W1 p12 L17-p15 L22</x:v>
      </x:c>
      <x:c r="M61" s="8" t="str">
        <x:v>Paper1-SLR1-AI coding impact on Quality.docx</x:v>
      </x:c>
      <x:c r="N61" s="8" t="str">
        <x:v>Visible next AI response</x:v>
      </x:c>
      <x:c r="O61" s="8" t="str"/>
      <x:c r="P61" s="9" t="n">
        <x:f>IF(OR(E61="Delegation",ISNUMBER(SEARCH("; Delegation; ","; "&amp;F61&amp;"; "))),1,0)</x:f>
        <x:v>0</x:v>
      </x:c>
      <x:c r="Q61" s="9" t="n">
        <x:f>IF(OR(E61="Directed delegation",ISNUMBER(SEARCH("; Directed delegation; ","; "&amp;F61&amp;"; "))),1,0)</x:f>
        <x:v>0</x:v>
      </x:c>
      <x:c r="R61" s="9" t="n">
        <x:f>IF(OR(E61="Evaluation",ISNUMBER(SEARCH("; Evaluation; ","; "&amp;F61&amp;"; "))),1,0)</x:f>
        <x:v>1</x:v>
      </x:c>
      <x:c r="S61" s="9" t="n">
        <x:f>IF(OR(E61="Correction/Challenge",ISNUMBER(SEARCH("; Correction/Challenge; ","; "&amp;F61&amp;"; "))),1,0)</x:f>
        <x:v>0</x:v>
      </x:c>
      <x:c r="T61" s="9" t="n">
        <x:f>IF(OR(E61="Redirection",ISNUMBER(SEARCH("; Redirection; ","; "&amp;F61&amp;"; "))),1,0)</x:f>
        <x:v>0</x:v>
      </x:c>
      <x:c r="U61" s="9" t="n">
        <x:f>IF(OR(E61="Knowledge injection",ISNUMBER(SEARCH("; Knowledge injection; ","; "&amp;F61&amp;"; "))),1,0)</x:f>
        <x:v>1</x:v>
      </x:c>
      <x:c r="V61" s="9" t="n">
        <x:f>IF(OR(E61="Selection/Rejection",ISNUMBER(SEARCH("; Selection/Rejection; ","; "&amp;F61&amp;"; "))),1,0)</x:f>
        <x:v>0</x:v>
      </x:c>
      <x:c r="W61" s="9" t="n">
        <x:f>IF(OR(E61="Deliberation",ISNUMBER(SEARCH("; Deliberation; ","; "&amp;F61&amp;"; "))),1,0)</x:f>
        <x:v>0</x:v>
      </x:c>
      <x:c r="X61" s="9" t="n">
        <x:f>IF(ISNUMBER(SEARCH("; domain correction; ","; "&amp;H61&amp;"; ")),1,0)</x:f>
        <x:v>0</x:v>
      </x:c>
      <x:c r="Y61" s="9" t="n">
        <x:f>IF(ISNUMBER(SEARCH("; conceptual discrimination; ","; "&amp;H61&amp;"; ")),1,0)</x:f>
        <x:v>0</x:v>
      </x:c>
      <x:c r="Z61" s="9" t="n">
        <x:f>IF(ISNUMBER(SEARCH("; evidence judgment; ","; "&amp;H61&amp;"; ")),1,0)</x:f>
        <x:v>0</x:v>
      </x:c>
      <x:c r="AA61" s="9" t="n">
        <x:f>IF(ISNUMBER(SEARCH("; methodological judgment; ","; "&amp;H61&amp;"; ")),1,0)</x:f>
        <x:v>0</x:v>
      </x:c>
      <x:c r="AB61" s="9" t="n">
        <x:f>IF(ISNUMBER(SEARCH("; argumentative judgment; ","; "&amp;H61&amp;"; ")),1,0)</x:f>
        <x:v>0</x:v>
      </x:c>
      <x:c r="AC61" s="9" t="n">
        <x:f>IF(ISNUMBER(SEARCH("; genre/writing expertise; ","; "&amp;H61&amp;"; ")),1,0)</x:f>
        <x:v>1</x:v>
      </x:c>
      <x:c r="AD61" s="9" t="n">
        <x:f>IF(ISNUMBER(SEARCH("; none; ","; "&amp;H61&amp;"; ")),1,0)</x:f>
        <x:v>0</x:v>
      </x:c>
    </x:row>
    <x:row r="62" ht="92" customHeight="1">
      <x:c r="A62" s="8" t="str">
        <x:v>P4-W1-004</x:v>
      </x:c>
      <x:c r="B62" s="9" t="n">
        <x:v>61</x:v>
      </x:c>
      <x:c r="C62" s="8" t="str">
        <x:v>Writing part 1</x:v>
      </x:c>
      <x:c r="D62" s="8" t="str">
        <x:v>give 4.3.1 Search Strategy The literature search was conducted across major digital libraries: • IEEE Xplore • ACM Digital Library • Scopus • Web of Science • ScienceDirect Example search terms: ("AI code generation" OR "LLM code generation" OR "ChatGPT code generation" OR "GitHub Copilot" OR "AI…</x:v>
      </x:c>
      <x:c r="E62" s="8" t="str">
        <x:v>Directed delegation</x:v>
      </x:c>
      <x:c r="F62" s="8" t="str">
        <x:v>Knowledge injection</x:v>
      </x:c>
      <x:c r="G62" s="8" t="str">
        <x:v>Directive</x:v>
      </x:c>
      <x:c r="H62" s="8" t="str">
        <x:v>methodological judgment; genre/writing expertise</x:v>
      </x:c>
      <x:c r="I62" s="8" t="str">
        <x:v>Supplies databases, search terms and scope as the basis for Search Strategy prose.</x:v>
      </x:c>
      <x:c r="J62" s="8" t="str">
        <x:v>AI drafts the search-strategy subsection.</x:v>
      </x:c>
      <x:c r="K62" s="8" t="str">
        <x:v>W1 p15 L23-p15 L36</x:v>
      </x:c>
      <x:c r="L62" s="8" t="str">
        <x:v>W1 p15 L38-p16 L15</x:v>
      </x:c>
      <x:c r="M62" s="8" t="str"/>
      <x:c r="N62" s="8" t="str">
        <x:v>Visible next AI response</x:v>
      </x:c>
      <x:c r="O62" s="8" t="str"/>
      <x:c r="P62" s="9" t="n">
        <x:f>IF(OR(E62="Delegation",ISNUMBER(SEARCH("; Delegation; ","; "&amp;F62&amp;"; "))),1,0)</x:f>
        <x:v>0</x:v>
      </x:c>
      <x:c r="Q62" s="9" t="n">
        <x:f>IF(OR(E62="Directed delegation",ISNUMBER(SEARCH("; Directed delegation; ","; "&amp;F62&amp;"; "))),1,0)</x:f>
        <x:v>1</x:v>
      </x:c>
      <x:c r="R62" s="9" t="n">
        <x:f>IF(OR(E62="Evaluation",ISNUMBER(SEARCH("; Evaluation; ","; "&amp;F62&amp;"; "))),1,0)</x:f>
        <x:v>0</x:v>
      </x:c>
      <x:c r="S62" s="9" t="n">
        <x:f>IF(OR(E62="Correction/Challenge",ISNUMBER(SEARCH("; Correction/Challenge; ","; "&amp;F62&amp;"; "))),1,0)</x:f>
        <x:v>0</x:v>
      </x:c>
      <x:c r="T62" s="9" t="n">
        <x:f>IF(OR(E62="Redirection",ISNUMBER(SEARCH("; Redirection; ","; "&amp;F62&amp;"; "))),1,0)</x:f>
        <x:v>0</x:v>
      </x:c>
      <x:c r="U62" s="9" t="n">
        <x:f>IF(OR(E62="Knowledge injection",ISNUMBER(SEARCH("; Knowledge injection; ","; "&amp;F62&amp;"; "))),1,0)</x:f>
        <x:v>1</x:v>
      </x:c>
      <x:c r="V62" s="9" t="n">
        <x:f>IF(OR(E62="Selection/Rejection",ISNUMBER(SEARCH("; Selection/Rejection; ","; "&amp;F62&amp;"; "))),1,0)</x:f>
        <x:v>0</x:v>
      </x:c>
      <x:c r="W62" s="9" t="n">
        <x:f>IF(OR(E62="Deliberation",ISNUMBER(SEARCH("; Deliberation; ","; "&amp;F62&amp;"; "))),1,0)</x:f>
        <x:v>0</x:v>
      </x:c>
      <x:c r="X62" s="9" t="n">
        <x:f>IF(ISNUMBER(SEARCH("; domain correction; ","; "&amp;H62&amp;"; ")),1,0)</x:f>
        <x:v>0</x:v>
      </x:c>
      <x:c r="Y62" s="9" t="n">
        <x:f>IF(ISNUMBER(SEARCH("; conceptual discrimination; ","; "&amp;H62&amp;"; ")),1,0)</x:f>
        <x:v>0</x:v>
      </x:c>
      <x:c r="Z62" s="9" t="n">
        <x:f>IF(ISNUMBER(SEARCH("; evidence judgment; ","; "&amp;H62&amp;"; ")),1,0)</x:f>
        <x:v>0</x:v>
      </x:c>
      <x:c r="AA62" s="9" t="n">
        <x:f>IF(ISNUMBER(SEARCH("; methodological judgment; ","; "&amp;H62&amp;"; ")),1,0)</x:f>
        <x:v>1</x:v>
      </x:c>
      <x:c r="AB62" s="9" t="n">
        <x:f>IF(ISNUMBER(SEARCH("; argumentative judgment; ","; "&amp;H62&amp;"; ")),1,0)</x:f>
        <x:v>0</x:v>
      </x:c>
      <x:c r="AC62" s="9" t="n">
        <x:f>IF(ISNUMBER(SEARCH("; genre/writing expertise; ","; "&amp;H62&amp;"; ")),1,0)</x:f>
        <x:v>1</x:v>
      </x:c>
      <x:c r="AD62" s="9" t="n">
        <x:f>IF(ISNUMBER(SEARCH("; none; ","; "&amp;H62&amp;"; ")),1,0)</x:f>
        <x:v>0</x:v>
      </x:c>
    </x:row>
    <x:row r="63" ht="92" customHeight="1">
      <x:c r="A63" s="8" t="str">
        <x:v>P4-W1-005</x:v>
      </x:c>
      <x:c r="B63" s="9" t="n">
        <x:v>62</x:v>
      </x:c>
      <x:c r="C63" s="8" t="str">
        <x:v>Writing part 1</x:v>
      </x:c>
      <x:c r="D63" s="8" t="str">
        <x:v>say that AI assisted in paper search, ersearcher did review of the selected pool and see appendix A.2- Interaction with and prompting to the GenAI during the Paper Search Phase 36 Searching for the related sources 36 GenAI was not able to access full-text of a number of papers during the initial …</x:v>
      </x:c>
      <x:c r="E63" s="8" t="str">
        <x:v>Knowledge injection</x:v>
      </x:c>
      <x:c r="F63" s="8" t="str">
        <x:v>Directed delegation</x:v>
      </x:c>
      <x:c r="G63" s="8" t="str">
        <x:v>Directive</x:v>
      </x:c>
      <x:c r="H63" s="8" t="str">
        <x:v>methodological judgment; argumentative judgment; genre/writing expertise</x:v>
      </x:c>
      <x:c r="I63" s="8" t="str">
        <x:v>Supplies a detailed oversight account and appendix pointers to represent human/AI roles accurately.</x:v>
      </x:c>
      <x:c r="J63" s="8" t="str">
        <x:v>AI integrates AI-assisted search and human oversight into the subsection.</x:v>
      </x:c>
      <x:c r="K63" s="8" t="str">
        <x:v>W1 p16 L16-p16 L26</x:v>
      </x:c>
      <x:c r="L63" s="8" t="str">
        <x:v>W1 p16 L28-p17 L16</x:v>
      </x:c>
      <x:c r="M63" s="8" t="str"/>
      <x:c r="N63" s="8" t="str">
        <x:v>Visible next AI response</x:v>
      </x:c>
      <x:c r="O63" s="8" t="str"/>
      <x:c r="P63" s="9" t="n">
        <x:f>IF(OR(E63="Delegation",ISNUMBER(SEARCH("; Delegation; ","; "&amp;F63&amp;"; "))),1,0)</x:f>
        <x:v>0</x:v>
      </x:c>
      <x:c r="Q63" s="9" t="n">
        <x:f>IF(OR(E63="Directed delegation",ISNUMBER(SEARCH("; Directed delegation; ","; "&amp;F63&amp;"; "))),1,0)</x:f>
        <x:v>1</x:v>
      </x:c>
      <x:c r="R63" s="9" t="n">
        <x:f>IF(OR(E63="Evaluation",ISNUMBER(SEARCH("; Evaluation; ","; "&amp;F63&amp;"; "))),1,0)</x:f>
        <x:v>0</x:v>
      </x:c>
      <x:c r="S63" s="9" t="n">
        <x:f>IF(OR(E63="Correction/Challenge",ISNUMBER(SEARCH("; Correction/Challenge; ","; "&amp;F63&amp;"; "))),1,0)</x:f>
        <x:v>0</x:v>
      </x:c>
      <x:c r="T63" s="9" t="n">
        <x:f>IF(OR(E63="Redirection",ISNUMBER(SEARCH("; Redirection; ","; "&amp;F63&amp;"; "))),1,0)</x:f>
        <x:v>0</x:v>
      </x:c>
      <x:c r="U63" s="9" t="n">
        <x:f>IF(OR(E63="Knowledge injection",ISNUMBER(SEARCH("; Knowledge injection; ","; "&amp;F63&amp;"; "))),1,0)</x:f>
        <x:v>1</x:v>
      </x:c>
      <x:c r="V63" s="9" t="n">
        <x:f>IF(OR(E63="Selection/Rejection",ISNUMBER(SEARCH("; Selection/Rejection; ","; "&amp;F63&amp;"; "))),1,0)</x:f>
        <x:v>0</x:v>
      </x:c>
      <x:c r="W63" s="9" t="n">
        <x:f>IF(OR(E63="Deliberation",ISNUMBER(SEARCH("; Deliberation; ","; "&amp;F63&amp;"; "))),1,0)</x:f>
        <x:v>0</x:v>
      </x:c>
      <x:c r="X63" s="9" t="n">
        <x:f>IF(ISNUMBER(SEARCH("; domain correction; ","; "&amp;H63&amp;"; ")),1,0)</x:f>
        <x:v>0</x:v>
      </x:c>
      <x:c r="Y63" s="9" t="n">
        <x:f>IF(ISNUMBER(SEARCH("; conceptual discrimination; ","; "&amp;H63&amp;"; ")),1,0)</x:f>
        <x:v>0</x:v>
      </x:c>
      <x:c r="Z63" s="9" t="n">
        <x:f>IF(ISNUMBER(SEARCH("; evidence judgment; ","; "&amp;H63&amp;"; ")),1,0)</x:f>
        <x:v>0</x:v>
      </x:c>
      <x:c r="AA63" s="9" t="n">
        <x:f>IF(ISNUMBER(SEARCH("; methodological judgment; ","; "&amp;H63&amp;"; ")),1,0)</x:f>
        <x:v>1</x:v>
      </x:c>
      <x:c r="AB63" s="9" t="n">
        <x:f>IF(ISNUMBER(SEARCH("; argumentative judgment; ","; "&amp;H63&amp;"; ")),1,0)</x:f>
        <x:v>1</x:v>
      </x:c>
      <x:c r="AC63" s="9" t="n">
        <x:f>IF(ISNUMBER(SEARCH("; genre/writing expertise; ","; "&amp;H63&amp;"; ")),1,0)</x:f>
        <x:v>1</x:v>
      </x:c>
      <x:c r="AD63" s="9" t="n">
        <x:f>IF(ISNUMBER(SEARCH("; none; ","; "&amp;H63&amp;"; ")),1,0)</x:f>
        <x:v>0</x:v>
      </x:c>
    </x:row>
    <x:row r="64" ht="92" customHeight="1">
      <x:c r="A64" s="8" t="str">
        <x:v>P4-W1-006</x:v>
      </x:c>
      <x:c r="B64" s="9" t="n">
        <x:v>63</x:v>
      </x:c>
      <x:c r="C64" s="8" t="str">
        <x:v>Writing part 1</x:v>
      </x:c>
      <x:c r="D64" s="8" t="str">
        <x:v>give 4.3.2 Study Selection Process The study selection process consisted of three stages: 1. Identification 2. Screening 3. Eligibility assessment 4. Final inclusion The process followed the PRISMA framework for systematic reviews, stats and details are shown in the following sections.</x:v>
      </x:c>
      <x:c r="E64" s="8" t="str">
        <x:v>Directed delegation</x:v>
      </x:c>
      <x:c r="F64" s="8" t="str">
        <x:v>Knowledge injection</x:v>
      </x:c>
      <x:c r="G64" s="8" t="str">
        <x:v>Directive</x:v>
      </x:c>
      <x:c r="H64" s="8" t="str">
        <x:v>methodological judgment; genre/writing expertise</x:v>
      </x:c>
      <x:c r="I64" s="8" t="str">
        <x:v>Supplies PRISMA selection stages and asks for subsection prose.</x:v>
      </x:c>
      <x:c r="J64" s="8" t="str">
        <x:v>AI drafts a four-stage selection process, correcting the supplied three-stage label implicitly.</x:v>
      </x:c>
      <x:c r="K64" s="8" t="str">
        <x:v>W1 p17 L17-p17 L23</x:v>
      </x:c>
      <x:c r="L64" s="8" t="str">
        <x:v>W1 p17 L25-p17 L45</x:v>
      </x:c>
      <x:c r="M64" s="8" t="str"/>
      <x:c r="N64" s="8" t="str">
        <x:v>Visible next AI response</x:v>
      </x:c>
      <x:c r="O64" s="8" t="str">
        <x:v>The prompt says three stages but lists four. AI changes the label to four; this is AI correction, not human correction.</x:v>
      </x:c>
      <x:c r="P64" s="9" t="n">
        <x:f>IF(OR(E64="Delegation",ISNUMBER(SEARCH("; Delegation; ","; "&amp;F64&amp;"; "))),1,0)</x:f>
        <x:v>0</x:v>
      </x:c>
      <x:c r="Q64" s="9" t="n">
        <x:f>IF(OR(E64="Directed delegation",ISNUMBER(SEARCH("; Directed delegation; ","; "&amp;F64&amp;"; "))),1,0)</x:f>
        <x:v>1</x:v>
      </x:c>
      <x:c r="R64" s="9" t="n">
        <x:f>IF(OR(E64="Evaluation",ISNUMBER(SEARCH("; Evaluation; ","; "&amp;F64&amp;"; "))),1,0)</x:f>
        <x:v>0</x:v>
      </x:c>
      <x:c r="S64" s="9" t="n">
        <x:f>IF(OR(E64="Correction/Challenge",ISNUMBER(SEARCH("; Correction/Challenge; ","; "&amp;F64&amp;"; "))),1,0)</x:f>
        <x:v>0</x:v>
      </x:c>
      <x:c r="T64" s="9" t="n">
        <x:f>IF(OR(E64="Redirection",ISNUMBER(SEARCH("; Redirection; ","; "&amp;F64&amp;"; "))),1,0)</x:f>
        <x:v>0</x:v>
      </x:c>
      <x:c r="U64" s="9" t="n">
        <x:f>IF(OR(E64="Knowledge injection",ISNUMBER(SEARCH("; Knowledge injection; ","; "&amp;F64&amp;"; "))),1,0)</x:f>
        <x:v>1</x:v>
      </x:c>
      <x:c r="V64" s="9" t="n">
        <x:f>IF(OR(E64="Selection/Rejection",ISNUMBER(SEARCH("; Selection/Rejection; ","; "&amp;F64&amp;"; "))),1,0)</x:f>
        <x:v>0</x:v>
      </x:c>
      <x:c r="W64" s="9" t="n">
        <x:f>IF(OR(E64="Deliberation",ISNUMBER(SEARCH("; Deliberation; ","; "&amp;F64&amp;"; "))),1,0)</x:f>
        <x:v>0</x:v>
      </x:c>
      <x:c r="X64" s="9" t="n">
        <x:f>IF(ISNUMBER(SEARCH("; domain correction; ","; "&amp;H64&amp;"; ")),1,0)</x:f>
        <x:v>0</x:v>
      </x:c>
      <x:c r="Y64" s="9" t="n">
        <x:f>IF(ISNUMBER(SEARCH("; conceptual discrimination; ","; "&amp;H64&amp;"; ")),1,0)</x:f>
        <x:v>0</x:v>
      </x:c>
      <x:c r="Z64" s="9" t="n">
        <x:f>IF(ISNUMBER(SEARCH("; evidence judgment; ","; "&amp;H64&amp;"; ")),1,0)</x:f>
        <x:v>0</x:v>
      </x:c>
      <x:c r="AA64" s="9" t="n">
        <x:f>IF(ISNUMBER(SEARCH("; methodological judgment; ","; "&amp;H64&amp;"; ")),1,0)</x:f>
        <x:v>1</x:v>
      </x:c>
      <x:c r="AB64" s="9" t="n">
        <x:f>IF(ISNUMBER(SEARCH("; argumentative judgment; ","; "&amp;H64&amp;"; ")),1,0)</x:f>
        <x:v>0</x:v>
      </x:c>
      <x:c r="AC64" s="9" t="n">
        <x:f>IF(ISNUMBER(SEARCH("; genre/writing expertise; ","; "&amp;H64&amp;"; ")),1,0)</x:f>
        <x:v>1</x:v>
      </x:c>
      <x:c r="AD64" s="9" t="n">
        <x:f>IF(ISNUMBER(SEARCH("; none; ","; "&amp;H64&amp;"; ")),1,0)</x:f>
        <x:v>0</x:v>
      </x:c>
    </x:row>
    <x:row r="65" ht="60" customHeight="1">
      <x:c r="A65" s="8" t="str">
        <x:v>P4-W1-007</x:v>
      </x:c>
      <x:c r="B65" s="9" t="n">
        <x:v>64</x:v>
      </x:c>
      <x:c r="C65" s="8" t="str">
        <x:v>Writing part 1</x:v>
      </x:c>
      <x:c r="D65" s="8" t="str">
        <x:v>cut 50%</x:v>
      </x:c>
      <x:c r="E65" s="8" t="str">
        <x:v>Directed delegation</x:v>
      </x:c>
      <x:c r="F65" s="8" t="str"/>
      <x:c r="G65" s="8" t="str">
        <x:v>Directive</x:v>
      </x:c>
      <x:c r="H65" s="8" t="str">
        <x:v>genre/writing expertise</x:v>
      </x:c>
      <x:c r="I65" s="8" t="str">
        <x:v>Sets a 50-percent reduction target.</x:v>
      </x:c>
      <x:c r="J65" s="8" t="str">
        <x:v>AI provides a shorter selection-process section.</x:v>
      </x:c>
      <x:c r="K65" s="8" t="str">
        <x:v>W1 p17 L46-p17 L46</x:v>
      </x:c>
      <x:c r="L65" s="8" t="str">
        <x:v>W1 p18 L1-p18 L11</x:v>
      </x:c>
      <x:c r="M65" s="8" t="str"/>
      <x:c r="N65" s="8" t="str">
        <x:v>Visible next AI response</x:v>
      </x:c>
      <x:c r="O65" s="8" t="str"/>
      <x:c r="P65" s="9" t="n">
        <x:f>IF(OR(E65="Delegation",ISNUMBER(SEARCH("; Delegation; ","; "&amp;F65&amp;"; "))),1,0)</x:f>
        <x:v>0</x:v>
      </x:c>
      <x:c r="Q65" s="9" t="n">
        <x:f>IF(OR(E65="Directed delegation",ISNUMBER(SEARCH("; Directed delegation; ","; "&amp;F65&amp;"; "))),1,0)</x:f>
        <x:v>1</x:v>
      </x:c>
      <x:c r="R65" s="9" t="n">
        <x:f>IF(OR(E65="Evaluation",ISNUMBER(SEARCH("; Evaluation; ","; "&amp;F65&amp;"; "))),1,0)</x:f>
        <x:v>0</x:v>
      </x:c>
      <x:c r="S65" s="9" t="n">
        <x:f>IF(OR(E65="Correction/Challenge",ISNUMBER(SEARCH("; Correction/Challenge; ","; "&amp;F65&amp;"; "))),1,0)</x:f>
        <x:v>0</x:v>
      </x:c>
      <x:c r="T65" s="9" t="n">
        <x:f>IF(OR(E65="Redirection",ISNUMBER(SEARCH("; Redirection; ","; "&amp;F65&amp;"; "))),1,0)</x:f>
        <x:v>0</x:v>
      </x:c>
      <x:c r="U65" s="9" t="n">
        <x:f>IF(OR(E65="Knowledge injection",ISNUMBER(SEARCH("; Knowledge injection; ","; "&amp;F65&amp;"; "))),1,0)</x:f>
        <x:v>0</x:v>
      </x:c>
      <x:c r="V65" s="9" t="n">
        <x:f>IF(OR(E65="Selection/Rejection",ISNUMBER(SEARCH("; Selection/Rejection; ","; "&amp;F65&amp;"; "))),1,0)</x:f>
        <x:v>0</x:v>
      </x:c>
      <x:c r="W65" s="9" t="n">
        <x:f>IF(OR(E65="Deliberation",ISNUMBER(SEARCH("; Deliberation; ","; "&amp;F65&amp;"; "))),1,0)</x:f>
        <x:v>0</x:v>
      </x:c>
      <x:c r="X65" s="9" t="n">
        <x:f>IF(ISNUMBER(SEARCH("; domain correction; ","; "&amp;H65&amp;"; ")),1,0)</x:f>
        <x:v>0</x:v>
      </x:c>
      <x:c r="Y65" s="9" t="n">
        <x:f>IF(ISNUMBER(SEARCH("; conceptual discrimination; ","; "&amp;H65&amp;"; ")),1,0)</x:f>
        <x:v>0</x:v>
      </x:c>
      <x:c r="Z65" s="9" t="n">
        <x:f>IF(ISNUMBER(SEARCH("; evidence judgment; ","; "&amp;H65&amp;"; ")),1,0)</x:f>
        <x:v>0</x:v>
      </x:c>
      <x:c r="AA65" s="9" t="n">
        <x:f>IF(ISNUMBER(SEARCH("; methodological judgment; ","; "&amp;H65&amp;"; ")),1,0)</x:f>
        <x:v>0</x:v>
      </x:c>
      <x:c r="AB65" s="9" t="n">
        <x:f>IF(ISNUMBER(SEARCH("; argumentative judgment; ","; "&amp;H65&amp;"; ")),1,0)</x:f>
        <x:v>0</x:v>
      </x:c>
      <x:c r="AC65" s="9" t="n">
        <x:f>IF(ISNUMBER(SEARCH("; genre/writing expertise; ","; "&amp;H65&amp;"; ")),1,0)</x:f>
        <x:v>1</x:v>
      </x:c>
      <x:c r="AD65" s="9" t="n">
        <x:f>IF(ISNUMBER(SEARCH("; none; ","; "&amp;H65&amp;"; ")),1,0)</x:f>
        <x:v>0</x:v>
      </x:c>
    </x:row>
    <x:row r="66" ht="92" customHeight="1">
      <x:c r="A66" s="8" t="str">
        <x:v>P4-W1-008</x:v>
      </x:c>
      <x:c r="B66" s="9" t="n">
        <x:v>65</x:v>
      </x:c>
      <x:c r="C66" s="8" t="str">
        <x:v>Writing part 1</x:v>
      </x:c>
      <x:c r="D66" s="8" t="str">
        <x:v>give 4.3.3 Screening of the Candidate Papers AI tools were used to assist with parts of the literature screening and analysis process. AI assistance included: • summarizing papers • identifying potential variables • supporting initial categorization However: • All screening decisions were perform…</x:v>
      </x:c>
      <x:c r="E66" s="8" t="str">
        <x:v>Directed delegation</x:v>
      </x:c>
      <x:c r="F66" s="8" t="str">
        <x:v>Knowledge injection</x:v>
      </x:c>
      <x:c r="G66" s="8" t="str">
        <x:v>Directive</x:v>
      </x:c>
      <x:c r="H66" s="8" t="str">
        <x:v>methodological judgment; genre/writing expertise</x:v>
      </x:c>
      <x:c r="I66" s="8" t="str">
        <x:v>Supplies assistance and human-decision boundaries for screening prose.</x:v>
      </x:c>
      <x:c r="J66" s="8" t="str">
        <x:v>AI drafts the screening subsection.</x:v>
      </x:c>
      <x:c r="K66" s="8" t="str">
        <x:v>W1 p18 L12-p18 L22</x:v>
      </x:c>
      <x:c r="L66" s="8" t="str">
        <x:v>W1 p18 L24-p18 L30</x:v>
      </x:c>
      <x:c r="M66" s="8" t="str"/>
      <x:c r="N66" s="8" t="str">
        <x:v>Visible next AI response</x:v>
      </x:c>
      <x:c r="O66" s="8" t="str"/>
      <x:c r="P66" s="9" t="n">
        <x:f>IF(OR(E66="Delegation",ISNUMBER(SEARCH("; Delegation; ","; "&amp;F66&amp;"; "))),1,0)</x:f>
        <x:v>0</x:v>
      </x:c>
      <x:c r="Q66" s="9" t="n">
        <x:f>IF(OR(E66="Directed delegation",ISNUMBER(SEARCH("; Directed delegation; ","; "&amp;F66&amp;"; "))),1,0)</x:f>
        <x:v>1</x:v>
      </x:c>
      <x:c r="R66" s="9" t="n">
        <x:f>IF(OR(E66="Evaluation",ISNUMBER(SEARCH("; Evaluation; ","; "&amp;F66&amp;"; "))),1,0)</x:f>
        <x:v>0</x:v>
      </x:c>
      <x:c r="S66" s="9" t="n">
        <x:f>IF(OR(E66="Correction/Challenge",ISNUMBER(SEARCH("; Correction/Challenge; ","; "&amp;F66&amp;"; "))),1,0)</x:f>
        <x:v>0</x:v>
      </x:c>
      <x:c r="T66" s="9" t="n">
        <x:f>IF(OR(E66="Redirection",ISNUMBER(SEARCH("; Redirection; ","; "&amp;F66&amp;"; "))),1,0)</x:f>
        <x:v>0</x:v>
      </x:c>
      <x:c r="U66" s="9" t="n">
        <x:f>IF(OR(E66="Knowledge injection",ISNUMBER(SEARCH("; Knowledge injection; ","; "&amp;F66&amp;"; "))),1,0)</x:f>
        <x:v>1</x:v>
      </x:c>
      <x:c r="V66" s="9" t="n">
        <x:f>IF(OR(E66="Selection/Rejection",ISNUMBER(SEARCH("; Selection/Rejection; ","; "&amp;F66&amp;"; "))),1,0)</x:f>
        <x:v>0</x:v>
      </x:c>
      <x:c r="W66" s="9" t="n">
        <x:f>IF(OR(E66="Deliberation",ISNUMBER(SEARCH("; Deliberation; ","; "&amp;F66&amp;"; "))),1,0)</x:f>
        <x:v>0</x:v>
      </x:c>
      <x:c r="X66" s="9" t="n">
        <x:f>IF(ISNUMBER(SEARCH("; domain correction; ","; "&amp;H66&amp;"; ")),1,0)</x:f>
        <x:v>0</x:v>
      </x:c>
      <x:c r="Y66" s="9" t="n">
        <x:f>IF(ISNUMBER(SEARCH("; conceptual discrimination; ","; "&amp;H66&amp;"; ")),1,0)</x:f>
        <x:v>0</x:v>
      </x:c>
      <x:c r="Z66" s="9" t="n">
        <x:f>IF(ISNUMBER(SEARCH("; evidence judgment; ","; "&amp;H66&amp;"; ")),1,0)</x:f>
        <x:v>0</x:v>
      </x:c>
      <x:c r="AA66" s="9" t="n">
        <x:f>IF(ISNUMBER(SEARCH("; methodological judgment; ","; "&amp;H66&amp;"; ")),1,0)</x:f>
        <x:v>1</x:v>
      </x:c>
      <x:c r="AB66" s="9" t="n">
        <x:f>IF(ISNUMBER(SEARCH("; argumentative judgment; ","; "&amp;H66&amp;"; ")),1,0)</x:f>
        <x:v>0</x:v>
      </x:c>
      <x:c r="AC66" s="9" t="n">
        <x:f>IF(ISNUMBER(SEARCH("; genre/writing expertise; ","; "&amp;H66&amp;"; ")),1,0)</x:f>
        <x:v>1</x:v>
      </x:c>
      <x:c r="AD66" s="9" t="n">
        <x:f>IF(ISNUMBER(SEARCH("; none; ","; "&amp;H66&amp;"; ")),1,0)</x:f>
        <x:v>0</x:v>
      </x:c>
    </x:row>
    <x:row r="67" ht="92" customHeight="1">
      <x:c r="A67" s="8" t="str">
        <x:v>P4-W1-009</x:v>
      </x:c>
      <x:c r="B67" s="9" t="n">
        <x:v>66</x:v>
      </x:c>
      <x:c r="C67" s="8" t="str">
        <x:v>Writing part 1</x:v>
      </x:c>
      <x:c r="D67" s="8" t="str">
        <x:v>4.3.4 Inclusion and Exclusion Criteria Inclusion criteria: Papers were included if they: • present empirical evaluation of AI-based code generation • assess software code quality • report experimental or benchmark results • are published in peer-reviewed venues. Exclusion criteria: Papers were ex…</x:v>
      </x:c>
      <x:c r="E67" s="8" t="str">
        <x:v>Directed delegation</x:v>
      </x:c>
      <x:c r="F67" s="8" t="str">
        <x:v>Knowledge injection</x:v>
      </x:c>
      <x:c r="G67" s="8" t="str">
        <x:v>Directive</x:v>
      </x:c>
      <x:c r="H67" s="8" t="str">
        <x:v>evidence judgment; methodological judgment</x:v>
      </x:c>
      <x:c r="I67" s="8" t="str">
        <x:v>Supplies inclusion and exclusion rules for manuscript wording.</x:v>
      </x:c>
      <x:c r="J67" s="8" t="str">
        <x:v>AI reformulates the eligibility subsection.</x:v>
      </x:c>
      <x:c r="K67" s="8" t="str">
        <x:v>W1 p18 L31-p18 L41</x:v>
      </x:c>
      <x:c r="L67" s="8" t="str">
        <x:v>W1 p18 L43-p19 L10</x:v>
      </x:c>
      <x:c r="M67" s="8" t="str"/>
      <x:c r="N67" s="8" t="str">
        <x:v>Visible next AI response</x:v>
      </x:c>
      <x:c r="O67" s="8" t="str"/>
      <x:c r="P67" s="9" t="n">
        <x:f>IF(OR(E67="Delegation",ISNUMBER(SEARCH("; Delegation; ","; "&amp;F67&amp;"; "))),1,0)</x:f>
        <x:v>0</x:v>
      </x:c>
      <x:c r="Q67" s="9" t="n">
        <x:f>IF(OR(E67="Directed delegation",ISNUMBER(SEARCH("; Directed delegation; ","; "&amp;F67&amp;"; "))),1,0)</x:f>
        <x:v>1</x:v>
      </x:c>
      <x:c r="R67" s="9" t="n">
        <x:f>IF(OR(E67="Evaluation",ISNUMBER(SEARCH("; Evaluation; ","; "&amp;F67&amp;"; "))),1,0)</x:f>
        <x:v>0</x:v>
      </x:c>
      <x:c r="S67" s="9" t="n">
        <x:f>IF(OR(E67="Correction/Challenge",ISNUMBER(SEARCH("; Correction/Challenge; ","; "&amp;F67&amp;"; "))),1,0)</x:f>
        <x:v>0</x:v>
      </x:c>
      <x:c r="T67" s="9" t="n">
        <x:f>IF(OR(E67="Redirection",ISNUMBER(SEARCH("; Redirection; ","; "&amp;F67&amp;"; "))),1,0)</x:f>
        <x:v>0</x:v>
      </x:c>
      <x:c r="U67" s="9" t="n">
        <x:f>IF(OR(E67="Knowledge injection",ISNUMBER(SEARCH("; Knowledge injection; ","; "&amp;F67&amp;"; "))),1,0)</x:f>
        <x:v>1</x:v>
      </x:c>
      <x:c r="V67" s="9" t="n">
        <x:f>IF(OR(E67="Selection/Rejection",ISNUMBER(SEARCH("; Selection/Rejection; ","; "&amp;F67&amp;"; "))),1,0)</x:f>
        <x:v>0</x:v>
      </x:c>
      <x:c r="W67" s="9" t="n">
        <x:f>IF(OR(E67="Deliberation",ISNUMBER(SEARCH("; Deliberation; ","; "&amp;F67&amp;"; "))),1,0)</x:f>
        <x:v>0</x:v>
      </x:c>
      <x:c r="X67" s="9" t="n">
        <x:f>IF(ISNUMBER(SEARCH("; domain correction; ","; "&amp;H67&amp;"; ")),1,0)</x:f>
        <x:v>0</x:v>
      </x:c>
      <x:c r="Y67" s="9" t="n">
        <x:f>IF(ISNUMBER(SEARCH("; conceptual discrimination; ","; "&amp;H67&amp;"; ")),1,0)</x:f>
        <x:v>0</x:v>
      </x:c>
      <x:c r="Z67" s="9" t="n">
        <x:f>IF(ISNUMBER(SEARCH("; evidence judgment; ","; "&amp;H67&amp;"; ")),1,0)</x:f>
        <x:v>1</x:v>
      </x:c>
      <x:c r="AA67" s="9" t="n">
        <x:f>IF(ISNUMBER(SEARCH("; methodological judgment; ","; "&amp;H67&amp;"; ")),1,0)</x:f>
        <x:v>1</x:v>
      </x:c>
      <x:c r="AB67" s="9" t="n">
        <x:f>IF(ISNUMBER(SEARCH("; argumentative judgment; ","; "&amp;H67&amp;"; ")),1,0)</x:f>
        <x:v>0</x:v>
      </x:c>
      <x:c r="AC67" s="9" t="n">
        <x:f>IF(ISNUMBER(SEARCH("; genre/writing expertise; ","; "&amp;H67&amp;"; ")),1,0)</x:f>
        <x:v>0</x:v>
      </x:c>
      <x:c r="AD67" s="9" t="n">
        <x:f>IF(ISNUMBER(SEARCH("; none; ","; "&amp;H67&amp;"; ")),1,0)</x:f>
        <x:v>0</x:v>
      </x:c>
    </x:row>
    <x:row r="68" ht="60" customHeight="1">
      <x:c r="A68" s="8" t="str">
        <x:v>P4-W1-010</x:v>
      </x:c>
      <x:c r="B68" s="9" t="n">
        <x:v>67</x:v>
      </x:c>
      <x:c r="C68" s="8" t="str">
        <x:v>Writing part 1</x:v>
      </x:c>
      <x:c r="D68" s="8" t="str">
        <x:v>4.3.5 PRISMA process and statistics</x:v>
      </x:c>
      <x:c r="E68" s="8" t="str">
        <x:v>Delegation</x:v>
      </x:c>
      <x:c r="F68" s="8" t="str"/>
      <x:c r="G68" s="8" t="str">
        <x:v>Delegative</x:v>
      </x:c>
      <x:c r="H68" s="8" t="str">
        <x:v>none</x:v>
      </x:c>
      <x:c r="I68" s="8" t="str">
        <x:v>Names the requested PRISMA subsection without new constraints.</x:v>
      </x:c>
      <x:c r="J68" s="8" t="str">
        <x:v>AI drafts methods prose using previously asserted flow numbers and adds two studies to reach 24.</x:v>
      </x:c>
      <x:c r="K68" s="8" t="str">
        <x:v>W1 p19 L11-p19 L11</x:v>
      </x:c>
      <x:c r="L68" s="8" t="str">
        <x:v>W1 p19 L12-p19 L23</x:v>
      </x:c>
      <x:c r="M68" s="8" t="str"/>
      <x:c r="N68" s="8" t="str">
        <x:v>Visible next AI response</x:v>
      </x:c>
      <x:c r="O68" s="8" t="str">
        <x:v>AI reuses unsupported earlier PRISMA figures and adds two studies to reach 24. The full selection history remains unaudited.</x:v>
      </x:c>
      <x:c r="P68" s="9" t="n">
        <x:f>IF(OR(E68="Delegation",ISNUMBER(SEARCH("; Delegation; ","; "&amp;F68&amp;"; "))),1,0)</x:f>
        <x:v>1</x:v>
      </x:c>
      <x:c r="Q68" s="9" t="n">
        <x:f>IF(OR(E68="Directed delegation",ISNUMBER(SEARCH("; Directed delegation; ","; "&amp;F68&amp;"; "))),1,0)</x:f>
        <x:v>0</x:v>
      </x:c>
      <x:c r="R68" s="9" t="n">
        <x:f>IF(OR(E68="Evaluation",ISNUMBER(SEARCH("; Evaluation; ","; "&amp;F68&amp;"; "))),1,0)</x:f>
        <x:v>0</x:v>
      </x:c>
      <x:c r="S68" s="9" t="n">
        <x:f>IF(OR(E68="Correction/Challenge",ISNUMBER(SEARCH("; Correction/Challenge; ","; "&amp;F68&amp;"; "))),1,0)</x:f>
        <x:v>0</x:v>
      </x:c>
      <x:c r="T68" s="9" t="n">
        <x:f>IF(OR(E68="Redirection",ISNUMBER(SEARCH("; Redirection; ","; "&amp;F68&amp;"; "))),1,0)</x:f>
        <x:v>0</x:v>
      </x:c>
      <x:c r="U68" s="9" t="n">
        <x:f>IF(OR(E68="Knowledge injection",ISNUMBER(SEARCH("; Knowledge injection; ","; "&amp;F68&amp;"; "))),1,0)</x:f>
        <x:v>0</x:v>
      </x:c>
      <x:c r="V68" s="9" t="n">
        <x:f>IF(OR(E68="Selection/Rejection",ISNUMBER(SEARCH("; Selection/Rejection; ","; "&amp;F68&amp;"; "))),1,0)</x:f>
        <x:v>0</x:v>
      </x:c>
      <x:c r="W68" s="9" t="n">
        <x:f>IF(OR(E68="Deliberation",ISNUMBER(SEARCH("; Deliberation; ","; "&amp;F68&amp;"; "))),1,0)</x:f>
        <x:v>0</x:v>
      </x:c>
      <x:c r="X68" s="9" t="n">
        <x:f>IF(ISNUMBER(SEARCH("; domain correction; ","; "&amp;H68&amp;"; ")),1,0)</x:f>
        <x:v>0</x:v>
      </x:c>
      <x:c r="Y68" s="9" t="n">
        <x:f>IF(ISNUMBER(SEARCH("; conceptual discrimination; ","; "&amp;H68&amp;"; ")),1,0)</x:f>
        <x:v>0</x:v>
      </x:c>
      <x:c r="Z68" s="9" t="n">
        <x:f>IF(ISNUMBER(SEARCH("; evidence judgment; ","; "&amp;H68&amp;"; ")),1,0)</x:f>
        <x:v>0</x:v>
      </x:c>
      <x:c r="AA68" s="9" t="n">
        <x:f>IF(ISNUMBER(SEARCH("; methodological judgment; ","; "&amp;H68&amp;"; ")),1,0)</x:f>
        <x:v>0</x:v>
      </x:c>
      <x:c r="AB68" s="9" t="n">
        <x:f>IF(ISNUMBER(SEARCH("; argumentative judgment; ","; "&amp;H68&amp;"; ")),1,0)</x:f>
        <x:v>0</x:v>
      </x:c>
      <x:c r="AC68" s="9" t="n">
        <x:f>IF(ISNUMBER(SEARCH("; genre/writing expertise; ","; "&amp;H68&amp;"; ")),1,0)</x:f>
        <x:v>0</x:v>
      </x:c>
      <x:c r="AD68" s="9" t="n">
        <x:f>IF(ISNUMBER(SEARCH("; none; ","; "&amp;H68&amp;"; ")),1,0)</x:f>
        <x:v>1</x:v>
      </x:c>
    </x:row>
    <x:row r="69" ht="92" customHeight="1">
      <x:c r="A69" s="8" t="str">
        <x:v>P4-W1-011</x:v>
      </x:c>
      <x:c r="B69" s="9" t="n">
        <x:v>68</x:v>
      </x:c>
      <x:c r="C69" s="8" t="str">
        <x:v>Writing part 1</x:v>
      </x:c>
      <x:c r="D69" s="8" t="str">
        <x:v>4.3.6 Overview of Selected Primary Studies Pool of all the 24 studies studied in the SLR We will use the P1 … P24 label to refer to the primary studies, listed in Before answering the RQs, briefly summarize the dataset of papers. Typical items: • number of included papers • publication years • ve…</x:v>
      </x:c>
      <x:c r="E69" s="8" t="str">
        <x:v>Directed delegation</x:v>
      </x:c>
      <x:c r="F69" s="8" t="str">
        <x:v>Knowledge injection</x:v>
      </x:c>
      <x:c r="G69" s="8" t="str">
        <x:v>Directive</x:v>
      </x:c>
      <x:c r="H69" s="8" t="str">
        <x:v>methodological judgment; genre/writing expertise</x:v>
      </x:c>
      <x:c r="I69" s="8" t="str">
        <x:v>Specifies a 24-study overview, ID convention and histogram discussion.</x:v>
      </x:c>
      <x:c r="J69" s="8" t="str">
        <x:v>AI supplies a descriptive overview with year distribution.</x:v>
      </x:c>
      <x:c r="K69" s="8" t="str">
        <x:v>W1 p19 L24-p20 L6</x:v>
      </x:c>
      <x:c r="L69" s="8" t="str">
        <x:v>W1 p20 L8-p20 L19</x:v>
      </x:c>
      <x:c r="M69" s="8" t="str"/>
      <x:c r="N69" s="8" t="str">
        <x:v>Visible next AI response</x:v>
      </x:c>
      <x:c r="O69" s="8" t="str">
        <x:v>AI supplies a publication-year histogram distribution; the underlying extraction sheet is not independently inspected in this task.</x:v>
      </x:c>
      <x:c r="P69" s="9" t="n">
        <x:f>IF(OR(E69="Delegation",ISNUMBER(SEARCH("; Delegation; ","; "&amp;F69&amp;"; "))),1,0)</x:f>
        <x:v>0</x:v>
      </x:c>
      <x:c r="Q69" s="9" t="n">
        <x:f>IF(OR(E69="Directed delegation",ISNUMBER(SEARCH("; Directed delegation; ","; "&amp;F69&amp;"; "))),1,0)</x:f>
        <x:v>1</x:v>
      </x:c>
      <x:c r="R69" s="9" t="n">
        <x:f>IF(OR(E69="Evaluation",ISNUMBER(SEARCH("; Evaluation; ","; "&amp;F69&amp;"; "))),1,0)</x:f>
        <x:v>0</x:v>
      </x:c>
      <x:c r="S69" s="9" t="n">
        <x:f>IF(OR(E69="Correction/Challenge",ISNUMBER(SEARCH("; Correction/Challenge; ","; "&amp;F69&amp;"; "))),1,0)</x:f>
        <x:v>0</x:v>
      </x:c>
      <x:c r="T69" s="9" t="n">
        <x:f>IF(OR(E69="Redirection",ISNUMBER(SEARCH("; Redirection; ","; "&amp;F69&amp;"; "))),1,0)</x:f>
        <x:v>0</x:v>
      </x:c>
      <x:c r="U69" s="9" t="n">
        <x:f>IF(OR(E69="Knowledge injection",ISNUMBER(SEARCH("; Knowledge injection; ","; "&amp;F69&amp;"; "))),1,0)</x:f>
        <x:v>1</x:v>
      </x:c>
      <x:c r="V69" s="9" t="n">
        <x:f>IF(OR(E69="Selection/Rejection",ISNUMBER(SEARCH("; Selection/Rejection; ","; "&amp;F69&amp;"; "))),1,0)</x:f>
        <x:v>0</x:v>
      </x:c>
      <x:c r="W69" s="9" t="n">
        <x:f>IF(OR(E69="Deliberation",ISNUMBER(SEARCH("; Deliberation; ","; "&amp;F69&amp;"; "))),1,0)</x:f>
        <x:v>0</x:v>
      </x:c>
      <x:c r="X69" s="9" t="n">
        <x:f>IF(ISNUMBER(SEARCH("; domain correction; ","; "&amp;H69&amp;"; ")),1,0)</x:f>
        <x:v>0</x:v>
      </x:c>
      <x:c r="Y69" s="9" t="n">
        <x:f>IF(ISNUMBER(SEARCH("; conceptual discrimination; ","; "&amp;H69&amp;"; ")),1,0)</x:f>
        <x:v>0</x:v>
      </x:c>
      <x:c r="Z69" s="9" t="n">
        <x:f>IF(ISNUMBER(SEARCH("; evidence judgment; ","; "&amp;H69&amp;"; ")),1,0)</x:f>
        <x:v>0</x:v>
      </x:c>
      <x:c r="AA69" s="9" t="n">
        <x:f>IF(ISNUMBER(SEARCH("; methodological judgment; ","; "&amp;H69&amp;"; ")),1,0)</x:f>
        <x:v>1</x:v>
      </x:c>
      <x:c r="AB69" s="9" t="n">
        <x:f>IF(ISNUMBER(SEARCH("; argumentative judgment; ","; "&amp;H69&amp;"; ")),1,0)</x:f>
        <x:v>0</x:v>
      </x:c>
      <x:c r="AC69" s="9" t="n">
        <x:f>IF(ISNUMBER(SEARCH("; genre/writing expertise; ","; "&amp;H69&amp;"; ")),1,0)</x:f>
        <x:v>1</x:v>
      </x:c>
      <x:c r="AD69" s="9" t="n">
        <x:f>IF(ISNUMBER(SEARCH("; none; ","; "&amp;H69&amp;"; ")),1,0)</x:f>
        <x:v>0</x:v>
      </x:c>
    </x:row>
    <x:row r="70" ht="92" customHeight="1">
      <x:c r="A70" s="8" t="str">
        <x:v>P4-W1-012</x:v>
      </x:c>
      <x:c r="B70" s="9" t="n">
        <x:v>69</x:v>
      </x:c>
      <x:c r="C70" s="8" t="str">
        <x:v>Writing part 1</x:v>
      </x:c>
      <x:c r="D70" s="8" t="str">
        <x:v>4.3.7 Data Extraction For each included paper, the following information was extracted: • research questions • independent variables • dependent variables • evaluation methods • datasets and benchmarks • programming tasks • empirical findings Data extraction was AI-assisted but manually validated…</x:v>
      </x:c>
      <x:c r="E70" s="8" t="str">
        <x:v>Directed delegation</x:v>
      </x:c>
      <x:c r="F70" s="8" t="str">
        <x:v>Knowledge injection</x:v>
      </x:c>
      <x:c r="G70" s="8" t="str">
        <x:v>Directive</x:v>
      </x:c>
      <x:c r="H70" s="8" t="str">
        <x:v>evidence judgment; methodological judgment; genre/writing expertise</x:v>
      </x:c>
      <x:c r="I70" s="8" t="str">
        <x:v>Specifies extraction fields, human validation and appendix linkage.</x:v>
      </x:c>
      <x:c r="J70" s="8" t="str">
        <x:v>AI drafts the extraction subsection.</x:v>
      </x:c>
      <x:c r="K70" s="8" t="str">
        <x:v>W1 p20 L20-p20 L30</x:v>
      </x:c>
      <x:c r="L70" s="8" t="str">
        <x:v>W1 p20 L32-p20 L44</x:v>
      </x:c>
      <x:c r="M70" s="8" t="str"/>
      <x:c r="N70" s="8" t="str">
        <x:v>Visible next AI response</x:v>
      </x:c>
      <x:c r="O70" s="8" t="str"/>
      <x:c r="P70" s="9" t="n">
        <x:f>IF(OR(E70="Delegation",ISNUMBER(SEARCH("; Delegation; ","; "&amp;F70&amp;"; "))),1,0)</x:f>
        <x:v>0</x:v>
      </x:c>
      <x:c r="Q70" s="9" t="n">
        <x:f>IF(OR(E70="Directed delegation",ISNUMBER(SEARCH("; Directed delegation; ","; "&amp;F70&amp;"; "))),1,0)</x:f>
        <x:v>1</x:v>
      </x:c>
      <x:c r="R70" s="9" t="n">
        <x:f>IF(OR(E70="Evaluation",ISNUMBER(SEARCH("; Evaluation; ","; "&amp;F70&amp;"; "))),1,0)</x:f>
        <x:v>0</x:v>
      </x:c>
      <x:c r="S70" s="9" t="n">
        <x:f>IF(OR(E70="Correction/Challenge",ISNUMBER(SEARCH("; Correction/Challenge; ","; "&amp;F70&amp;"; "))),1,0)</x:f>
        <x:v>0</x:v>
      </x:c>
      <x:c r="T70" s="9" t="n">
        <x:f>IF(OR(E70="Redirection",ISNUMBER(SEARCH("; Redirection; ","; "&amp;F70&amp;"; "))),1,0)</x:f>
        <x:v>0</x:v>
      </x:c>
      <x:c r="U70" s="9" t="n">
        <x:f>IF(OR(E70="Knowledge injection",ISNUMBER(SEARCH("; Knowledge injection; ","; "&amp;F70&amp;"; "))),1,0)</x:f>
        <x:v>1</x:v>
      </x:c>
      <x:c r="V70" s="9" t="n">
        <x:f>IF(OR(E70="Selection/Rejection",ISNUMBER(SEARCH("; Selection/Rejection; ","; "&amp;F70&amp;"; "))),1,0)</x:f>
        <x:v>0</x:v>
      </x:c>
      <x:c r="W70" s="9" t="n">
        <x:f>IF(OR(E70="Deliberation",ISNUMBER(SEARCH("; Deliberation; ","; "&amp;F70&amp;"; "))),1,0)</x:f>
        <x:v>0</x:v>
      </x:c>
      <x:c r="X70" s="9" t="n">
        <x:f>IF(ISNUMBER(SEARCH("; domain correction; ","; "&amp;H70&amp;"; ")),1,0)</x:f>
        <x:v>0</x:v>
      </x:c>
      <x:c r="Y70" s="9" t="n">
        <x:f>IF(ISNUMBER(SEARCH("; conceptual discrimination; ","; "&amp;H70&amp;"; ")),1,0)</x:f>
        <x:v>0</x:v>
      </x:c>
      <x:c r="Z70" s="9" t="n">
        <x:f>IF(ISNUMBER(SEARCH("; evidence judgment; ","; "&amp;H70&amp;"; ")),1,0)</x:f>
        <x:v>1</x:v>
      </x:c>
      <x:c r="AA70" s="9" t="n">
        <x:f>IF(ISNUMBER(SEARCH("; methodological judgment; ","; "&amp;H70&amp;"; ")),1,0)</x:f>
        <x:v>1</x:v>
      </x:c>
      <x:c r="AB70" s="9" t="n">
        <x:f>IF(ISNUMBER(SEARCH("; argumentative judgment; ","; "&amp;H70&amp;"; ")),1,0)</x:f>
        <x:v>0</x:v>
      </x:c>
      <x:c r="AC70" s="9" t="n">
        <x:f>IF(ISNUMBER(SEARCH("; genre/writing expertise; ","; "&amp;H70&amp;"; ")),1,0)</x:f>
        <x:v>1</x:v>
      </x:c>
      <x:c r="AD70" s="9" t="n">
        <x:f>IF(ISNUMBER(SEARCH("; none; ","; "&amp;H70&amp;"; ")),1,0)</x:f>
        <x:v>0</x:v>
      </x:c>
    </x:row>
    <x:row r="71" ht="78" customHeight="1">
      <x:c r="A71" s="8" t="str">
        <x:v>P4-W1-013</x:v>
      </x:c>
      <x:c r="B71" s="9" t="n">
        <x:v>70</x:v>
      </x:c>
      <x:c r="C71" s="8" t="str">
        <x:v>Writing part 1</x:v>
      </x:c>
      <x:c r="D71" s="8" t="str">
        <x:v>* research questions * independent variables * dependent variables * evaluation methods * datasets and benchmarks * programming tasks * empirical findings make them unbulleted, and say that they refer to our RQs</x:v>
      </x:c>
      <x:c r="E71" s="8" t="str">
        <x:v>Directed delegation</x:v>
      </x:c>
      <x:c r="F71" s="8" t="str">
        <x:v>Redirection</x:v>
      </x:c>
      <x:c r="G71" s="8" t="str">
        <x:v>Directive</x:v>
      </x:c>
      <x:c r="H71" s="8" t="str">
        <x:v>methodological judgment; genre/writing expertise</x:v>
      </x:c>
      <x:c r="I71" s="8" t="str">
        <x:v>Changes bullets to prose and requires explicit linkage of extracted fields to RQs.</x:v>
      </x:c>
      <x:c r="J71" s="8" t="str">
        <x:v>AI rewrites the subsection accordingly.</x:v>
      </x:c>
      <x:c r="K71" s="8" t="str">
        <x:v>W1 p20 L45-p21 L1</x:v>
      </x:c>
      <x:c r="L71" s="8" t="str">
        <x:v>W1 p21 L2-p21 L9</x:v>
      </x:c>
      <x:c r="M71" s="8" t="str"/>
      <x:c r="N71" s="8" t="str">
        <x:v>Visible next AI response</x:v>
      </x:c>
      <x:c r="O71" s="8" t="str"/>
      <x:c r="P71" s="9" t="n">
        <x:f>IF(OR(E71="Delegation",ISNUMBER(SEARCH("; Delegation; ","; "&amp;F71&amp;"; "))),1,0)</x:f>
        <x:v>0</x:v>
      </x:c>
      <x:c r="Q71" s="9" t="n">
        <x:f>IF(OR(E71="Directed delegation",ISNUMBER(SEARCH("; Directed delegation; ","; "&amp;F71&amp;"; "))),1,0)</x:f>
        <x:v>1</x:v>
      </x:c>
      <x:c r="R71" s="9" t="n">
        <x:f>IF(OR(E71="Evaluation",ISNUMBER(SEARCH("; Evaluation; ","; "&amp;F71&amp;"; "))),1,0)</x:f>
        <x:v>0</x:v>
      </x:c>
      <x:c r="S71" s="9" t="n">
        <x:f>IF(OR(E71="Correction/Challenge",ISNUMBER(SEARCH("; Correction/Challenge; ","; "&amp;F71&amp;"; "))),1,0)</x:f>
        <x:v>0</x:v>
      </x:c>
      <x:c r="T71" s="9" t="n">
        <x:f>IF(OR(E71="Redirection",ISNUMBER(SEARCH("; Redirection; ","; "&amp;F71&amp;"; "))),1,0)</x:f>
        <x:v>1</x:v>
      </x:c>
      <x:c r="U71" s="9" t="n">
        <x:f>IF(OR(E71="Knowledge injection",ISNUMBER(SEARCH("; Knowledge injection; ","; "&amp;F71&amp;"; "))),1,0)</x:f>
        <x:v>0</x:v>
      </x:c>
      <x:c r="V71" s="9" t="n">
        <x:f>IF(OR(E71="Selection/Rejection",ISNUMBER(SEARCH("; Selection/Rejection; ","; "&amp;F71&amp;"; "))),1,0)</x:f>
        <x:v>0</x:v>
      </x:c>
      <x:c r="W71" s="9" t="n">
        <x:f>IF(OR(E71="Deliberation",ISNUMBER(SEARCH("; Deliberation; ","; "&amp;F71&amp;"; "))),1,0)</x:f>
        <x:v>0</x:v>
      </x:c>
      <x:c r="X71" s="9" t="n">
        <x:f>IF(ISNUMBER(SEARCH("; domain correction; ","; "&amp;H71&amp;"; ")),1,0)</x:f>
        <x:v>0</x:v>
      </x:c>
      <x:c r="Y71" s="9" t="n">
        <x:f>IF(ISNUMBER(SEARCH("; conceptual discrimination; ","; "&amp;H71&amp;"; ")),1,0)</x:f>
        <x:v>0</x:v>
      </x:c>
      <x:c r="Z71" s="9" t="n">
        <x:f>IF(ISNUMBER(SEARCH("; evidence judgment; ","; "&amp;H71&amp;"; ")),1,0)</x:f>
        <x:v>0</x:v>
      </x:c>
      <x:c r="AA71" s="9" t="n">
        <x:f>IF(ISNUMBER(SEARCH("; methodological judgment; ","; "&amp;H71&amp;"; ")),1,0)</x:f>
        <x:v>1</x:v>
      </x:c>
      <x:c r="AB71" s="9" t="n">
        <x:f>IF(ISNUMBER(SEARCH("; argumentative judgment; ","; "&amp;H71&amp;"; ")),1,0)</x:f>
        <x:v>0</x:v>
      </x:c>
      <x:c r="AC71" s="9" t="n">
        <x:f>IF(ISNUMBER(SEARCH("; genre/writing expertise; ","; "&amp;H71&amp;"; ")),1,0)</x:f>
        <x:v>1</x:v>
      </x:c>
      <x:c r="AD71" s="9" t="n">
        <x:f>IF(ISNUMBER(SEARCH("; none; ","; "&amp;H71&amp;"; ")),1,0)</x:f>
        <x:v>0</x:v>
      </x:c>
    </x:row>
    <x:row r="72" ht="92" customHeight="1">
      <x:c r="A72" s="8" t="str">
        <x:v>P4-W1-014</x:v>
      </x:c>
      <x:c r="B72" s="9" t="n">
        <x:v>71</x:v>
      </x:c>
      <x:c r="C72" s="8" t="str">
        <x:v>Writing part 1</x:v>
      </x:c>
      <x:c r="D72" s="8" t="str">
        <x:v>4.3.8 Data Analysis and Evidence Synthesis Used Cruzes and Dybå: Synthesizing evidence in SE research [17] The extracted data were analyzed using qualitative synthesis. synthesis of qualitative and quantitative evidence A formal meta-analysis was not feasible due to the heterogeneity of the prima…</x:v>
      </x:c>
      <x:c r="E72" s="8" t="str">
        <x:v>Directed delegation</x:v>
      </x:c>
      <x:c r="F72" s="8" t="str">
        <x:v>Knowledge injection</x:v>
      </x:c>
      <x:c r="G72" s="8" t="str">
        <x:v>Directive</x:v>
      </x:c>
      <x:c r="H72" s="8" t="str">
        <x:v>methodological judgment; argumentative judgment</x:v>
      </x:c>
      <x:c r="I72" s="8" t="str">
        <x:v>Provides a synthesis reference and argues against meta-analysis because of study heterogeneity.</x:v>
      </x:c>
      <x:c r="J72" s="8" t="str">
        <x:v>AI drafts pattern-based evidence-synthesis prose.</x:v>
      </x:c>
      <x:c r="K72" s="8" t="str">
        <x:v>W1 p21 L12-p21 L21</x:v>
      </x:c>
      <x:c r="L72" s="8" t="str">
        <x:v>W1 p21 L23-p21 L39</x:v>
      </x:c>
      <x:c r="M72" s="8" t="str">
        <x:v>Synthesizing Evidence in Software Engineering Research.pdf</x:v>
      </x:c>
      <x:c r="N72" s="8" t="str">
        <x:v>Visible next AI response</x:v>
      </x:c>
      <x:c r="O72" s="8" t="str">
        <x:v>A heterogeneous-study synthesis rationale is supplied. Original authorship of all pasted prose is not established.</x:v>
      </x:c>
      <x:c r="P72" s="9" t="n">
        <x:f>IF(OR(E72="Delegation",ISNUMBER(SEARCH("; Delegation; ","; "&amp;F72&amp;"; "))),1,0)</x:f>
        <x:v>0</x:v>
      </x:c>
      <x:c r="Q72" s="9" t="n">
        <x:f>IF(OR(E72="Directed delegation",ISNUMBER(SEARCH("; Directed delegation; ","; "&amp;F72&amp;"; "))),1,0)</x:f>
        <x:v>1</x:v>
      </x:c>
      <x:c r="R72" s="9" t="n">
        <x:f>IF(OR(E72="Evaluation",ISNUMBER(SEARCH("; Evaluation; ","; "&amp;F72&amp;"; "))),1,0)</x:f>
        <x:v>0</x:v>
      </x:c>
      <x:c r="S72" s="9" t="n">
        <x:f>IF(OR(E72="Correction/Challenge",ISNUMBER(SEARCH("; Correction/Challenge; ","; "&amp;F72&amp;"; "))),1,0)</x:f>
        <x:v>0</x:v>
      </x:c>
      <x:c r="T72" s="9" t="n">
        <x:f>IF(OR(E72="Redirection",ISNUMBER(SEARCH("; Redirection; ","; "&amp;F72&amp;"; "))),1,0)</x:f>
        <x:v>0</x:v>
      </x:c>
      <x:c r="U72" s="9" t="n">
        <x:f>IF(OR(E72="Knowledge injection",ISNUMBER(SEARCH("; Knowledge injection; ","; "&amp;F72&amp;"; "))),1,0)</x:f>
        <x:v>1</x:v>
      </x:c>
      <x:c r="V72" s="9" t="n">
        <x:f>IF(OR(E72="Selection/Rejection",ISNUMBER(SEARCH("; Selection/Rejection; ","; "&amp;F72&amp;"; "))),1,0)</x:f>
        <x:v>0</x:v>
      </x:c>
      <x:c r="W72" s="9" t="n">
        <x:f>IF(OR(E72="Deliberation",ISNUMBER(SEARCH("; Deliberation; ","; "&amp;F72&amp;"; "))),1,0)</x:f>
        <x:v>0</x:v>
      </x:c>
      <x:c r="X72" s="9" t="n">
        <x:f>IF(ISNUMBER(SEARCH("; domain correction; ","; "&amp;H72&amp;"; ")),1,0)</x:f>
        <x:v>0</x:v>
      </x:c>
      <x:c r="Y72" s="9" t="n">
        <x:f>IF(ISNUMBER(SEARCH("; conceptual discrimination; ","; "&amp;H72&amp;"; ")),1,0)</x:f>
        <x:v>0</x:v>
      </x:c>
      <x:c r="Z72" s="9" t="n">
        <x:f>IF(ISNUMBER(SEARCH("; evidence judgment; ","; "&amp;H72&amp;"; ")),1,0)</x:f>
        <x:v>0</x:v>
      </x:c>
      <x:c r="AA72" s="9" t="n">
        <x:f>IF(ISNUMBER(SEARCH("; methodological judgment; ","; "&amp;H72&amp;"; ")),1,0)</x:f>
        <x:v>1</x:v>
      </x:c>
      <x:c r="AB72" s="9" t="n">
        <x:f>IF(ISNUMBER(SEARCH("; argumentative judgment; ","; "&amp;H72&amp;"; ")),1,0)</x:f>
        <x:v>1</x:v>
      </x:c>
      <x:c r="AC72" s="9" t="n">
        <x:f>IF(ISNUMBER(SEARCH("; genre/writing expertise; ","; "&amp;H72&amp;"; ")),1,0)</x:f>
        <x:v>0</x:v>
      </x:c>
      <x:c r="AD72" s="9" t="n">
        <x:f>IF(ISNUMBER(SEARCH("; none; ","; "&amp;H72&amp;"; ")),1,0)</x:f>
        <x:v>0</x:v>
      </x:c>
    </x:row>
    <x:row r="73" ht="64" customHeight="1">
      <x:c r="A73" s="8" t="str">
        <x:v>P4-W1-015</x:v>
      </x:c>
      <x:c r="B73" s="9" t="n">
        <x:v>72</x:v>
      </x:c>
      <x:c r="C73" s="8" t="str">
        <x:v>Writing part 1</x:v>
      </x:c>
      <x:c r="D73" s="8" t="str">
        <x:v>give intro text of 5 Results and Analysis This section presents the findings of the review by answering the study’s RQs. First, we provide …</x:v>
      </x:c>
      <x:c r="E73" s="8" t="str">
        <x:v>Directed delegation</x:v>
      </x:c>
      <x:c r="F73" s="8" t="str">
        <x:v>Knowledge injection</x:v>
      </x:c>
      <x:c r="G73" s="8" t="str">
        <x:v>Directive</x:v>
      </x:c>
      <x:c r="H73" s="8" t="str">
        <x:v>genre/writing expertise</x:v>
      </x:c>
      <x:c r="I73" s="8" t="str">
        <x:v>Provides a starting sentence for an RQ-linked results introduction.</x:v>
      </x:c>
      <x:c r="J73" s="8" t="str">
        <x:v>AI supplies results-section introductory prose.</x:v>
      </x:c>
      <x:c r="K73" s="8" t="str">
        <x:v>W1 p22 L1-p22 L2</x:v>
      </x:c>
      <x:c r="L73" s="8" t="str">
        <x:v>W1 p22 L3-p22 L15</x:v>
      </x:c>
      <x:c r="M73" s="8" t="str"/>
      <x:c r="N73" s="8" t="str">
        <x:v>Visible next AI response</x:v>
      </x:c>
      <x:c r="O73" s="8" t="str"/>
      <x:c r="P73" s="9" t="n">
        <x:f>IF(OR(E73="Delegation",ISNUMBER(SEARCH("; Delegation; ","; "&amp;F73&amp;"; "))),1,0)</x:f>
        <x:v>0</x:v>
      </x:c>
      <x:c r="Q73" s="9" t="n">
        <x:f>IF(OR(E73="Directed delegation",ISNUMBER(SEARCH("; Directed delegation; ","; "&amp;F73&amp;"; "))),1,0)</x:f>
        <x:v>1</x:v>
      </x:c>
      <x:c r="R73" s="9" t="n">
        <x:f>IF(OR(E73="Evaluation",ISNUMBER(SEARCH("; Evaluation; ","; "&amp;F73&amp;"; "))),1,0)</x:f>
        <x:v>0</x:v>
      </x:c>
      <x:c r="S73" s="9" t="n">
        <x:f>IF(OR(E73="Correction/Challenge",ISNUMBER(SEARCH("; Correction/Challenge; ","; "&amp;F73&amp;"; "))),1,0)</x:f>
        <x:v>0</x:v>
      </x:c>
      <x:c r="T73" s="9" t="n">
        <x:f>IF(OR(E73="Redirection",ISNUMBER(SEARCH("; Redirection; ","; "&amp;F73&amp;"; "))),1,0)</x:f>
        <x:v>0</x:v>
      </x:c>
      <x:c r="U73" s="9" t="n">
        <x:f>IF(OR(E73="Knowledge injection",ISNUMBER(SEARCH("; Knowledge injection; ","; "&amp;F73&amp;"; "))),1,0)</x:f>
        <x:v>1</x:v>
      </x:c>
      <x:c r="V73" s="9" t="n">
        <x:f>IF(OR(E73="Selection/Rejection",ISNUMBER(SEARCH("; Selection/Rejection; ","; "&amp;F73&amp;"; "))),1,0)</x:f>
        <x:v>0</x:v>
      </x:c>
      <x:c r="W73" s="9" t="n">
        <x:f>IF(OR(E73="Deliberation",ISNUMBER(SEARCH("; Deliberation; ","; "&amp;F73&amp;"; "))),1,0)</x:f>
        <x:v>0</x:v>
      </x:c>
      <x:c r="X73" s="9" t="n">
        <x:f>IF(ISNUMBER(SEARCH("; domain correction; ","; "&amp;H73&amp;"; ")),1,0)</x:f>
        <x:v>0</x:v>
      </x:c>
      <x:c r="Y73" s="9" t="n">
        <x:f>IF(ISNUMBER(SEARCH("; conceptual discrimination; ","; "&amp;H73&amp;"; ")),1,0)</x:f>
        <x:v>0</x:v>
      </x:c>
      <x:c r="Z73" s="9" t="n">
        <x:f>IF(ISNUMBER(SEARCH("; evidence judgment; ","; "&amp;H73&amp;"; ")),1,0)</x:f>
        <x:v>0</x:v>
      </x:c>
      <x:c r="AA73" s="9" t="n">
        <x:f>IF(ISNUMBER(SEARCH("; methodological judgment; ","; "&amp;H73&amp;"; ")),1,0)</x:f>
        <x:v>0</x:v>
      </x:c>
      <x:c r="AB73" s="9" t="n">
        <x:f>IF(ISNUMBER(SEARCH("; argumentative judgment; ","; "&amp;H73&amp;"; ")),1,0)</x:f>
        <x:v>0</x:v>
      </x:c>
      <x:c r="AC73" s="9" t="n">
        <x:f>IF(ISNUMBER(SEARCH("; genre/writing expertise; ","; "&amp;H73&amp;"; ")),1,0)</x:f>
        <x:v>1</x:v>
      </x:c>
      <x:c r="AD73" s="9" t="n">
        <x:f>IF(ISNUMBER(SEARCH("; none; ","; "&amp;H73&amp;"; ")),1,0)</x:f>
        <x:v>0</x:v>
      </x:c>
    </x:row>
    <x:row r="74" ht="60" customHeight="1">
      <x:c r="A74" s="8" t="str">
        <x:v>P4-W1-016</x:v>
      </x:c>
      <x:c r="B74" s="9" t="n">
        <x:v>73</x:v>
      </x:c>
      <x:c r="C74" s="8" t="str">
        <x:v>Writing part 1</x:v>
      </x:c>
      <x:c r="D74" s="8" t="str">
        <x:v>for sec 5.2, explain and refer ot this fig</x:v>
      </x:c>
      <x:c r="E74" s="8" t="str">
        <x:v>Directed delegation</x:v>
      </x:c>
      <x:c r="F74" s="8" t="str">
        <x:v>Knowledge injection</x:v>
      </x:c>
      <x:c r="G74" s="8" t="str">
        <x:v>Directive</x:v>
      </x:c>
      <x:c r="H74" s="8" t="str">
        <x:v>genre/writing expertise</x:v>
      </x:c>
      <x:c r="I74" s="8" t="str">
        <x:v>Requires explanation and citation of a supplied figure in a specified section.</x:v>
      </x:c>
      <x:c r="J74" s="8" t="str">
        <x:v>AI drafts a figure-linked conceptual-context section.</x:v>
      </x:c>
      <x:c r="K74" s="8" t="str">
        <x:v>W1 p22 L16-p22 L16</x:v>
      </x:c>
      <x:c r="L74" s="8" t="str">
        <x:v>W1 p22 L17-p22 L37</x:v>
      </x:c>
      <x:c r="M74" s="8" t="str">
        <x:v>Referenced screenshot/figure; image contents are not human prompt prose.</x:v>
      </x:c>
      <x:c r="N74" s="8" t="str">
        <x:v>Visible next AI response</x:v>
      </x:c>
      <x:c r="O74" s="8" t="str"/>
      <x:c r="P74" s="9" t="n">
        <x:f>IF(OR(E74="Delegation",ISNUMBER(SEARCH("; Delegation; ","; "&amp;F74&amp;"; "))),1,0)</x:f>
        <x:v>0</x:v>
      </x:c>
      <x:c r="Q74" s="9" t="n">
        <x:f>IF(OR(E74="Directed delegation",ISNUMBER(SEARCH("; Directed delegation; ","; "&amp;F74&amp;"; "))),1,0)</x:f>
        <x:v>1</x:v>
      </x:c>
      <x:c r="R74" s="9" t="n">
        <x:f>IF(OR(E74="Evaluation",ISNUMBER(SEARCH("; Evaluation; ","; "&amp;F74&amp;"; "))),1,0)</x:f>
        <x:v>0</x:v>
      </x:c>
      <x:c r="S74" s="9" t="n">
        <x:f>IF(OR(E74="Correction/Challenge",ISNUMBER(SEARCH("; Correction/Challenge; ","; "&amp;F74&amp;"; "))),1,0)</x:f>
        <x:v>0</x:v>
      </x:c>
      <x:c r="T74" s="9" t="n">
        <x:f>IF(OR(E74="Redirection",ISNUMBER(SEARCH("; Redirection; ","; "&amp;F74&amp;"; "))),1,0)</x:f>
        <x:v>0</x:v>
      </x:c>
      <x:c r="U74" s="9" t="n">
        <x:f>IF(OR(E74="Knowledge injection",ISNUMBER(SEARCH("; Knowledge injection; ","; "&amp;F74&amp;"; "))),1,0)</x:f>
        <x:v>1</x:v>
      </x:c>
      <x:c r="V74" s="9" t="n">
        <x:f>IF(OR(E74="Selection/Rejection",ISNUMBER(SEARCH("; Selection/Rejection; ","; "&amp;F74&amp;"; "))),1,0)</x:f>
        <x:v>0</x:v>
      </x:c>
      <x:c r="W74" s="9" t="n">
        <x:f>IF(OR(E74="Deliberation",ISNUMBER(SEARCH("; Deliberation; ","; "&amp;F74&amp;"; "))),1,0)</x:f>
        <x:v>0</x:v>
      </x:c>
      <x:c r="X74" s="9" t="n">
        <x:f>IF(ISNUMBER(SEARCH("; domain correction; ","; "&amp;H74&amp;"; ")),1,0)</x:f>
        <x:v>0</x:v>
      </x:c>
      <x:c r="Y74" s="9" t="n">
        <x:f>IF(ISNUMBER(SEARCH("; conceptual discrimination; ","; "&amp;H74&amp;"; ")),1,0)</x:f>
        <x:v>0</x:v>
      </x:c>
      <x:c r="Z74" s="9" t="n">
        <x:f>IF(ISNUMBER(SEARCH("; evidence judgment; ","; "&amp;H74&amp;"; ")),1,0)</x:f>
        <x:v>0</x:v>
      </x:c>
      <x:c r="AA74" s="9" t="n">
        <x:f>IF(ISNUMBER(SEARCH("; methodological judgment; ","; "&amp;H74&amp;"; ")),1,0)</x:f>
        <x:v>0</x:v>
      </x:c>
      <x:c r="AB74" s="9" t="n">
        <x:f>IF(ISNUMBER(SEARCH("; argumentative judgment; ","; "&amp;H74&amp;"; ")),1,0)</x:f>
        <x:v>0</x:v>
      </x:c>
      <x:c r="AC74" s="9" t="n">
        <x:f>IF(ISNUMBER(SEARCH("; genre/writing expertise; ","; "&amp;H74&amp;"; ")),1,0)</x:f>
        <x:v>1</x:v>
      </x:c>
      <x:c r="AD74" s="9" t="n">
        <x:f>IF(ISNUMBER(SEARCH("; none; ","; "&amp;H74&amp;"; ")),1,0)</x:f>
        <x:v>0</x:v>
      </x:c>
    </x:row>
    <x:row r="75" ht="64" customHeight="1">
      <x:c r="A75" s="8" t="str">
        <x:v>P4-W1-017</x:v>
      </x:c>
      <x:c r="B75" s="9" t="n">
        <x:v>74</x:v>
      </x:c>
      <x:c r="C75" s="8" t="str">
        <x:v>Writing part 1</x:v>
      </x:c>
      <x:c r="D75" s="8" t="str">
        <x:v>5.1 Characterizing Conventional versus AI-Assisted Development … I have this … shorten it … [supplies a full conceptual draft].</x:v>
      </x:c>
      <x:c r="E75" s="8" t="str">
        <x:v>Directed delegation</x:v>
      </x:c>
      <x:c r="F75" s="8" t="str">
        <x:v>Knowledge injection</x:v>
      </x:c>
      <x:c r="G75" s="8" t="str">
        <x:v>Directive</x:v>
      </x:c>
      <x:c r="H75" s="8" t="str">
        <x:v>genre/writing expertise</x:v>
      </x:c>
      <x:c r="I75" s="8" t="str">
        <x:v>Supplies substantial conceptual draft text and requests shortening; original authorship of the pasted argument is not established.</x:v>
      </x:c>
      <x:c r="J75" s="8" t="str">
        <x:v>AI supplies a shorter conceptual-comparison subsection.</x:v>
      </x:c>
      <x:c r="K75" s="8" t="str">
        <x:v>W1 p23 L1-p23 L36</x:v>
      </x:c>
      <x:c r="L75" s="8" t="str">
        <x:v>W1 p23 L38-p24 L2</x:v>
      </x:c>
      <x:c r="M75" s="8" t="str"/>
      <x:c r="N75" s="8" t="str">
        <x:v>Visible next AI response</x:v>
      </x:c>
      <x:c r="O75" s="8" t="str">
        <x:v>Long supplied draft is context for editing. Its substantive argument may include prior AI text; independent human origination is not inferred.</x:v>
      </x:c>
      <x:c r="P75" s="9" t="n">
        <x:f>IF(OR(E75="Delegation",ISNUMBER(SEARCH("; Delegation; ","; "&amp;F75&amp;"; "))),1,0)</x:f>
        <x:v>0</x:v>
      </x:c>
      <x:c r="Q75" s="9" t="n">
        <x:f>IF(OR(E75="Directed delegation",ISNUMBER(SEARCH("; Directed delegation; ","; "&amp;F75&amp;"; "))),1,0)</x:f>
        <x:v>1</x:v>
      </x:c>
      <x:c r="R75" s="9" t="n">
        <x:f>IF(OR(E75="Evaluation",ISNUMBER(SEARCH("; Evaluation; ","; "&amp;F75&amp;"; "))),1,0)</x:f>
        <x:v>0</x:v>
      </x:c>
      <x:c r="S75" s="9" t="n">
        <x:f>IF(OR(E75="Correction/Challenge",ISNUMBER(SEARCH("; Correction/Challenge; ","; "&amp;F75&amp;"; "))),1,0)</x:f>
        <x:v>0</x:v>
      </x:c>
      <x:c r="T75" s="9" t="n">
        <x:f>IF(OR(E75="Redirection",ISNUMBER(SEARCH("; Redirection; ","; "&amp;F75&amp;"; "))),1,0)</x:f>
        <x:v>0</x:v>
      </x:c>
      <x:c r="U75" s="9" t="n">
        <x:f>IF(OR(E75="Knowledge injection",ISNUMBER(SEARCH("; Knowledge injection; ","; "&amp;F75&amp;"; "))),1,0)</x:f>
        <x:v>1</x:v>
      </x:c>
      <x:c r="V75" s="9" t="n">
        <x:f>IF(OR(E75="Selection/Rejection",ISNUMBER(SEARCH("; Selection/Rejection; ","; "&amp;F75&amp;"; "))),1,0)</x:f>
        <x:v>0</x:v>
      </x:c>
      <x:c r="W75" s="9" t="n">
        <x:f>IF(OR(E75="Deliberation",ISNUMBER(SEARCH("; Deliberation; ","; "&amp;F75&amp;"; "))),1,0)</x:f>
        <x:v>0</x:v>
      </x:c>
      <x:c r="X75" s="9" t="n">
        <x:f>IF(ISNUMBER(SEARCH("; domain correction; ","; "&amp;H75&amp;"; ")),1,0)</x:f>
        <x:v>0</x:v>
      </x:c>
      <x:c r="Y75" s="9" t="n">
        <x:f>IF(ISNUMBER(SEARCH("; conceptual discrimination; ","; "&amp;H75&amp;"; ")),1,0)</x:f>
        <x:v>0</x:v>
      </x:c>
      <x:c r="Z75" s="9" t="n">
        <x:f>IF(ISNUMBER(SEARCH("; evidence judgment; ","; "&amp;H75&amp;"; ")),1,0)</x:f>
        <x:v>0</x:v>
      </x:c>
      <x:c r="AA75" s="9" t="n">
        <x:f>IF(ISNUMBER(SEARCH("; methodological judgment; ","; "&amp;H75&amp;"; ")),1,0)</x:f>
        <x:v>0</x:v>
      </x:c>
      <x:c r="AB75" s="9" t="n">
        <x:f>IF(ISNUMBER(SEARCH("; argumentative judgment; ","; "&amp;H75&amp;"; ")),1,0)</x:f>
        <x:v>0</x:v>
      </x:c>
      <x:c r="AC75" s="9" t="n">
        <x:f>IF(ISNUMBER(SEARCH("; genre/writing expertise; ","; "&amp;H75&amp;"; ")),1,0)</x:f>
        <x:v>1</x:v>
      </x:c>
      <x:c r="AD75" s="9" t="n">
        <x:f>IF(ISNUMBER(SEARCH("; none; ","; "&amp;H75&amp;"; ")),1,0)</x:f>
        <x:v>0</x:v>
      </x:c>
    </x:row>
    <x:row r="76" ht="60" customHeight="1">
      <x:c r="A76" s="8" t="str">
        <x:v>P4-W1-018</x:v>
      </x:c>
      <x:c r="B76" s="9" t="n">
        <x:v>75</x:v>
      </x:c>
      <x:c r="C76" s="8" t="str">
        <x:v>Writing part 1</x:v>
      </x:c>
      <x:c r="D76" s="8" t="str">
        <x:v>latest draft is attached. give 6.1 Implications of the Findings</x:v>
      </x:c>
      <x:c r="E76" s="8" t="str">
        <x:v>Delegation</x:v>
      </x:c>
      <x:c r="F76" s="8" t="str">
        <x:v>Knowledge injection</x:v>
      </x:c>
      <x:c r="G76" s="8" t="str">
        <x:v>Delegative</x:v>
      </x:c>
      <x:c r="H76" s="8" t="str">
        <x:v>none</x:v>
      </x:c>
      <x:c r="I76" s="8" t="str">
        <x:v>Supplies the latest draft and requests an implications section with no new substantive constraints.</x:v>
      </x:c>
      <x:c r="J76" s="8" t="str">
        <x:v>AI drafts implications for research and practice.</x:v>
      </x:c>
      <x:c r="K76" s="8" t="str">
        <x:v>W1 p24 L5-p24 L5</x:v>
      </x:c>
      <x:c r="L76" s="8" t="str">
        <x:v>W1 p24 L6-p24 L35</x:v>
      </x:c>
      <x:c r="M76" s="8" t="str">
        <x:v>Paper1-SLR1-AI coding impact on Quality.docx</x:v>
      </x:c>
      <x:c r="N76" s="8" t="str">
        <x:v>Visible next AI response</x:v>
      </x:c>
      <x:c r="O76" s="8" t="str"/>
      <x:c r="P76" s="9" t="n">
        <x:f>IF(OR(E76="Delegation",ISNUMBER(SEARCH("; Delegation; ","; "&amp;F76&amp;"; "))),1,0)</x:f>
        <x:v>1</x:v>
      </x:c>
      <x:c r="Q76" s="9" t="n">
        <x:f>IF(OR(E76="Directed delegation",ISNUMBER(SEARCH("; Directed delegation; ","; "&amp;F76&amp;"; "))),1,0)</x:f>
        <x:v>0</x:v>
      </x:c>
      <x:c r="R76" s="9" t="n">
        <x:f>IF(OR(E76="Evaluation",ISNUMBER(SEARCH("; Evaluation; ","; "&amp;F76&amp;"; "))),1,0)</x:f>
        <x:v>0</x:v>
      </x:c>
      <x:c r="S76" s="9" t="n">
        <x:f>IF(OR(E76="Correction/Challenge",ISNUMBER(SEARCH("; Correction/Challenge; ","; "&amp;F76&amp;"; "))),1,0)</x:f>
        <x:v>0</x:v>
      </x:c>
      <x:c r="T76" s="9" t="n">
        <x:f>IF(OR(E76="Redirection",ISNUMBER(SEARCH("; Redirection; ","; "&amp;F76&amp;"; "))),1,0)</x:f>
        <x:v>0</x:v>
      </x:c>
      <x:c r="U76" s="9" t="n">
        <x:f>IF(OR(E76="Knowledge injection",ISNUMBER(SEARCH("; Knowledge injection; ","; "&amp;F76&amp;"; "))),1,0)</x:f>
        <x:v>1</x:v>
      </x:c>
      <x:c r="V76" s="9" t="n">
        <x:f>IF(OR(E76="Selection/Rejection",ISNUMBER(SEARCH("; Selection/Rejection; ","; "&amp;F76&amp;"; "))),1,0)</x:f>
        <x:v>0</x:v>
      </x:c>
      <x:c r="W76" s="9" t="n">
        <x:f>IF(OR(E76="Deliberation",ISNUMBER(SEARCH("; Deliberation; ","; "&amp;F76&amp;"; "))),1,0)</x:f>
        <x:v>0</x:v>
      </x:c>
      <x:c r="X76" s="9" t="n">
        <x:f>IF(ISNUMBER(SEARCH("; domain correction; ","; "&amp;H76&amp;"; ")),1,0)</x:f>
        <x:v>0</x:v>
      </x:c>
      <x:c r="Y76" s="9" t="n">
        <x:f>IF(ISNUMBER(SEARCH("; conceptual discrimination; ","; "&amp;H76&amp;"; ")),1,0)</x:f>
        <x:v>0</x:v>
      </x:c>
      <x:c r="Z76" s="9" t="n">
        <x:f>IF(ISNUMBER(SEARCH("; evidence judgment; ","; "&amp;H76&amp;"; ")),1,0)</x:f>
        <x:v>0</x:v>
      </x:c>
      <x:c r="AA76" s="9" t="n">
        <x:f>IF(ISNUMBER(SEARCH("; methodological judgment; ","; "&amp;H76&amp;"; ")),1,0)</x:f>
        <x:v>0</x:v>
      </x:c>
      <x:c r="AB76" s="9" t="n">
        <x:f>IF(ISNUMBER(SEARCH("; argumentative judgment; ","; "&amp;H76&amp;"; ")),1,0)</x:f>
        <x:v>0</x:v>
      </x:c>
      <x:c r="AC76" s="9" t="n">
        <x:f>IF(ISNUMBER(SEARCH("; genre/writing expertise; ","; "&amp;H76&amp;"; ")),1,0)</x:f>
        <x:v>0</x:v>
      </x:c>
      <x:c r="AD76" s="9" t="n">
        <x:f>IF(ISNUMBER(SEARCH("; none; ","; "&amp;H76&amp;"; ")),1,0)</x:f>
        <x:v>1</x:v>
      </x:c>
    </x:row>
    <x:row r="77" ht="92" customHeight="1">
      <x:c r="A77" s="8" t="str">
        <x:v>P4-W1-019</x:v>
      </x:c>
      <x:c r="B77" s="9" t="n">
        <x:v>76</x:v>
      </x:c>
      <x:c r="C77" s="8" t="str">
        <x:v>Writing part 1</x:v>
      </x:c>
      <x:c r="D77" s="8" t="str">
        <x:v>6.2 Limitations and Threats to Validity Given the empirical nature of this research, the findings should be interpreted in light of several limitations and potential threats to validity. Like any empirical study, the investigation reported in Section 4 is subject to constraints related to context…</x:v>
      </x:c>
      <x:c r="E77" s="8" t="str">
        <x:v>Directed delegation</x:v>
      </x:c>
      <x:c r="F77" s="8" t="str">
        <x:v>Knowledge injection</x:v>
      </x:c>
      <x:c r="G77" s="8" t="str">
        <x:v>Directive</x:v>
      </x:c>
      <x:c r="H77" s="8" t="str">
        <x:v>methodological judgment; genre/writing expertise</x:v>
      </x:c>
      <x:c r="I77" s="8" t="str">
        <x:v>Supplies a four-category validity framework and opening prose.</x:v>
      </x:c>
      <x:c r="J77" s="8" t="str">
        <x:v>AI completes a threats-to-validity section.</x:v>
      </x:c>
      <x:c r="K77" s="8" t="str">
        <x:v>W1 p24 L36-p24 L40</x:v>
      </x:c>
      <x:c r="L77" s="8" t="str">
        <x:v>W1 p24 L42-p25 L19</x:v>
      </x:c>
      <x:c r="M77" s="8" t="str"/>
      <x:c r="N77" s="8" t="str">
        <x:v>Visible next AI response</x:v>
      </x:c>
      <x:c r="O77" s="8" t="str"/>
      <x:c r="P77" s="9" t="n">
        <x:f>IF(OR(E77="Delegation",ISNUMBER(SEARCH("; Delegation; ","; "&amp;F77&amp;"; "))),1,0)</x:f>
        <x:v>0</x:v>
      </x:c>
      <x:c r="Q77" s="9" t="n">
        <x:f>IF(OR(E77="Directed delegation",ISNUMBER(SEARCH("; Directed delegation; ","; "&amp;F77&amp;"; "))),1,0)</x:f>
        <x:v>1</x:v>
      </x:c>
      <x:c r="R77" s="9" t="n">
        <x:f>IF(OR(E77="Evaluation",ISNUMBER(SEARCH("; Evaluation; ","; "&amp;F77&amp;"; "))),1,0)</x:f>
        <x:v>0</x:v>
      </x:c>
      <x:c r="S77" s="9" t="n">
        <x:f>IF(OR(E77="Correction/Challenge",ISNUMBER(SEARCH("; Correction/Challenge; ","; "&amp;F77&amp;"; "))),1,0)</x:f>
        <x:v>0</x:v>
      </x:c>
      <x:c r="T77" s="9" t="n">
        <x:f>IF(OR(E77="Redirection",ISNUMBER(SEARCH("; Redirection; ","; "&amp;F77&amp;"; "))),1,0)</x:f>
        <x:v>0</x:v>
      </x:c>
      <x:c r="U77" s="9" t="n">
        <x:f>IF(OR(E77="Knowledge injection",ISNUMBER(SEARCH("; Knowledge injection; ","; "&amp;F77&amp;"; "))),1,0)</x:f>
        <x:v>1</x:v>
      </x:c>
      <x:c r="V77" s="9" t="n">
        <x:f>IF(OR(E77="Selection/Rejection",ISNUMBER(SEARCH("; Selection/Rejection; ","; "&amp;F77&amp;"; "))),1,0)</x:f>
        <x:v>0</x:v>
      </x:c>
      <x:c r="W77" s="9" t="n">
        <x:f>IF(OR(E77="Deliberation",ISNUMBER(SEARCH("; Deliberation; ","; "&amp;F77&amp;"; "))),1,0)</x:f>
        <x:v>0</x:v>
      </x:c>
      <x:c r="X77" s="9" t="n">
        <x:f>IF(ISNUMBER(SEARCH("; domain correction; ","; "&amp;H77&amp;"; ")),1,0)</x:f>
        <x:v>0</x:v>
      </x:c>
      <x:c r="Y77" s="9" t="n">
        <x:f>IF(ISNUMBER(SEARCH("; conceptual discrimination; ","; "&amp;H77&amp;"; ")),1,0)</x:f>
        <x:v>0</x:v>
      </x:c>
      <x:c r="Z77" s="9" t="n">
        <x:f>IF(ISNUMBER(SEARCH("; evidence judgment; ","; "&amp;H77&amp;"; ")),1,0)</x:f>
        <x:v>0</x:v>
      </x:c>
      <x:c r="AA77" s="9" t="n">
        <x:f>IF(ISNUMBER(SEARCH("; methodological judgment; ","; "&amp;H77&amp;"; ")),1,0)</x:f>
        <x:v>1</x:v>
      </x:c>
      <x:c r="AB77" s="9" t="n">
        <x:f>IF(ISNUMBER(SEARCH("; argumentative judgment; ","; "&amp;H77&amp;"; ")),1,0)</x:f>
        <x:v>0</x:v>
      </x:c>
      <x:c r="AC77" s="9" t="n">
        <x:f>IF(ISNUMBER(SEARCH("; genre/writing expertise; ","; "&amp;H77&amp;"; ")),1,0)</x:f>
        <x:v>1</x:v>
      </x:c>
      <x:c r="AD77" s="9" t="n">
        <x:f>IF(ISNUMBER(SEARCH("; none; ","; "&amp;H77&amp;"; ")),1,0)</x:f>
        <x:v>0</x:v>
      </x:c>
    </x:row>
    <x:row r="78" ht="60" customHeight="1">
      <x:c r="A78" s="8" t="str">
        <x:v>P4-W1-020</x:v>
      </x:c>
      <x:c r="B78" s="9" t="n">
        <x:v>77</x:v>
      </x:c>
      <x:c r="C78" s="8" t="str">
        <x:v>Writing part 1</x:v>
      </x:c>
      <x:c r="D78" s="8" t="str">
        <x:v>7 Conclusions and Future Work</x:v>
      </x:c>
      <x:c r="E78" s="8" t="str">
        <x:v>Delegation</x:v>
      </x:c>
      <x:c r="F78" s="8" t="str"/>
      <x:c r="G78" s="8" t="str">
        <x:v>Delegative</x:v>
      </x:c>
      <x:c r="H78" s="8" t="str">
        <x:v>none</x:v>
      </x:c>
      <x:c r="I78" s="8" t="str">
        <x:v>Names a conclusions section without new constraints.</x:v>
      </x:c>
      <x:c r="J78" s="8" t="str">
        <x:v>AI drafts conclusions and future work.</x:v>
      </x:c>
      <x:c r="K78" s="8" t="str">
        <x:v>W1 p25 L20-p25 L20</x:v>
      </x:c>
      <x:c r="L78" s="8" t="str">
        <x:v>W1 p25 L21-p25 L43</x:v>
      </x:c>
      <x:c r="M78" s="8" t="str"/>
      <x:c r="N78" s="8" t="str">
        <x:v>Visible next AI response</x:v>
      </x:c>
      <x:c r="O78" s="8" t="str"/>
      <x:c r="P78" s="9" t="n">
        <x:f>IF(OR(E78="Delegation",ISNUMBER(SEARCH("; Delegation; ","; "&amp;F78&amp;"; "))),1,0)</x:f>
        <x:v>1</x:v>
      </x:c>
      <x:c r="Q78" s="9" t="n">
        <x:f>IF(OR(E78="Directed delegation",ISNUMBER(SEARCH("; Directed delegation; ","; "&amp;F78&amp;"; "))),1,0)</x:f>
        <x:v>0</x:v>
      </x:c>
      <x:c r="R78" s="9" t="n">
        <x:f>IF(OR(E78="Evaluation",ISNUMBER(SEARCH("; Evaluation; ","; "&amp;F78&amp;"; "))),1,0)</x:f>
        <x:v>0</x:v>
      </x:c>
      <x:c r="S78" s="9" t="n">
        <x:f>IF(OR(E78="Correction/Challenge",ISNUMBER(SEARCH("; Correction/Challenge; ","; "&amp;F78&amp;"; "))),1,0)</x:f>
        <x:v>0</x:v>
      </x:c>
      <x:c r="T78" s="9" t="n">
        <x:f>IF(OR(E78="Redirection",ISNUMBER(SEARCH("; Redirection; ","; "&amp;F78&amp;"; "))),1,0)</x:f>
        <x:v>0</x:v>
      </x:c>
      <x:c r="U78" s="9" t="n">
        <x:f>IF(OR(E78="Knowledge injection",ISNUMBER(SEARCH("; Knowledge injection; ","; "&amp;F78&amp;"; "))),1,0)</x:f>
        <x:v>0</x:v>
      </x:c>
      <x:c r="V78" s="9" t="n">
        <x:f>IF(OR(E78="Selection/Rejection",ISNUMBER(SEARCH("; Selection/Rejection; ","; "&amp;F78&amp;"; "))),1,0)</x:f>
        <x:v>0</x:v>
      </x:c>
      <x:c r="W78" s="9" t="n">
        <x:f>IF(OR(E78="Deliberation",ISNUMBER(SEARCH("; Deliberation; ","; "&amp;F78&amp;"; "))),1,0)</x:f>
        <x:v>0</x:v>
      </x:c>
      <x:c r="X78" s="9" t="n">
        <x:f>IF(ISNUMBER(SEARCH("; domain correction; ","; "&amp;H78&amp;"; ")),1,0)</x:f>
        <x:v>0</x:v>
      </x:c>
      <x:c r="Y78" s="9" t="n">
        <x:f>IF(ISNUMBER(SEARCH("; conceptual discrimination; ","; "&amp;H78&amp;"; ")),1,0)</x:f>
        <x:v>0</x:v>
      </x:c>
      <x:c r="Z78" s="9" t="n">
        <x:f>IF(ISNUMBER(SEARCH("; evidence judgment; ","; "&amp;H78&amp;"; ")),1,0)</x:f>
        <x:v>0</x:v>
      </x:c>
      <x:c r="AA78" s="9" t="n">
        <x:f>IF(ISNUMBER(SEARCH("; methodological judgment; ","; "&amp;H78&amp;"; ")),1,0)</x:f>
        <x:v>0</x:v>
      </x:c>
      <x:c r="AB78" s="9" t="n">
        <x:f>IF(ISNUMBER(SEARCH("; argumentative judgment; ","; "&amp;H78&amp;"; ")),1,0)</x:f>
        <x:v>0</x:v>
      </x:c>
      <x:c r="AC78" s="9" t="n">
        <x:f>IF(ISNUMBER(SEARCH("; genre/writing expertise; ","; "&amp;H78&amp;"; ")),1,0)</x:f>
        <x:v>0</x:v>
      </x:c>
      <x:c r="AD78" s="9" t="n">
        <x:f>IF(ISNUMBER(SEARCH("; none; ","; "&amp;H78&amp;"; ")),1,0)</x:f>
        <x:v>1</x:v>
      </x:c>
    </x:row>
    <x:row r="79" ht="64" customHeight="1">
      <x:c r="A79" s="8" t="str">
        <x:v>P4-W1-021</x:v>
      </x:c>
      <x:c r="B79" s="9" t="n">
        <x:v>78</x:v>
      </x:c>
      <x:c r="C79" s="8" t="str">
        <x:v>Writing part 1</x:v>
      </x:c>
      <x:c r="D79" s="8" t="str">
        <x:v>standardized benchmarks and evaluation metrics well, we saw in the reivew that a few such common benchmarks are starting to appear, so make that phrase more fair / precise</x:v>
      </x:c>
      <x:c r="E79" s="8" t="str">
        <x:v>Correction/Challenge</x:v>
      </x:c>
      <x:c r="F79" s="8" t="str">
        <x:v>Knowledge injection; Directed delegation</x:v>
      </x:c>
      <x:c r="G79" s="8" t="str">
        <x:v>Critical</x:v>
      </x:c>
      <x:c r="H79" s="8" t="str">
        <x:v>evidence judgment; argumentative judgment</x:v>
      </x:c>
      <x:c r="I79" s="8" t="str">
        <x:v>Qualifies the call for standards by pointing to already-emerging common benchmarks.</x:v>
      </x:c>
      <x:c r="J79" s="8" t="str">
        <x:v>AI moderates the conclusion to acknowledge emerging benchmarks.</x:v>
      </x:c>
      <x:c r="K79" s="8" t="str">
        <x:v>W1 p25 L44-p25 L45</x:v>
      </x:c>
      <x:c r="L79" s="8" t="str">
        <x:v>W1 p25 L46-p26 L11</x:v>
      </x:c>
      <x:c r="M79" s="8" t="str"/>
      <x:c r="N79" s="8" t="str">
        <x:v>Visible next AI response</x:v>
      </x:c>
      <x:c r="O79" s="8" t="str"/>
      <x:c r="P79" s="9" t="n">
        <x:f>IF(OR(E79="Delegation",ISNUMBER(SEARCH("; Delegation; ","; "&amp;F79&amp;"; "))),1,0)</x:f>
        <x:v>0</x:v>
      </x:c>
      <x:c r="Q79" s="9" t="n">
        <x:f>IF(OR(E79="Directed delegation",ISNUMBER(SEARCH("; Directed delegation; ","; "&amp;F79&amp;"; "))),1,0)</x:f>
        <x:v>1</x:v>
      </x:c>
      <x:c r="R79" s="9" t="n">
        <x:f>IF(OR(E79="Evaluation",ISNUMBER(SEARCH("; Evaluation; ","; "&amp;F79&amp;"; "))),1,0)</x:f>
        <x:v>0</x:v>
      </x:c>
      <x:c r="S79" s="9" t="n">
        <x:f>IF(OR(E79="Correction/Challenge",ISNUMBER(SEARCH("; Correction/Challenge; ","; "&amp;F79&amp;"; "))),1,0)</x:f>
        <x:v>1</x:v>
      </x:c>
      <x:c r="T79" s="9" t="n">
        <x:f>IF(OR(E79="Redirection",ISNUMBER(SEARCH("; Redirection; ","; "&amp;F79&amp;"; "))),1,0)</x:f>
        <x:v>0</x:v>
      </x:c>
      <x:c r="U79" s="9" t="n">
        <x:f>IF(OR(E79="Knowledge injection",ISNUMBER(SEARCH("; Knowledge injection; ","; "&amp;F79&amp;"; "))),1,0)</x:f>
        <x:v>1</x:v>
      </x:c>
      <x:c r="V79" s="9" t="n">
        <x:f>IF(OR(E79="Selection/Rejection",ISNUMBER(SEARCH("; Selection/Rejection; ","; "&amp;F79&amp;"; "))),1,0)</x:f>
        <x:v>0</x:v>
      </x:c>
      <x:c r="W79" s="9" t="n">
        <x:f>IF(OR(E79="Deliberation",ISNUMBER(SEARCH("; Deliberation; ","; "&amp;F79&amp;"; "))),1,0)</x:f>
        <x:v>0</x:v>
      </x:c>
      <x:c r="X79" s="9" t="n">
        <x:f>IF(ISNUMBER(SEARCH("; domain correction; ","; "&amp;H79&amp;"; ")),1,0)</x:f>
        <x:v>0</x:v>
      </x:c>
      <x:c r="Y79" s="9" t="n">
        <x:f>IF(ISNUMBER(SEARCH("; conceptual discrimination; ","; "&amp;H79&amp;"; ")),1,0)</x:f>
        <x:v>0</x:v>
      </x:c>
      <x:c r="Z79" s="9" t="n">
        <x:f>IF(ISNUMBER(SEARCH("; evidence judgment; ","; "&amp;H79&amp;"; ")),1,0)</x:f>
        <x:v>1</x:v>
      </x:c>
      <x:c r="AA79" s="9" t="n">
        <x:f>IF(ISNUMBER(SEARCH("; methodological judgment; ","; "&amp;H79&amp;"; ")),1,0)</x:f>
        <x:v>0</x:v>
      </x:c>
      <x:c r="AB79" s="9" t="n">
        <x:f>IF(ISNUMBER(SEARCH("; argumentative judgment; ","; "&amp;H79&amp;"; ")),1,0)</x:f>
        <x:v>1</x:v>
      </x:c>
      <x:c r="AC79" s="9" t="n">
        <x:f>IF(ISNUMBER(SEARCH("; genre/writing expertise; ","; "&amp;H79&amp;"; ")),1,0)</x:f>
        <x:v>0</x:v>
      </x:c>
      <x:c r="AD79" s="9" t="n">
        <x:f>IF(ISNUMBER(SEARCH("; none; ","; "&amp;H79&amp;"; ")),1,0)</x:f>
        <x:v>0</x:v>
      </x:c>
    </x:row>
    <x:row r="80" ht="64" customHeight="1">
      <x:c r="A80" s="8" t="str">
        <x:v>P4-W1-022</x:v>
      </x:c>
      <x:c r="B80" s="9" t="n">
        <x:v>79</x:v>
      </x:c>
      <x:c r="C80" s="8" t="str">
        <x:v>Writing part 1</x:v>
      </x:c>
      <x:c r="D80" s="8" t="str">
        <x:v>1 Introduction IDEAs … industrial reports … industry partners … Research Gap … focus on factors … empirically investigated … [supplies sources and argument].</x:v>
      </x:c>
      <x:c r="E80" s="8" t="str">
        <x:v>Knowledge injection</x:v>
      </x:c>
      <x:c r="F80" s="8" t="str">
        <x:v>Directed delegation</x:v>
      </x:c>
      <x:c r="G80" s="8" t="str">
        <x:v>Directive</x:v>
      </x:c>
      <x:c r="H80" s="8" t="str">
        <x:v>evidence judgment; methodological judgment; argumentative judgment; genre/writing expertise</x:v>
      </x:c>
      <x:c r="I80" s="8" t="str">
        <x:v>Provides sources, industrial observations, scope limits and a research argument to guide the Introduction.</x:v>
      </x:c>
      <x:c r="J80" s="8" t="str">
        <x:v>AI drafts an Introduction integrating the supplied ideas.</x:v>
      </x:c>
      <x:c r="K80" s="8" t="str">
        <x:v>W1 p26 L12-p26 L44</x:v>
      </x:c>
      <x:c r="L80" s="8" t="str">
        <x:v>W1 p26 L46-p27 L38</x:v>
      </x:c>
      <x:c r="M80" s="8" t="str"/>
      <x:c r="N80" s="8" t="str">
        <x:v>Visible next AI response</x:v>
      </x:c>
      <x:c r="O80" s="8" t="str">
        <x:v>Industrial observations and source excerpts are supplied/reported; external facts and DOI metadata are not independently checked in this log-coding task.</x:v>
      </x:c>
      <x:c r="P80" s="9" t="n">
        <x:f>IF(OR(E80="Delegation",ISNUMBER(SEARCH("; Delegation; ","; "&amp;F80&amp;"; "))),1,0)</x:f>
        <x:v>0</x:v>
      </x:c>
      <x:c r="Q80" s="9" t="n">
        <x:f>IF(OR(E80="Directed delegation",ISNUMBER(SEARCH("; Directed delegation; ","; "&amp;F80&amp;"; "))),1,0)</x:f>
        <x:v>1</x:v>
      </x:c>
      <x:c r="R80" s="9" t="n">
        <x:f>IF(OR(E80="Evaluation",ISNUMBER(SEARCH("; Evaluation; ","; "&amp;F80&amp;"; "))),1,0)</x:f>
        <x:v>0</x:v>
      </x:c>
      <x:c r="S80" s="9" t="n">
        <x:f>IF(OR(E80="Correction/Challenge",ISNUMBER(SEARCH("; Correction/Challenge; ","; "&amp;F80&amp;"; "))),1,0)</x:f>
        <x:v>0</x:v>
      </x:c>
      <x:c r="T80" s="9" t="n">
        <x:f>IF(OR(E80="Redirection",ISNUMBER(SEARCH("; Redirection; ","; "&amp;F80&amp;"; "))),1,0)</x:f>
        <x:v>0</x:v>
      </x:c>
      <x:c r="U80" s="9" t="n">
        <x:f>IF(OR(E80="Knowledge injection",ISNUMBER(SEARCH("; Knowledge injection; ","; "&amp;F80&amp;"; "))),1,0)</x:f>
        <x:v>1</x:v>
      </x:c>
      <x:c r="V80" s="9" t="n">
        <x:f>IF(OR(E80="Selection/Rejection",ISNUMBER(SEARCH("; Selection/Rejection; ","; "&amp;F80&amp;"; "))),1,0)</x:f>
        <x:v>0</x:v>
      </x:c>
      <x:c r="W80" s="9" t="n">
        <x:f>IF(OR(E80="Deliberation",ISNUMBER(SEARCH("; Deliberation; ","; "&amp;F80&amp;"; "))),1,0)</x:f>
        <x:v>0</x:v>
      </x:c>
      <x:c r="X80" s="9" t="n">
        <x:f>IF(ISNUMBER(SEARCH("; domain correction; ","; "&amp;H80&amp;"; ")),1,0)</x:f>
        <x:v>0</x:v>
      </x:c>
      <x:c r="Y80" s="9" t="n">
        <x:f>IF(ISNUMBER(SEARCH("; conceptual discrimination; ","; "&amp;H80&amp;"; ")),1,0)</x:f>
        <x:v>0</x:v>
      </x:c>
      <x:c r="Z80" s="9" t="n">
        <x:f>IF(ISNUMBER(SEARCH("; evidence judgment; ","; "&amp;H80&amp;"; ")),1,0)</x:f>
        <x:v>1</x:v>
      </x:c>
      <x:c r="AA80" s="9" t="n">
        <x:f>IF(ISNUMBER(SEARCH("; methodological judgment; ","; "&amp;H80&amp;"; ")),1,0)</x:f>
        <x:v>1</x:v>
      </x:c>
      <x:c r="AB80" s="9" t="n">
        <x:f>IF(ISNUMBER(SEARCH("; argumentative judgment; ","; "&amp;H80&amp;"; ")),1,0)</x:f>
        <x:v>1</x:v>
      </x:c>
      <x:c r="AC80" s="9" t="n">
        <x:f>IF(ISNUMBER(SEARCH("; genre/writing expertise; ","; "&amp;H80&amp;"; ")),1,0)</x:f>
        <x:v>1</x:v>
      </x:c>
      <x:c r="AD80" s="9" t="n">
        <x:f>IF(ISNUMBER(SEARCH("; none; ","; "&amp;H80&amp;"; ")),1,0)</x:f>
        <x:v>0</x:v>
      </x:c>
    </x:row>
    <x:row r="81" ht="60" customHeight="1">
      <x:c r="A81" s="8" t="str">
        <x:v>P4-W1-023</x:v>
      </x:c>
      <x:c r="B81" s="9" t="n">
        <x:v>80</x:v>
      </x:c>
      <x:c r="C81" s="8" t="str">
        <x:v>Writing part 1</x:v>
      </x:c>
      <x:c r="D81" s="8" t="str">
        <x:v>give structured Abstract: Context: text Objective: text Method: text Results: text Conclusion: text</x:v>
      </x:c>
      <x:c r="E81" s="8" t="str">
        <x:v>Directed delegation</x:v>
      </x:c>
      <x:c r="F81" s="8" t="str"/>
      <x:c r="G81" s="8" t="str">
        <x:v>Directive</x:v>
      </x:c>
      <x:c r="H81" s="8" t="str">
        <x:v>genre/writing expertise</x:v>
      </x:c>
      <x:c r="I81" s="8" t="str">
        <x:v>Specifies the structured-abstract components.</x:v>
      </x:c>
      <x:c r="J81" s="8" t="str">
        <x:v>AI supplies a structured abstract.</x:v>
      </x:c>
      <x:c r="K81" s="8" t="str">
        <x:v>W1 p27 L39-p27 L44</x:v>
      </x:c>
      <x:c r="L81" s="8" t="str">
        <x:v>W1 p27 L45-p28 L14</x:v>
      </x:c>
      <x:c r="M81" s="8" t="str"/>
      <x:c r="N81" s="8" t="str">
        <x:v>Visible next AI response</x:v>
      </x:c>
      <x:c r="O81" s="8" t="str"/>
      <x:c r="P81" s="9" t="n">
        <x:f>IF(OR(E81="Delegation",ISNUMBER(SEARCH("; Delegation; ","; "&amp;F81&amp;"; "))),1,0)</x:f>
        <x:v>0</x:v>
      </x:c>
      <x:c r="Q81" s="9" t="n">
        <x:f>IF(OR(E81="Directed delegation",ISNUMBER(SEARCH("; Directed delegation; ","; "&amp;F81&amp;"; "))),1,0)</x:f>
        <x:v>1</x:v>
      </x:c>
      <x:c r="R81" s="9" t="n">
        <x:f>IF(OR(E81="Evaluation",ISNUMBER(SEARCH("; Evaluation; ","; "&amp;F81&amp;"; "))),1,0)</x:f>
        <x:v>0</x:v>
      </x:c>
      <x:c r="S81" s="9" t="n">
        <x:f>IF(OR(E81="Correction/Challenge",ISNUMBER(SEARCH("; Correction/Challenge; ","; "&amp;F81&amp;"; "))),1,0)</x:f>
        <x:v>0</x:v>
      </x:c>
      <x:c r="T81" s="9" t="n">
        <x:f>IF(OR(E81="Redirection",ISNUMBER(SEARCH("; Redirection; ","; "&amp;F81&amp;"; "))),1,0)</x:f>
        <x:v>0</x:v>
      </x:c>
      <x:c r="U81" s="9" t="n">
        <x:f>IF(OR(E81="Knowledge injection",ISNUMBER(SEARCH("; Knowledge injection; ","; "&amp;F81&amp;"; "))),1,0)</x:f>
        <x:v>0</x:v>
      </x:c>
      <x:c r="V81" s="9" t="n">
        <x:f>IF(OR(E81="Selection/Rejection",ISNUMBER(SEARCH("; Selection/Rejection; ","; "&amp;F81&amp;"; "))),1,0)</x:f>
        <x:v>0</x:v>
      </x:c>
      <x:c r="W81" s="9" t="n">
        <x:f>IF(OR(E81="Deliberation",ISNUMBER(SEARCH("; Deliberation; ","; "&amp;F81&amp;"; "))),1,0)</x:f>
        <x:v>0</x:v>
      </x:c>
      <x:c r="X81" s="9" t="n">
        <x:f>IF(ISNUMBER(SEARCH("; domain correction; ","; "&amp;H81&amp;"; ")),1,0)</x:f>
        <x:v>0</x:v>
      </x:c>
      <x:c r="Y81" s="9" t="n">
        <x:f>IF(ISNUMBER(SEARCH("; conceptual discrimination; ","; "&amp;H81&amp;"; ")),1,0)</x:f>
        <x:v>0</x:v>
      </x:c>
      <x:c r="Z81" s="9" t="n">
        <x:f>IF(ISNUMBER(SEARCH("; evidence judgment; ","; "&amp;H81&amp;"; ")),1,0)</x:f>
        <x:v>0</x:v>
      </x:c>
      <x:c r="AA81" s="9" t="n">
        <x:f>IF(ISNUMBER(SEARCH("; methodological judgment; ","; "&amp;H81&amp;"; ")),1,0)</x:f>
        <x:v>0</x:v>
      </x:c>
      <x:c r="AB81" s="9" t="n">
        <x:f>IF(ISNUMBER(SEARCH("; argumentative judgment; ","; "&amp;H81&amp;"; ")),1,0)</x:f>
        <x:v>0</x:v>
      </x:c>
      <x:c r="AC81" s="9" t="n">
        <x:f>IF(ISNUMBER(SEARCH("; genre/writing expertise; ","; "&amp;H81&amp;"; ")),1,0)</x:f>
        <x:v>1</x:v>
      </x:c>
      <x:c r="AD81" s="9" t="n">
        <x:f>IF(ISNUMBER(SEARCH("; none; ","; "&amp;H81&amp;"; ")),1,0)</x:f>
        <x:v>0</x:v>
      </x:c>
    </x:row>
    <x:row r="82" ht="60" customHeight="1">
      <x:c r="A82" s="8" t="str">
        <x:v>P4-W1-024</x:v>
      </x:c>
      <x:c r="B82" s="9" t="n">
        <x:v>81</x:v>
      </x:c>
      <x:c r="C82" s="8" t="str">
        <x:v>Writing part 1</x:v>
      </x:c>
      <x:c r="D82" s="8" t="str">
        <x:v>give 6 keywords</x:v>
      </x:c>
      <x:c r="E82" s="8" t="str">
        <x:v>Directed delegation</x:v>
      </x:c>
      <x:c r="F82" s="8" t="str"/>
      <x:c r="G82" s="8" t="str">
        <x:v>Directive</x:v>
      </x:c>
      <x:c r="H82" s="8" t="str">
        <x:v>none</x:v>
      </x:c>
      <x:c r="I82" s="8" t="str">
        <x:v>Specifies the number of keywords without further judgment.</x:v>
      </x:c>
      <x:c r="J82" s="8" t="str">
        <x:v>AI supplies six keywords.</x:v>
      </x:c>
      <x:c r="K82" s="8" t="str">
        <x:v>W1 p28 L15-p28 L15</x:v>
      </x:c>
      <x:c r="L82" s="8" t="str">
        <x:v>W1 p28 L16-p28 L23</x:v>
      </x:c>
      <x:c r="M82" s="8" t="str"/>
      <x:c r="N82" s="8" t="str">
        <x:v>Visible next AI response</x:v>
      </x:c>
      <x:c r="O82" s="8" t="str"/>
      <x:c r="P82" s="9" t="n">
        <x:f>IF(OR(E82="Delegation",ISNUMBER(SEARCH("; Delegation; ","; "&amp;F82&amp;"; "))),1,0)</x:f>
        <x:v>0</x:v>
      </x:c>
      <x:c r="Q82" s="9" t="n">
        <x:f>IF(OR(E82="Directed delegation",ISNUMBER(SEARCH("; Directed delegation; ","; "&amp;F82&amp;"; "))),1,0)</x:f>
        <x:v>1</x:v>
      </x:c>
      <x:c r="R82" s="9" t="n">
        <x:f>IF(OR(E82="Evaluation",ISNUMBER(SEARCH("; Evaluation; ","; "&amp;F82&amp;"; "))),1,0)</x:f>
        <x:v>0</x:v>
      </x:c>
      <x:c r="S82" s="9" t="n">
        <x:f>IF(OR(E82="Correction/Challenge",ISNUMBER(SEARCH("; Correction/Challenge; ","; "&amp;F82&amp;"; "))),1,0)</x:f>
        <x:v>0</x:v>
      </x:c>
      <x:c r="T82" s="9" t="n">
        <x:f>IF(OR(E82="Redirection",ISNUMBER(SEARCH("; Redirection; ","; "&amp;F82&amp;"; "))),1,0)</x:f>
        <x:v>0</x:v>
      </x:c>
      <x:c r="U82" s="9" t="n">
        <x:f>IF(OR(E82="Knowledge injection",ISNUMBER(SEARCH("; Knowledge injection; ","; "&amp;F82&amp;"; "))),1,0)</x:f>
        <x:v>0</x:v>
      </x:c>
      <x:c r="V82" s="9" t="n">
        <x:f>IF(OR(E82="Selection/Rejection",ISNUMBER(SEARCH("; Selection/Rejection; ","; "&amp;F82&amp;"; "))),1,0)</x:f>
        <x:v>0</x:v>
      </x:c>
      <x:c r="W82" s="9" t="n">
        <x:f>IF(OR(E82="Deliberation",ISNUMBER(SEARCH("; Deliberation; ","; "&amp;F82&amp;"; "))),1,0)</x:f>
        <x:v>0</x:v>
      </x:c>
      <x:c r="X82" s="9" t="n">
        <x:f>IF(ISNUMBER(SEARCH("; domain correction; ","; "&amp;H82&amp;"; ")),1,0)</x:f>
        <x:v>0</x:v>
      </x:c>
      <x:c r="Y82" s="9" t="n">
        <x:f>IF(ISNUMBER(SEARCH("; conceptual discrimination; ","; "&amp;H82&amp;"; ")),1,0)</x:f>
        <x:v>0</x:v>
      </x:c>
      <x:c r="Z82" s="9" t="n">
        <x:f>IF(ISNUMBER(SEARCH("; evidence judgment; ","; "&amp;H82&amp;"; ")),1,0)</x:f>
        <x:v>0</x:v>
      </x:c>
      <x:c r="AA82" s="9" t="n">
        <x:f>IF(ISNUMBER(SEARCH("; methodological judgment; ","; "&amp;H82&amp;"; ")),1,0)</x:f>
        <x:v>0</x:v>
      </x:c>
      <x:c r="AB82" s="9" t="n">
        <x:f>IF(ISNUMBER(SEARCH("; argumentative judgment; ","; "&amp;H82&amp;"; ")),1,0)</x:f>
        <x:v>0</x:v>
      </x:c>
      <x:c r="AC82" s="9" t="n">
        <x:f>IF(ISNUMBER(SEARCH("; genre/writing expertise; ","; "&amp;H82&amp;"; ")),1,0)</x:f>
        <x:v>0</x:v>
      </x:c>
      <x:c r="AD82" s="9" t="n">
        <x:f>IF(ISNUMBER(SEARCH("; none; ","; "&amp;H82&amp;"; ")),1,0)</x:f>
        <x:v>1</x:v>
      </x:c>
    </x:row>
    <x:row r="83" ht="60" customHeight="1">
      <x:c r="A83" s="8" t="str">
        <x:v>P4-W1-025</x:v>
      </x:c>
      <x:c r="B83" s="9" t="n">
        <x:v>82</x:v>
      </x:c>
      <x:c r="C83" s="8" t="str">
        <x:v>Writing part 1</x:v>
      </x:c>
      <x:c r="D83" s="8" t="str">
        <x:v>; separated</x:v>
      </x:c>
      <x:c r="E83" s="8" t="str">
        <x:v>Directed delegation</x:v>
      </x:c>
      <x:c r="F83" s="8" t="str"/>
      <x:c r="G83" s="8" t="str">
        <x:v>Directive</x:v>
      </x:c>
      <x:c r="H83" s="8" t="str">
        <x:v>genre/writing expertise</x:v>
      </x:c>
      <x:c r="I83" s="8" t="str">
        <x:v>Requires semicolon-separated keyword formatting.</x:v>
      </x:c>
      <x:c r="J83" s="8" t="str">
        <x:v>AI reformats the keyword list.</x:v>
      </x:c>
      <x:c r="K83" s="8" t="str">
        <x:v>W1 p28 L24-p28 L24</x:v>
      </x:c>
      <x:c r="L83" s="8" t="str">
        <x:v>W1 p28 L25-p28 L26</x:v>
      </x:c>
      <x:c r="M83" s="8" t="str"/>
      <x:c r="N83" s="8" t="str">
        <x:v>Visible next AI response</x:v>
      </x:c>
      <x:c r="O83" s="8" t="str"/>
      <x:c r="P83" s="9" t="n">
        <x:f>IF(OR(E83="Delegation",ISNUMBER(SEARCH("; Delegation; ","; "&amp;F83&amp;"; "))),1,0)</x:f>
        <x:v>0</x:v>
      </x:c>
      <x:c r="Q83" s="9" t="n">
        <x:f>IF(OR(E83="Directed delegation",ISNUMBER(SEARCH("; Directed delegation; ","; "&amp;F83&amp;"; "))),1,0)</x:f>
        <x:v>1</x:v>
      </x:c>
      <x:c r="R83" s="9" t="n">
        <x:f>IF(OR(E83="Evaluation",ISNUMBER(SEARCH("; Evaluation; ","; "&amp;F83&amp;"; "))),1,0)</x:f>
        <x:v>0</x:v>
      </x:c>
      <x:c r="S83" s="9" t="n">
        <x:f>IF(OR(E83="Correction/Challenge",ISNUMBER(SEARCH("; Correction/Challenge; ","; "&amp;F83&amp;"; "))),1,0)</x:f>
        <x:v>0</x:v>
      </x:c>
      <x:c r="T83" s="9" t="n">
        <x:f>IF(OR(E83="Redirection",ISNUMBER(SEARCH("; Redirection; ","; "&amp;F83&amp;"; "))),1,0)</x:f>
        <x:v>0</x:v>
      </x:c>
      <x:c r="U83" s="9" t="n">
        <x:f>IF(OR(E83="Knowledge injection",ISNUMBER(SEARCH("; Knowledge injection; ","; "&amp;F83&amp;"; "))),1,0)</x:f>
        <x:v>0</x:v>
      </x:c>
      <x:c r="V83" s="9" t="n">
        <x:f>IF(OR(E83="Selection/Rejection",ISNUMBER(SEARCH("; Selection/Rejection; ","; "&amp;F83&amp;"; "))),1,0)</x:f>
        <x:v>0</x:v>
      </x:c>
      <x:c r="W83" s="9" t="n">
        <x:f>IF(OR(E83="Deliberation",ISNUMBER(SEARCH("; Deliberation; ","; "&amp;F83&amp;"; "))),1,0)</x:f>
        <x:v>0</x:v>
      </x:c>
      <x:c r="X83" s="9" t="n">
        <x:f>IF(ISNUMBER(SEARCH("; domain correction; ","; "&amp;H83&amp;"; ")),1,0)</x:f>
        <x:v>0</x:v>
      </x:c>
      <x:c r="Y83" s="9" t="n">
        <x:f>IF(ISNUMBER(SEARCH("; conceptual discrimination; ","; "&amp;H83&amp;"; ")),1,0)</x:f>
        <x:v>0</x:v>
      </x:c>
      <x:c r="Z83" s="9" t="n">
        <x:f>IF(ISNUMBER(SEARCH("; evidence judgment; ","; "&amp;H83&amp;"; ")),1,0)</x:f>
        <x:v>0</x:v>
      </x:c>
      <x:c r="AA83" s="9" t="n">
        <x:f>IF(ISNUMBER(SEARCH("; methodological judgment; ","; "&amp;H83&amp;"; ")),1,0)</x:f>
        <x:v>0</x:v>
      </x:c>
      <x:c r="AB83" s="9" t="n">
        <x:f>IF(ISNUMBER(SEARCH("; argumentative judgment; ","; "&amp;H83&amp;"; ")),1,0)</x:f>
        <x:v>0</x:v>
      </x:c>
      <x:c r="AC83" s="9" t="n">
        <x:f>IF(ISNUMBER(SEARCH("; genre/writing expertise; ","; "&amp;H83&amp;"; ")),1,0)</x:f>
        <x:v>1</x:v>
      </x:c>
      <x:c r="AD83" s="9" t="n">
        <x:f>IF(ISNUMBER(SEARCH("; none; ","; "&amp;H83&amp;"; ")),1,0)</x:f>
        <x:v>0</x:v>
      </x:c>
    </x:row>
    <x:row r="84" ht="60" customHeight="1">
      <x:c r="A84" s="8" t="str">
        <x:v>P4-W1-026</x:v>
      </x:c>
      <x:c r="B84" s="9" t="n">
        <x:v>83</x:v>
      </x:c>
      <x:c r="C84" s="8" t="str">
        <x:v>Writing part 1</x:v>
      </x:c>
      <x:c r="D84" s="8" t="str">
        <x:v>review</x:v>
      </x:c>
      <x:c r="E84" s="8" t="str">
        <x:v>Evaluation</x:v>
      </x:c>
      <x:c r="F84" s="8" t="str">
        <x:v>Knowledge injection</x:v>
      </x:c>
      <x:c r="G84" s="8" t="str">
        <x:v>Evaluative</x:v>
      </x:c>
      <x:c r="H84" s="8" t="str">
        <x:v>none</x:v>
      </x:c>
      <x:c r="I84" s="8" t="str">
        <x:v>Supplies a draft and requests review without specific assessment criteria.</x:v>
      </x:c>
      <x:c r="J84" s="8" t="str">
        <x:v>AI gives a draft critique and improvement suggestions.</x:v>
      </x:c>
      <x:c r="K84" s="8" t="str">
        <x:v>W1 p28 L29-p28 L29</x:v>
      </x:c>
      <x:c r="L84" s="8" t="str">
        <x:v>W1 p28 L30-p31 L37</x:v>
      </x:c>
      <x:c r="M84" s="8" t="str">
        <x:v>Paper1-SLR1-AI coding impact on Quality.docx</x:v>
      </x:c>
      <x:c r="N84" s="8" t="str">
        <x:v>Visible next AI response</x:v>
      </x:c>
      <x:c r="O84" s="8" t="str"/>
      <x:c r="P84" s="9" t="n">
        <x:f>IF(OR(E84="Delegation",ISNUMBER(SEARCH("; Delegation; ","; "&amp;F84&amp;"; "))),1,0)</x:f>
        <x:v>0</x:v>
      </x:c>
      <x:c r="Q84" s="9" t="n">
        <x:f>IF(OR(E84="Directed delegation",ISNUMBER(SEARCH("; Directed delegation; ","; "&amp;F84&amp;"; "))),1,0)</x:f>
        <x:v>0</x:v>
      </x:c>
      <x:c r="R84" s="9" t="n">
        <x:f>IF(OR(E84="Evaluation",ISNUMBER(SEARCH("; Evaluation; ","; "&amp;F84&amp;"; "))),1,0)</x:f>
        <x:v>1</x:v>
      </x:c>
      <x:c r="S84" s="9" t="n">
        <x:f>IF(OR(E84="Correction/Challenge",ISNUMBER(SEARCH("; Correction/Challenge; ","; "&amp;F84&amp;"; "))),1,0)</x:f>
        <x:v>0</x:v>
      </x:c>
      <x:c r="T84" s="9" t="n">
        <x:f>IF(OR(E84="Redirection",ISNUMBER(SEARCH("; Redirection; ","; "&amp;F84&amp;"; "))),1,0)</x:f>
        <x:v>0</x:v>
      </x:c>
      <x:c r="U84" s="9" t="n">
        <x:f>IF(OR(E84="Knowledge injection",ISNUMBER(SEARCH("; Knowledge injection; ","; "&amp;F84&amp;"; "))),1,0)</x:f>
        <x:v>1</x:v>
      </x:c>
      <x:c r="V84" s="9" t="n">
        <x:f>IF(OR(E84="Selection/Rejection",ISNUMBER(SEARCH("; Selection/Rejection; ","; "&amp;F84&amp;"; "))),1,0)</x:f>
        <x:v>0</x:v>
      </x:c>
      <x:c r="W84" s="9" t="n">
        <x:f>IF(OR(E84="Deliberation",ISNUMBER(SEARCH("; Deliberation; ","; "&amp;F84&amp;"; "))),1,0)</x:f>
        <x:v>0</x:v>
      </x:c>
      <x:c r="X84" s="9" t="n">
        <x:f>IF(ISNUMBER(SEARCH("; domain correction; ","; "&amp;H84&amp;"; ")),1,0)</x:f>
        <x:v>0</x:v>
      </x:c>
      <x:c r="Y84" s="9" t="n">
        <x:f>IF(ISNUMBER(SEARCH("; conceptual discrimination; ","; "&amp;H84&amp;"; ")),1,0)</x:f>
        <x:v>0</x:v>
      </x:c>
      <x:c r="Z84" s="9" t="n">
        <x:f>IF(ISNUMBER(SEARCH("; evidence judgment; ","; "&amp;H84&amp;"; ")),1,0)</x:f>
        <x:v>0</x:v>
      </x:c>
      <x:c r="AA84" s="9" t="n">
        <x:f>IF(ISNUMBER(SEARCH("; methodological judgment; ","; "&amp;H84&amp;"; ")),1,0)</x:f>
        <x:v>0</x:v>
      </x:c>
      <x:c r="AB84" s="9" t="n">
        <x:f>IF(ISNUMBER(SEARCH("; argumentative judgment; ","; "&amp;H84&amp;"; ")),1,0)</x:f>
        <x:v>0</x:v>
      </x:c>
      <x:c r="AC84" s="9" t="n">
        <x:f>IF(ISNUMBER(SEARCH("; genre/writing expertise; ","; "&amp;H84&amp;"; ")),1,0)</x:f>
        <x:v>0</x:v>
      </x:c>
      <x:c r="AD84" s="9" t="n">
        <x:f>IF(ISNUMBER(SEARCH("; none; ","; "&amp;H84&amp;"; ")),1,0)</x:f>
        <x:v>1</x:v>
      </x:c>
    </x:row>
    <x:row r="85" ht="60" customHeight="1">
      <x:c r="A85" s="8" t="str">
        <x:v>P4-W1-027</x:v>
      </x:c>
      <x:c r="B85" s="9" t="n">
        <x:v>84</x:v>
      </x:c>
      <x:c r="C85" s="8" t="str">
        <x:v>Writing part 1</x:v>
      </x:c>
      <x:c r="D85" s="8" t="str">
        <x:v>based on contents, can the paper title be more preicse?</x:v>
      </x:c>
      <x:c r="E85" s="8" t="str">
        <x:v>Evaluation</x:v>
      </x:c>
      <x:c r="F85" s="8" t="str">
        <x:v>Directed delegation</x:v>
      </x:c>
      <x:c r="G85" s="8" t="str">
        <x:v>Evaluative</x:v>
      </x:c>
      <x:c r="H85" s="8" t="str">
        <x:v>argumentative judgment; genre/writing expertise</x:v>
      </x:c>
      <x:c r="I85" s="8" t="str">
        <x:v>Requests a title assessment against the actual contents and greater precision.</x:v>
      </x:c>
      <x:c r="J85" s="8" t="str">
        <x:v>AI discusses contribution coverage and proposes titles.</x:v>
      </x:c>
      <x:c r="K85" s="8" t="str">
        <x:v>W1 p31 L38-p31 L38</x:v>
      </x:c>
      <x:c r="L85" s="8" t="str">
        <x:v>W1 p31 L39-p33 L17</x:v>
      </x:c>
      <x:c r="M85" s="8" t="str"/>
      <x:c r="N85" s="8" t="str">
        <x:v>Visible next AI response</x:v>
      </x:c>
      <x:c r="O85" s="8" t="str"/>
      <x:c r="P85" s="9" t="n">
        <x:f>IF(OR(E85="Delegation",ISNUMBER(SEARCH("; Delegation; ","; "&amp;F85&amp;"; "))),1,0)</x:f>
        <x:v>0</x:v>
      </x:c>
      <x:c r="Q85" s="9" t="n">
        <x:f>IF(OR(E85="Directed delegation",ISNUMBER(SEARCH("; Directed delegation; ","; "&amp;F85&amp;"; "))),1,0)</x:f>
        <x:v>1</x:v>
      </x:c>
      <x:c r="R85" s="9" t="n">
        <x:f>IF(OR(E85="Evaluation",ISNUMBER(SEARCH("; Evaluation; ","; "&amp;F85&amp;"; "))),1,0)</x:f>
        <x:v>1</x:v>
      </x:c>
      <x:c r="S85" s="9" t="n">
        <x:f>IF(OR(E85="Correction/Challenge",ISNUMBER(SEARCH("; Correction/Challenge; ","; "&amp;F85&amp;"; "))),1,0)</x:f>
        <x:v>0</x:v>
      </x:c>
      <x:c r="T85" s="9" t="n">
        <x:f>IF(OR(E85="Redirection",ISNUMBER(SEARCH("; Redirection; ","; "&amp;F85&amp;"; "))),1,0)</x:f>
        <x:v>0</x:v>
      </x:c>
      <x:c r="U85" s="9" t="n">
        <x:f>IF(OR(E85="Knowledge injection",ISNUMBER(SEARCH("; Knowledge injection; ","; "&amp;F85&amp;"; "))),1,0)</x:f>
        <x:v>0</x:v>
      </x:c>
      <x:c r="V85" s="9" t="n">
        <x:f>IF(OR(E85="Selection/Rejection",ISNUMBER(SEARCH("; Selection/Rejection; ","; "&amp;F85&amp;"; "))),1,0)</x:f>
        <x:v>0</x:v>
      </x:c>
      <x:c r="W85" s="9" t="n">
        <x:f>IF(OR(E85="Deliberation",ISNUMBER(SEARCH("; Deliberation; ","; "&amp;F85&amp;"; "))),1,0)</x:f>
        <x:v>0</x:v>
      </x:c>
      <x:c r="X85" s="9" t="n">
        <x:f>IF(ISNUMBER(SEARCH("; domain correction; ","; "&amp;H85&amp;"; ")),1,0)</x:f>
        <x:v>0</x:v>
      </x:c>
      <x:c r="Y85" s="9" t="n">
        <x:f>IF(ISNUMBER(SEARCH("; conceptual discrimination; ","; "&amp;H85&amp;"; ")),1,0)</x:f>
        <x:v>0</x:v>
      </x:c>
      <x:c r="Z85" s="9" t="n">
        <x:f>IF(ISNUMBER(SEARCH("; evidence judgment; ","; "&amp;H85&amp;"; ")),1,0)</x:f>
        <x:v>0</x:v>
      </x:c>
      <x:c r="AA85" s="9" t="n">
        <x:f>IF(ISNUMBER(SEARCH("; methodological judgment; ","; "&amp;H85&amp;"; ")),1,0)</x:f>
        <x:v>0</x:v>
      </x:c>
      <x:c r="AB85" s="9" t="n">
        <x:f>IF(ISNUMBER(SEARCH("; argumentative judgment; ","; "&amp;H85&amp;"; ")),1,0)</x:f>
        <x:v>1</x:v>
      </x:c>
      <x:c r="AC85" s="9" t="n">
        <x:f>IF(ISNUMBER(SEARCH("; genre/writing expertise; ","; "&amp;H85&amp;"; ")),1,0)</x:f>
        <x:v>1</x:v>
      </x:c>
      <x:c r="AD85" s="9" t="n">
        <x:f>IF(ISNUMBER(SEARCH("; none; ","; "&amp;H85&amp;"; ")),1,0)</x:f>
        <x:v>0</x:v>
      </x:c>
    </x:row>
    <x:row r="86" ht="64" customHeight="1">
      <x:c r="A86" s="8" t="str">
        <x:v>P4-W1-028</x:v>
      </x:c>
      <x:c r="B86" s="9" t="n">
        <x:v>85</x:v>
      </x:c>
      <x:c r="C86" s="8" t="str">
        <x:v>Writing part 1</x:v>
      </x:c>
      <x:c r="D86" s="8" t="str">
        <x:v>You this version, for any major issues for improvement, tell me exactly where and what takes to fix and go one by one. So we fix them one by one.</x:v>
      </x:c>
      <x:c r="E86" s="8" t="str">
        <x:v>Directed delegation</x:v>
      </x:c>
      <x:c r="F86" s="8" t="str">
        <x:v>Evaluation; Knowledge injection</x:v>
      </x:c>
      <x:c r="G86" s="8" t="str">
        <x:v>Directive</x:v>
      </x:c>
      <x:c r="H86" s="8" t="str">
        <x:v>genre/writing expertise</x:v>
      </x:c>
      <x:c r="I86" s="8" t="str">
        <x:v>Requires major-issue review with exact edit locations and a one-at-a-time repair workflow.</x:v>
      </x:c>
      <x:c r="J86" s="8" t="str">
        <x:v>AI identifies a contribution-statement issue and proposes replacement prose.</x:v>
      </x:c>
      <x:c r="K86" s="8" t="str">
        <x:v>W1 p33 L21-p33 L22</x:v>
      </x:c>
      <x:c r="L86" s="8" t="str">
        <x:v>W1 p33 L23-p34 L14</x:v>
      </x:c>
      <x:c r="M86" s="8" t="str">
        <x:v>Paper1-SLR1-AI coding impact on Quality.docx</x:v>
      </x:c>
      <x:c r="N86" s="8" t="str">
        <x:v>Visible next AI response</x:v>
      </x:c>
      <x:c r="O86" s="8" t="str"/>
      <x:c r="P86" s="9" t="n">
        <x:f>IF(OR(E86="Delegation",ISNUMBER(SEARCH("; Delegation; ","; "&amp;F86&amp;"; "))),1,0)</x:f>
        <x:v>0</x:v>
      </x:c>
      <x:c r="Q86" s="9" t="n">
        <x:f>IF(OR(E86="Directed delegation",ISNUMBER(SEARCH("; Directed delegation; ","; "&amp;F86&amp;"; "))),1,0)</x:f>
        <x:v>1</x:v>
      </x:c>
      <x:c r="R86" s="9" t="n">
        <x:f>IF(OR(E86="Evaluation",ISNUMBER(SEARCH("; Evaluation; ","; "&amp;F86&amp;"; "))),1,0)</x:f>
        <x:v>1</x:v>
      </x:c>
      <x:c r="S86" s="9" t="n">
        <x:f>IF(OR(E86="Correction/Challenge",ISNUMBER(SEARCH("; Correction/Challenge; ","; "&amp;F86&amp;"; "))),1,0)</x:f>
        <x:v>0</x:v>
      </x:c>
      <x:c r="T86" s="9" t="n">
        <x:f>IF(OR(E86="Redirection",ISNUMBER(SEARCH("; Redirection; ","; "&amp;F86&amp;"; "))),1,0)</x:f>
        <x:v>0</x:v>
      </x:c>
      <x:c r="U86" s="9" t="n">
        <x:f>IF(OR(E86="Knowledge injection",ISNUMBER(SEARCH("; Knowledge injection; ","; "&amp;F86&amp;"; "))),1,0)</x:f>
        <x:v>1</x:v>
      </x:c>
      <x:c r="V86" s="9" t="n">
        <x:f>IF(OR(E86="Selection/Rejection",ISNUMBER(SEARCH("; Selection/Rejection; ","; "&amp;F86&amp;"; "))),1,0)</x:f>
        <x:v>0</x:v>
      </x:c>
      <x:c r="W86" s="9" t="n">
        <x:f>IF(OR(E86="Deliberation",ISNUMBER(SEARCH("; Deliberation; ","; "&amp;F86&amp;"; "))),1,0)</x:f>
        <x:v>0</x:v>
      </x:c>
      <x:c r="X86" s="9" t="n">
        <x:f>IF(ISNUMBER(SEARCH("; domain correction; ","; "&amp;H86&amp;"; ")),1,0)</x:f>
        <x:v>0</x:v>
      </x:c>
      <x:c r="Y86" s="9" t="n">
        <x:f>IF(ISNUMBER(SEARCH("; conceptual discrimination; ","; "&amp;H86&amp;"; ")),1,0)</x:f>
        <x:v>0</x:v>
      </x:c>
      <x:c r="Z86" s="9" t="n">
        <x:f>IF(ISNUMBER(SEARCH("; evidence judgment; ","; "&amp;H86&amp;"; ")),1,0)</x:f>
        <x:v>0</x:v>
      </x:c>
      <x:c r="AA86" s="9" t="n">
        <x:f>IF(ISNUMBER(SEARCH("; methodological judgment; ","; "&amp;H86&amp;"; ")),1,0)</x:f>
        <x:v>0</x:v>
      </x:c>
      <x:c r="AB86" s="9" t="n">
        <x:f>IF(ISNUMBER(SEARCH("; argumentative judgment; ","; "&amp;H86&amp;"; ")),1,0)</x:f>
        <x:v>0</x:v>
      </x:c>
      <x:c r="AC86" s="9" t="n">
        <x:f>IF(ISNUMBER(SEARCH("; genre/writing expertise; ","; "&amp;H86&amp;"; ")),1,0)</x:f>
        <x:v>1</x:v>
      </x:c>
      <x:c r="AD86" s="9" t="n">
        <x:f>IF(ISNUMBER(SEARCH("; none; ","; "&amp;H86&amp;"; ")),1,0)</x:f>
        <x:v>0</x:v>
      </x:c>
    </x:row>
    <x:row r="87" ht="60" customHeight="1">
      <x:c r="A87" s="8" t="str">
        <x:v>P4-W1-029</x:v>
      </x:c>
      <x:c r="B87" s="9" t="n">
        <x:v>86</x:v>
      </x:c>
      <x:c r="C87" s="8" t="str">
        <x:v>Writing part 1</x:v>
      </x:c>
      <x:c r="D87" s="8" t="str">
        <x:v>done</x:v>
      </x:c>
      <x:c r="E87" s="8" t="str">
        <x:v>Selection/Rejection</x:v>
      </x:c>
      <x:c r="F87" s="8" t="str">
        <x:v>Knowledge injection</x:v>
      </x:c>
      <x:c r="G87" s="8" t="str">
        <x:v>Directive</x:v>
      </x:c>
      <x:c r="H87" s="8" t="str">
        <x:v>none</x:v>
      </x:c>
      <x:c r="I87" s="8" t="str">
        <x:v>Reports completing the preceding proposed contribution edit; completion is self-reported.</x:v>
      </x:c>
      <x:c r="J87" s="8" t="str">
        <x:v>AI moves to RQ/result-traceability edits.</x:v>
      </x:c>
      <x:c r="K87" s="8" t="str">
        <x:v>W1 p34 L15-p34 L15</x:v>
      </x:c>
      <x:c r="L87" s="8" t="str">
        <x:v>W1 p34 L16-p35 L29</x:v>
      </x:c>
      <x:c r="M87" s="8" t="str"/>
      <x:c r="N87" s="8" t="str">
        <x:v>Visible next AI response</x:v>
      </x:c>
      <x:c r="O87" s="8" t="str">
        <x:v>Done reports completing a suggested edit; actual manuscript uptake is not independently demonstrated.</x:v>
      </x:c>
      <x:c r="P87" s="9" t="n">
        <x:f>IF(OR(E87="Delegation",ISNUMBER(SEARCH("; Delegation; ","; "&amp;F87&amp;"; "))),1,0)</x:f>
        <x:v>0</x:v>
      </x:c>
      <x:c r="Q87" s="9" t="n">
        <x:f>IF(OR(E87="Directed delegation",ISNUMBER(SEARCH("; Directed delegation; ","; "&amp;F87&amp;"; "))),1,0)</x:f>
        <x:v>0</x:v>
      </x:c>
      <x:c r="R87" s="9" t="n">
        <x:f>IF(OR(E87="Evaluation",ISNUMBER(SEARCH("; Evaluation; ","; "&amp;F87&amp;"; "))),1,0)</x:f>
        <x:v>0</x:v>
      </x:c>
      <x:c r="S87" s="9" t="n">
        <x:f>IF(OR(E87="Correction/Challenge",ISNUMBER(SEARCH("; Correction/Challenge; ","; "&amp;F87&amp;"; "))),1,0)</x:f>
        <x:v>0</x:v>
      </x:c>
      <x:c r="T87" s="9" t="n">
        <x:f>IF(OR(E87="Redirection",ISNUMBER(SEARCH("; Redirection; ","; "&amp;F87&amp;"; "))),1,0)</x:f>
        <x:v>0</x:v>
      </x:c>
      <x:c r="U87" s="9" t="n">
        <x:f>IF(OR(E87="Knowledge injection",ISNUMBER(SEARCH("; Knowledge injection; ","; "&amp;F87&amp;"; "))),1,0)</x:f>
        <x:v>1</x:v>
      </x:c>
      <x:c r="V87" s="9" t="n">
        <x:f>IF(OR(E87="Selection/Rejection",ISNUMBER(SEARCH("; Selection/Rejection; ","; "&amp;F87&amp;"; "))),1,0)</x:f>
        <x:v>1</x:v>
      </x:c>
      <x:c r="W87" s="9" t="n">
        <x:f>IF(OR(E87="Deliberation",ISNUMBER(SEARCH("; Deliberation; ","; "&amp;F87&amp;"; "))),1,0)</x:f>
        <x:v>0</x:v>
      </x:c>
      <x:c r="X87" s="9" t="n">
        <x:f>IF(ISNUMBER(SEARCH("; domain correction; ","; "&amp;H87&amp;"; ")),1,0)</x:f>
        <x:v>0</x:v>
      </x:c>
      <x:c r="Y87" s="9" t="n">
        <x:f>IF(ISNUMBER(SEARCH("; conceptual discrimination; ","; "&amp;H87&amp;"; ")),1,0)</x:f>
        <x:v>0</x:v>
      </x:c>
      <x:c r="Z87" s="9" t="n">
        <x:f>IF(ISNUMBER(SEARCH("; evidence judgment; ","; "&amp;H87&amp;"; ")),1,0)</x:f>
        <x:v>0</x:v>
      </x:c>
      <x:c r="AA87" s="9" t="n">
        <x:f>IF(ISNUMBER(SEARCH("; methodological judgment; ","; "&amp;H87&amp;"; ")),1,0)</x:f>
        <x:v>0</x:v>
      </x:c>
      <x:c r="AB87" s="9" t="n">
        <x:f>IF(ISNUMBER(SEARCH("; argumentative judgment; ","; "&amp;H87&amp;"; ")),1,0)</x:f>
        <x:v>0</x:v>
      </x:c>
      <x:c r="AC87" s="9" t="n">
        <x:f>IF(ISNUMBER(SEARCH("; genre/writing expertise; ","; "&amp;H87&amp;"; ")),1,0)</x:f>
        <x:v>0</x:v>
      </x:c>
      <x:c r="AD87" s="9" t="n">
        <x:f>IF(ISNUMBER(SEARCH("; none; ","; "&amp;H87&amp;"; ")),1,0)</x:f>
        <x:v>1</x:v>
      </x:c>
    </x:row>
    <x:row r="88" ht="60" customHeight="1">
      <x:c r="A88" s="8" t="str">
        <x:v>P4-W1-030</x:v>
      </x:c>
      <x:c r="B88" s="9" t="n">
        <x:v>87</x:v>
      </x:c>
      <x:c r="C88" s="8" t="str">
        <x:v>Writing part 1</x:v>
      </x:c>
      <x:c r="D88" s="8" t="str">
        <x:v>done</x:v>
      </x:c>
      <x:c r="E88" s="8" t="str">
        <x:v>Selection/Rejection</x:v>
      </x:c>
      <x:c r="F88" s="8" t="str">
        <x:v>Knowledge injection</x:v>
      </x:c>
      <x:c r="G88" s="8" t="str">
        <x:v>Directive</x:v>
      </x:c>
      <x:c r="H88" s="8" t="str">
        <x:v>none</x:v>
      </x:c>
      <x:c r="I88" s="8" t="str">
        <x:v>Reports completing the proposed RQ/result-linkage edit.</x:v>
      </x:c>
      <x:c r="J88" s="8" t="str">
        <x:v>AI moves to conceptual separation of Sections 5.1/5.2.</x:v>
      </x:c>
      <x:c r="K88" s="8" t="str">
        <x:v>W1 p35 L30-p35 L30</x:v>
      </x:c>
      <x:c r="L88" s="8" t="str">
        <x:v>W1 p35 L31-p36 L33</x:v>
      </x:c>
      <x:c r="M88" s="8" t="str"/>
      <x:c r="N88" s="8" t="str">
        <x:v>Visible next AI response</x:v>
      </x:c>
      <x:c r="O88" s="8" t="str">
        <x:v>Done reports completing a suggested edit; adoption of all AI reasoning is not inferred.</x:v>
      </x:c>
      <x:c r="P88" s="9" t="n">
        <x:f>IF(OR(E88="Delegation",ISNUMBER(SEARCH("; Delegation; ","; "&amp;F88&amp;"; "))),1,0)</x:f>
        <x:v>0</x:v>
      </x:c>
      <x:c r="Q88" s="9" t="n">
        <x:f>IF(OR(E88="Directed delegation",ISNUMBER(SEARCH("; Directed delegation; ","; "&amp;F88&amp;"; "))),1,0)</x:f>
        <x:v>0</x:v>
      </x:c>
      <x:c r="R88" s="9" t="n">
        <x:f>IF(OR(E88="Evaluation",ISNUMBER(SEARCH("; Evaluation; ","; "&amp;F88&amp;"; "))),1,0)</x:f>
        <x:v>0</x:v>
      </x:c>
      <x:c r="S88" s="9" t="n">
        <x:f>IF(OR(E88="Correction/Challenge",ISNUMBER(SEARCH("; Correction/Challenge; ","; "&amp;F88&amp;"; "))),1,0)</x:f>
        <x:v>0</x:v>
      </x:c>
      <x:c r="T88" s="9" t="n">
        <x:f>IF(OR(E88="Redirection",ISNUMBER(SEARCH("; Redirection; ","; "&amp;F88&amp;"; "))),1,0)</x:f>
        <x:v>0</x:v>
      </x:c>
      <x:c r="U88" s="9" t="n">
        <x:f>IF(OR(E88="Knowledge injection",ISNUMBER(SEARCH("; Knowledge injection; ","; "&amp;F88&amp;"; "))),1,0)</x:f>
        <x:v>1</x:v>
      </x:c>
      <x:c r="V88" s="9" t="n">
        <x:f>IF(OR(E88="Selection/Rejection",ISNUMBER(SEARCH("; Selection/Rejection; ","; "&amp;F88&amp;"; "))),1,0)</x:f>
        <x:v>1</x:v>
      </x:c>
      <x:c r="W88" s="9" t="n">
        <x:f>IF(OR(E88="Deliberation",ISNUMBER(SEARCH("; Deliberation; ","; "&amp;F88&amp;"; "))),1,0)</x:f>
        <x:v>0</x:v>
      </x:c>
      <x:c r="X88" s="9" t="n">
        <x:f>IF(ISNUMBER(SEARCH("; domain correction; ","; "&amp;H88&amp;"; ")),1,0)</x:f>
        <x:v>0</x:v>
      </x:c>
      <x:c r="Y88" s="9" t="n">
        <x:f>IF(ISNUMBER(SEARCH("; conceptual discrimination; ","; "&amp;H88&amp;"; ")),1,0)</x:f>
        <x:v>0</x:v>
      </x:c>
      <x:c r="Z88" s="9" t="n">
        <x:f>IF(ISNUMBER(SEARCH("; evidence judgment; ","; "&amp;H88&amp;"; ")),1,0)</x:f>
        <x:v>0</x:v>
      </x:c>
      <x:c r="AA88" s="9" t="n">
        <x:f>IF(ISNUMBER(SEARCH("; methodological judgment; ","; "&amp;H88&amp;"; ")),1,0)</x:f>
        <x:v>0</x:v>
      </x:c>
      <x:c r="AB88" s="9" t="n">
        <x:f>IF(ISNUMBER(SEARCH("; argumentative judgment; ","; "&amp;H88&amp;"; ")),1,0)</x:f>
        <x:v>0</x:v>
      </x:c>
      <x:c r="AC88" s="9" t="n">
        <x:f>IF(ISNUMBER(SEARCH("; genre/writing expertise; ","; "&amp;H88&amp;"; ")),1,0)</x:f>
        <x:v>0</x:v>
      </x:c>
      <x:c r="AD88" s="9" t="n">
        <x:f>IF(ISNUMBER(SEARCH("; none; ","; "&amp;H88&amp;"; ")),1,0)</x:f>
        <x:v>1</x:v>
      </x:c>
    </x:row>
    <x:row r="89" ht="60" customHeight="1">
      <x:c r="A89" s="8" t="str">
        <x:v>P4-W1-031</x:v>
      </x:c>
      <x:c r="B89" s="9" t="n">
        <x:v>88</x:v>
      </x:c>
      <x:c r="C89" s="8" t="str">
        <x:v>Writing part 1</x:v>
      </x:c>
      <x:c r="D89" s="8" t="str">
        <x:v>done</x:v>
      </x:c>
      <x:c r="E89" s="8" t="str">
        <x:v>Selection/Rejection</x:v>
      </x:c>
      <x:c r="F89" s="8" t="str">
        <x:v>Knowledge injection</x:v>
      </x:c>
      <x:c r="G89" s="8" t="str">
        <x:v>Directive</x:v>
      </x:c>
      <x:c r="H89" s="8" t="str">
        <x:v>none</x:v>
      </x:c>
      <x:c r="I89" s="8" t="str">
        <x:v>Reports completing the proposed section-separation edit.</x:v>
      </x:c>
      <x:c r="J89" s="8" t="str">
        <x:v>AI moves to methods verbosity reduction.</x:v>
      </x:c>
      <x:c r="K89" s="8" t="str">
        <x:v>W1 p36 L34-p36 L34</x:v>
      </x:c>
      <x:c r="L89" s="8" t="str">
        <x:v>W1 p36 L35-p38 L19</x:v>
      </x:c>
      <x:c r="M89" s="8" t="str"/>
      <x:c r="N89" s="8" t="str">
        <x:v>Visible next AI response</x:v>
      </x:c>
      <x:c r="O89" s="8" t="str">
        <x:v>Done reports completing a suggested edit; no manuscript edit is directly observed.</x:v>
      </x:c>
      <x:c r="P89" s="9" t="n">
        <x:f>IF(OR(E89="Delegation",ISNUMBER(SEARCH("; Delegation; ","; "&amp;F89&amp;"; "))),1,0)</x:f>
        <x:v>0</x:v>
      </x:c>
      <x:c r="Q89" s="9" t="n">
        <x:f>IF(OR(E89="Directed delegation",ISNUMBER(SEARCH("; Directed delegation; ","; "&amp;F89&amp;"; "))),1,0)</x:f>
        <x:v>0</x:v>
      </x:c>
      <x:c r="R89" s="9" t="n">
        <x:f>IF(OR(E89="Evaluation",ISNUMBER(SEARCH("; Evaluation; ","; "&amp;F89&amp;"; "))),1,0)</x:f>
        <x:v>0</x:v>
      </x:c>
      <x:c r="S89" s="9" t="n">
        <x:f>IF(OR(E89="Correction/Challenge",ISNUMBER(SEARCH("; Correction/Challenge; ","; "&amp;F89&amp;"; "))),1,0)</x:f>
        <x:v>0</x:v>
      </x:c>
      <x:c r="T89" s="9" t="n">
        <x:f>IF(OR(E89="Redirection",ISNUMBER(SEARCH("; Redirection; ","; "&amp;F89&amp;"; "))),1,0)</x:f>
        <x:v>0</x:v>
      </x:c>
      <x:c r="U89" s="9" t="n">
        <x:f>IF(OR(E89="Knowledge injection",ISNUMBER(SEARCH("; Knowledge injection; ","; "&amp;F89&amp;"; "))),1,0)</x:f>
        <x:v>1</x:v>
      </x:c>
      <x:c r="V89" s="9" t="n">
        <x:f>IF(OR(E89="Selection/Rejection",ISNUMBER(SEARCH("; Selection/Rejection; ","; "&amp;F89&amp;"; "))),1,0)</x:f>
        <x:v>1</x:v>
      </x:c>
      <x:c r="W89" s="9" t="n">
        <x:f>IF(OR(E89="Deliberation",ISNUMBER(SEARCH("; Deliberation; ","; "&amp;F89&amp;"; "))),1,0)</x:f>
        <x:v>0</x:v>
      </x:c>
      <x:c r="X89" s="9" t="n">
        <x:f>IF(ISNUMBER(SEARCH("; domain correction; ","; "&amp;H89&amp;"; ")),1,0)</x:f>
        <x:v>0</x:v>
      </x:c>
      <x:c r="Y89" s="9" t="n">
        <x:f>IF(ISNUMBER(SEARCH("; conceptual discrimination; ","; "&amp;H89&amp;"; ")),1,0)</x:f>
        <x:v>0</x:v>
      </x:c>
      <x:c r="Z89" s="9" t="n">
        <x:f>IF(ISNUMBER(SEARCH("; evidence judgment; ","; "&amp;H89&amp;"; ")),1,0)</x:f>
        <x:v>0</x:v>
      </x:c>
      <x:c r="AA89" s="9" t="n">
        <x:f>IF(ISNUMBER(SEARCH("; methodological judgment; ","; "&amp;H89&amp;"; ")),1,0)</x:f>
        <x:v>0</x:v>
      </x:c>
      <x:c r="AB89" s="9" t="n">
        <x:f>IF(ISNUMBER(SEARCH("; argumentative judgment; ","; "&amp;H89&amp;"; ")),1,0)</x:f>
        <x:v>0</x:v>
      </x:c>
      <x:c r="AC89" s="9" t="n">
        <x:f>IF(ISNUMBER(SEARCH("; genre/writing expertise; ","; "&amp;H89&amp;"; ")),1,0)</x:f>
        <x:v>0</x:v>
      </x:c>
      <x:c r="AD89" s="9" t="n">
        <x:f>IF(ISNUMBER(SEARCH("; none; ","; "&amp;H89&amp;"; ")),1,0)</x:f>
        <x:v>1</x:v>
      </x:c>
    </x:row>
    <x:row r="90" ht="60" customHeight="1">
      <x:c r="A90" s="8" t="str">
        <x:v>P4-W1-032</x:v>
      </x:c>
      <x:c r="B90" s="9" t="n">
        <x:v>89</x:v>
      </x:c>
      <x:c r="C90" s="8" t="str">
        <x:v>Writing part 1</x:v>
      </x:c>
      <x:c r="D90" s="8" t="str">
        <x:v>done</x:v>
      </x:c>
      <x:c r="E90" s="8" t="str">
        <x:v>Selection/Rejection</x:v>
      </x:c>
      <x:c r="F90" s="8" t="str">
        <x:v>Knowledge injection</x:v>
      </x:c>
      <x:c r="G90" s="8" t="str">
        <x:v>Directive</x:v>
      </x:c>
      <x:c r="H90" s="8" t="str">
        <x:v>none</x:v>
      </x:c>
      <x:c r="I90" s="8" t="str">
        <x:v>Reports completing the proposed methods edit.</x:v>
      </x:c>
      <x:c r="J90" s="8" t="str">
        <x:v>AI moves to terminology consistency.</x:v>
      </x:c>
      <x:c r="K90" s="8" t="str">
        <x:v>W1 p38 L20-p38 L20</x:v>
      </x:c>
      <x:c r="L90" s="8" t="str">
        <x:v>W1 p38 L21-p40 L17</x:v>
      </x:c>
      <x:c r="M90" s="8" t="str"/>
      <x:c r="N90" s="8" t="str">
        <x:v>Visible next AI response</x:v>
      </x:c>
      <x:c r="O90" s="8" t="str">
        <x:v>Done reports completing a suggested edit; no substantive rationale is added.</x:v>
      </x:c>
      <x:c r="P90" s="9" t="n">
        <x:f>IF(OR(E90="Delegation",ISNUMBER(SEARCH("; Delegation; ","; "&amp;F90&amp;"; "))),1,0)</x:f>
        <x:v>0</x:v>
      </x:c>
      <x:c r="Q90" s="9" t="n">
        <x:f>IF(OR(E90="Directed delegation",ISNUMBER(SEARCH("; Directed delegation; ","; "&amp;F90&amp;"; "))),1,0)</x:f>
        <x:v>0</x:v>
      </x:c>
      <x:c r="R90" s="9" t="n">
        <x:f>IF(OR(E90="Evaluation",ISNUMBER(SEARCH("; Evaluation; ","; "&amp;F90&amp;"; "))),1,0)</x:f>
        <x:v>0</x:v>
      </x:c>
      <x:c r="S90" s="9" t="n">
        <x:f>IF(OR(E90="Correction/Challenge",ISNUMBER(SEARCH("; Correction/Challenge; ","; "&amp;F90&amp;"; "))),1,0)</x:f>
        <x:v>0</x:v>
      </x:c>
      <x:c r="T90" s="9" t="n">
        <x:f>IF(OR(E90="Redirection",ISNUMBER(SEARCH("; Redirection; ","; "&amp;F90&amp;"; "))),1,0)</x:f>
        <x:v>0</x:v>
      </x:c>
      <x:c r="U90" s="9" t="n">
        <x:f>IF(OR(E90="Knowledge injection",ISNUMBER(SEARCH("; Knowledge injection; ","; "&amp;F90&amp;"; "))),1,0)</x:f>
        <x:v>1</x:v>
      </x:c>
      <x:c r="V90" s="9" t="n">
        <x:f>IF(OR(E90="Selection/Rejection",ISNUMBER(SEARCH("; Selection/Rejection; ","; "&amp;F90&amp;"; "))),1,0)</x:f>
        <x:v>1</x:v>
      </x:c>
      <x:c r="W90" s="9" t="n">
        <x:f>IF(OR(E90="Deliberation",ISNUMBER(SEARCH("; Deliberation; ","; "&amp;F90&amp;"; "))),1,0)</x:f>
        <x:v>0</x:v>
      </x:c>
      <x:c r="X90" s="9" t="n">
        <x:f>IF(ISNUMBER(SEARCH("; domain correction; ","; "&amp;H90&amp;"; ")),1,0)</x:f>
        <x:v>0</x:v>
      </x:c>
      <x:c r="Y90" s="9" t="n">
        <x:f>IF(ISNUMBER(SEARCH("; conceptual discrimination; ","; "&amp;H90&amp;"; ")),1,0)</x:f>
        <x:v>0</x:v>
      </x:c>
      <x:c r="Z90" s="9" t="n">
        <x:f>IF(ISNUMBER(SEARCH("; evidence judgment; ","; "&amp;H90&amp;"; ")),1,0)</x:f>
        <x:v>0</x:v>
      </x:c>
      <x:c r="AA90" s="9" t="n">
        <x:f>IF(ISNUMBER(SEARCH("; methodological judgment; ","; "&amp;H90&amp;"; ")),1,0)</x:f>
        <x:v>0</x:v>
      </x:c>
      <x:c r="AB90" s="9" t="n">
        <x:f>IF(ISNUMBER(SEARCH("; argumentative judgment; ","; "&amp;H90&amp;"; ")),1,0)</x:f>
        <x:v>0</x:v>
      </x:c>
      <x:c r="AC90" s="9" t="n">
        <x:f>IF(ISNUMBER(SEARCH("; genre/writing expertise; ","; "&amp;H90&amp;"; ")),1,0)</x:f>
        <x:v>0</x:v>
      </x:c>
      <x:c r="AD90" s="9" t="n">
        <x:f>IF(ISNUMBER(SEARCH("; none; ","; "&amp;H90&amp;"; ")),1,0)</x:f>
        <x:v>1</x:v>
      </x:c>
    </x:row>
    <x:row r="91" ht="60" customHeight="1">
      <x:c r="A91" s="8" t="str">
        <x:v>P4-W1-033</x:v>
      </x:c>
      <x:c r="B91" s="9" t="n">
        <x:v>90</x:v>
      </x:c>
      <x:c r="C91" s="8" t="str">
        <x:v>Writing part 1</x:v>
      </x:c>
      <x:c r="D91" s="8" t="str">
        <x:v>done</x:v>
      </x:c>
      <x:c r="E91" s="8" t="str">
        <x:v>Selection/Rejection</x:v>
      </x:c>
      <x:c r="F91" s="8" t="str">
        <x:v>Knowledge injection</x:v>
      </x:c>
      <x:c r="G91" s="8" t="str">
        <x:v>Directive</x:v>
      </x:c>
      <x:c r="H91" s="8" t="str">
        <x:v>none</x:v>
      </x:c>
      <x:c r="I91" s="8" t="str">
        <x:v>Reports completing the proposed terminology edit.</x:v>
      </x:c>
      <x:c r="J91" s="8" t="str">
        <x:v>AI proposes adding interpretive insights.</x:v>
      </x:c>
      <x:c r="K91" s="8" t="str">
        <x:v>W1 p40 L18-p40 L18</x:v>
      </x:c>
      <x:c r="L91" s="8" t="str">
        <x:v>W1 p40 L19-p41 L35</x:v>
      </x:c>
      <x:c r="M91" s="8" t="str"/>
      <x:c r="N91" s="8" t="str">
        <x:v>Visible next AI response</x:v>
      </x:c>
      <x:c r="O91" s="8" t="str">
        <x:v>Done reports completing a suggested edit; no substantive rationale is added.</x:v>
      </x:c>
      <x:c r="P91" s="9" t="n">
        <x:f>IF(OR(E91="Delegation",ISNUMBER(SEARCH("; Delegation; ","; "&amp;F91&amp;"; "))),1,0)</x:f>
        <x:v>0</x:v>
      </x:c>
      <x:c r="Q91" s="9" t="n">
        <x:f>IF(OR(E91="Directed delegation",ISNUMBER(SEARCH("; Directed delegation; ","; "&amp;F91&amp;"; "))),1,0)</x:f>
        <x:v>0</x:v>
      </x:c>
      <x:c r="R91" s="9" t="n">
        <x:f>IF(OR(E91="Evaluation",ISNUMBER(SEARCH("; Evaluation; ","; "&amp;F91&amp;"; "))),1,0)</x:f>
        <x:v>0</x:v>
      </x:c>
      <x:c r="S91" s="9" t="n">
        <x:f>IF(OR(E91="Correction/Challenge",ISNUMBER(SEARCH("; Correction/Challenge; ","; "&amp;F91&amp;"; "))),1,0)</x:f>
        <x:v>0</x:v>
      </x:c>
      <x:c r="T91" s="9" t="n">
        <x:f>IF(OR(E91="Redirection",ISNUMBER(SEARCH("; Redirection; ","; "&amp;F91&amp;"; "))),1,0)</x:f>
        <x:v>0</x:v>
      </x:c>
      <x:c r="U91" s="9" t="n">
        <x:f>IF(OR(E91="Knowledge injection",ISNUMBER(SEARCH("; Knowledge injection; ","; "&amp;F91&amp;"; "))),1,0)</x:f>
        <x:v>1</x:v>
      </x:c>
      <x:c r="V91" s="9" t="n">
        <x:f>IF(OR(E91="Selection/Rejection",ISNUMBER(SEARCH("; Selection/Rejection; ","; "&amp;F91&amp;"; "))),1,0)</x:f>
        <x:v>1</x:v>
      </x:c>
      <x:c r="W91" s="9" t="n">
        <x:f>IF(OR(E91="Deliberation",ISNUMBER(SEARCH("; Deliberation; ","; "&amp;F91&amp;"; "))),1,0)</x:f>
        <x:v>0</x:v>
      </x:c>
      <x:c r="X91" s="9" t="n">
        <x:f>IF(ISNUMBER(SEARCH("; domain correction; ","; "&amp;H91&amp;"; ")),1,0)</x:f>
        <x:v>0</x:v>
      </x:c>
      <x:c r="Y91" s="9" t="n">
        <x:f>IF(ISNUMBER(SEARCH("; conceptual discrimination; ","; "&amp;H91&amp;"; ")),1,0)</x:f>
        <x:v>0</x:v>
      </x:c>
      <x:c r="Z91" s="9" t="n">
        <x:f>IF(ISNUMBER(SEARCH("; evidence judgment; ","; "&amp;H91&amp;"; ")),1,0)</x:f>
        <x:v>0</x:v>
      </x:c>
      <x:c r="AA91" s="9" t="n">
        <x:f>IF(ISNUMBER(SEARCH("; methodological judgment; ","; "&amp;H91&amp;"; ")),1,0)</x:f>
        <x:v>0</x:v>
      </x:c>
      <x:c r="AB91" s="9" t="n">
        <x:f>IF(ISNUMBER(SEARCH("; argumentative judgment; ","; "&amp;H91&amp;"; ")),1,0)</x:f>
        <x:v>0</x:v>
      </x:c>
      <x:c r="AC91" s="9" t="n">
        <x:f>IF(ISNUMBER(SEARCH("; genre/writing expertise; ","; "&amp;H91&amp;"; ")),1,0)</x:f>
        <x:v>0</x:v>
      </x:c>
      <x:c r="AD91" s="9" t="n">
        <x:f>IF(ISNUMBER(SEARCH("; none; ","; "&amp;H91&amp;"; ")),1,0)</x:f>
        <x:v>1</x:v>
      </x:c>
    </x:row>
    <x:row r="92" ht="60" customHeight="1">
      <x:c r="A92" s="8" t="str">
        <x:v>P4-W1-034</x:v>
      </x:c>
      <x:c r="B92" s="9" t="n">
        <x:v>91</x:v>
      </x:c>
      <x:c r="C92" s="8" t="str">
        <x:v>Writing part 1</x:v>
      </x:c>
      <x:c r="D92" s="8" t="str">
        <x:v>We want to submit a short version of this to IEEE software. Give me a short but catchy title for that.</x:v>
      </x:c>
      <x:c r="E92" s="8" t="str">
        <x:v>Redirection</x:v>
      </x:c>
      <x:c r="F92" s="8" t="str">
        <x:v>Directed delegation</x:v>
      </x:c>
      <x:c r="G92" s="8" t="str">
        <x:v>Directive</x:v>
      </x:c>
      <x:c r="H92" s="8" t="str">
        <x:v>genre/writing expertise</x:v>
      </x:c>
      <x:c r="I92" s="8" t="str">
        <x:v>Introduces a short practitioner-venue version and requires a short catchy title.</x:v>
      </x:c>
      <x:c r="J92" s="8" t="str">
        <x:v>AI proposes IEEE Software title options.</x:v>
      </x:c>
      <x:c r="K92" s="8" t="str">
        <x:v>W1 p41 L36-p41 L36</x:v>
      </x:c>
      <x:c r="L92" s="8" t="str">
        <x:v>W1 p41 L37-p42 L35</x:v>
      </x:c>
      <x:c r="M92" s="8" t="str"/>
      <x:c r="N92" s="8" t="str">
        <x:v>Visible next AI response</x:v>
      </x:c>
      <x:c r="O92" s="8" t="str"/>
      <x:c r="P92" s="9" t="n">
        <x:f>IF(OR(E92="Delegation",ISNUMBER(SEARCH("; Delegation; ","; "&amp;F92&amp;"; "))),1,0)</x:f>
        <x:v>0</x:v>
      </x:c>
      <x:c r="Q92" s="9" t="n">
        <x:f>IF(OR(E92="Directed delegation",ISNUMBER(SEARCH("; Directed delegation; ","; "&amp;F92&amp;"; "))),1,0)</x:f>
        <x:v>1</x:v>
      </x:c>
      <x:c r="R92" s="9" t="n">
        <x:f>IF(OR(E92="Evaluation",ISNUMBER(SEARCH("; Evaluation; ","; "&amp;F92&amp;"; "))),1,0)</x:f>
        <x:v>0</x:v>
      </x:c>
      <x:c r="S92" s="9" t="n">
        <x:f>IF(OR(E92="Correction/Challenge",ISNUMBER(SEARCH("; Correction/Challenge; ","; "&amp;F92&amp;"; "))),1,0)</x:f>
        <x:v>0</x:v>
      </x:c>
      <x:c r="T92" s="9" t="n">
        <x:f>IF(OR(E92="Redirection",ISNUMBER(SEARCH("; Redirection; ","; "&amp;F92&amp;"; "))),1,0)</x:f>
        <x:v>1</x:v>
      </x:c>
      <x:c r="U92" s="9" t="n">
        <x:f>IF(OR(E92="Knowledge injection",ISNUMBER(SEARCH("; Knowledge injection; ","; "&amp;F92&amp;"; "))),1,0)</x:f>
        <x:v>0</x:v>
      </x:c>
      <x:c r="V92" s="9" t="n">
        <x:f>IF(OR(E92="Selection/Rejection",ISNUMBER(SEARCH("; Selection/Rejection; ","; "&amp;F92&amp;"; "))),1,0)</x:f>
        <x:v>0</x:v>
      </x:c>
      <x:c r="W92" s="9" t="n">
        <x:f>IF(OR(E92="Deliberation",ISNUMBER(SEARCH("; Deliberation; ","; "&amp;F92&amp;"; "))),1,0)</x:f>
        <x:v>0</x:v>
      </x:c>
      <x:c r="X92" s="9" t="n">
        <x:f>IF(ISNUMBER(SEARCH("; domain correction; ","; "&amp;H92&amp;"; ")),1,0)</x:f>
        <x:v>0</x:v>
      </x:c>
      <x:c r="Y92" s="9" t="n">
        <x:f>IF(ISNUMBER(SEARCH("; conceptual discrimination; ","; "&amp;H92&amp;"; ")),1,0)</x:f>
        <x:v>0</x:v>
      </x:c>
      <x:c r="Z92" s="9" t="n">
        <x:f>IF(ISNUMBER(SEARCH("; evidence judgment; ","; "&amp;H92&amp;"; ")),1,0)</x:f>
        <x:v>0</x:v>
      </x:c>
      <x:c r="AA92" s="9" t="n">
        <x:f>IF(ISNUMBER(SEARCH("; methodological judgment; ","; "&amp;H92&amp;"; ")),1,0)</x:f>
        <x:v>0</x:v>
      </x:c>
      <x:c r="AB92" s="9" t="n">
        <x:f>IF(ISNUMBER(SEARCH("; argumentative judgment; ","; "&amp;H92&amp;"; ")),1,0)</x:f>
        <x:v>0</x:v>
      </x:c>
      <x:c r="AC92" s="9" t="n">
        <x:f>IF(ISNUMBER(SEARCH("; genre/writing expertise; ","; "&amp;H92&amp;"; ")),1,0)</x:f>
        <x:v>1</x:v>
      </x:c>
      <x:c r="AD92" s="9" t="n">
        <x:f>IF(ISNUMBER(SEARCH("; none; ","; "&amp;H92&amp;"; ")),1,0)</x:f>
        <x:v>0</x:v>
      </x:c>
    </x:row>
    <x:row r="93" ht="64" customHeight="1">
      <x:c r="A93" s="8" t="str">
        <x:v>P4-W1-035</x:v>
      </x:c>
      <x:c r="B93" s="9" t="n">
        <x:v>92</x:v>
      </x:c>
      <x:c r="C93" s="8" t="str">
        <x:v>Writing part 1</x:v>
      </x:c>
      <x:c r="D93" s="8" t="str">
        <x:v>A lot of IEEE software paper starts with what we know about. see https://www.google.com/search?q=ieee+software+%22what+we+know%22 . Is that a good idea for this paper?</x:v>
      </x:c>
      <x:c r="E93" s="8" t="str">
        <x:v>Deliberation</x:v>
      </x:c>
      <x:c r="F93" s="8" t="str">
        <x:v>Evaluation; Knowledge injection</x:v>
      </x:c>
      <x:c r="G93" s="8" t="str">
        <x:v>Deliberative</x:v>
      </x:c>
      <x:c r="H93" s="8" t="str">
        <x:v>genre/writing expertise; argumentative judgment</x:v>
      </x:c>
      <x:c r="I93" s="8" t="str">
        <x:v>Uses a venue-title pattern to evaluate an alternative framing for the short article.</x:v>
      </x:c>
      <x:c r="J93" s="8" t="str">
        <x:v>AI discusses suitability of the What We Know title pattern.</x:v>
      </x:c>
      <x:c r="K93" s="8" t="str">
        <x:v>W1 p42 L36-p42 L37</x:v>
      </x:c>
      <x:c r="L93" s="8" t="str">
        <x:v>W1 p42 L38-p44 L17</x:v>
      </x:c>
      <x:c r="M93" s="8" t="str"/>
      <x:c r="N93" s="8" t="str">
        <x:v>Visible next AI response</x:v>
      </x:c>
      <x:c r="O93" s="8" t="str"/>
      <x:c r="P93" s="9" t="n">
        <x:f>IF(OR(E93="Delegation",ISNUMBER(SEARCH("; Delegation; ","; "&amp;F93&amp;"; "))),1,0)</x:f>
        <x:v>0</x:v>
      </x:c>
      <x:c r="Q93" s="9" t="n">
        <x:f>IF(OR(E93="Directed delegation",ISNUMBER(SEARCH("; Directed delegation; ","; "&amp;F93&amp;"; "))),1,0)</x:f>
        <x:v>0</x:v>
      </x:c>
      <x:c r="R93" s="9" t="n">
        <x:f>IF(OR(E93="Evaluation",ISNUMBER(SEARCH("; Evaluation; ","; "&amp;F93&amp;"; "))),1,0)</x:f>
        <x:v>1</x:v>
      </x:c>
      <x:c r="S93" s="9" t="n">
        <x:f>IF(OR(E93="Correction/Challenge",ISNUMBER(SEARCH("; Correction/Challenge; ","; "&amp;F93&amp;"; "))),1,0)</x:f>
        <x:v>0</x:v>
      </x:c>
      <x:c r="T93" s="9" t="n">
        <x:f>IF(OR(E93="Redirection",ISNUMBER(SEARCH("; Redirection; ","; "&amp;F93&amp;"; "))),1,0)</x:f>
        <x:v>0</x:v>
      </x:c>
      <x:c r="U93" s="9" t="n">
        <x:f>IF(OR(E93="Knowledge injection",ISNUMBER(SEARCH("; Knowledge injection; ","; "&amp;F93&amp;"; "))),1,0)</x:f>
        <x:v>1</x:v>
      </x:c>
      <x:c r="V93" s="9" t="n">
        <x:f>IF(OR(E93="Selection/Rejection",ISNUMBER(SEARCH("; Selection/Rejection; ","; "&amp;F93&amp;"; "))),1,0)</x:f>
        <x:v>0</x:v>
      </x:c>
      <x:c r="W93" s="9" t="n">
        <x:f>IF(OR(E93="Deliberation",ISNUMBER(SEARCH("; Deliberation; ","; "&amp;F93&amp;"; "))),1,0)</x:f>
        <x:v>1</x:v>
      </x:c>
      <x:c r="X93" s="9" t="n">
        <x:f>IF(ISNUMBER(SEARCH("; domain correction; ","; "&amp;H93&amp;"; ")),1,0)</x:f>
        <x:v>0</x:v>
      </x:c>
      <x:c r="Y93" s="9" t="n">
        <x:f>IF(ISNUMBER(SEARCH("; conceptual discrimination; ","; "&amp;H93&amp;"; ")),1,0)</x:f>
        <x:v>0</x:v>
      </x:c>
      <x:c r="Z93" s="9" t="n">
        <x:f>IF(ISNUMBER(SEARCH("; evidence judgment; ","; "&amp;H93&amp;"; ")),1,0)</x:f>
        <x:v>0</x:v>
      </x:c>
      <x:c r="AA93" s="9" t="n">
        <x:f>IF(ISNUMBER(SEARCH("; methodological judgment; ","; "&amp;H93&amp;"; ")),1,0)</x:f>
        <x:v>0</x:v>
      </x:c>
      <x:c r="AB93" s="9" t="n">
        <x:f>IF(ISNUMBER(SEARCH("; argumentative judgment; ","; "&amp;H93&amp;"; ")),1,0)</x:f>
        <x:v>1</x:v>
      </x:c>
      <x:c r="AC93" s="9" t="n">
        <x:f>IF(ISNUMBER(SEARCH("; genre/writing expertise; ","; "&amp;H93&amp;"; ")),1,0)</x:f>
        <x:v>1</x:v>
      </x:c>
      <x:c r="AD93" s="9" t="n">
        <x:f>IF(ISNUMBER(SEARCH("; none; ","; "&amp;H93&amp;"; ")),1,0)</x:f>
        <x:v>0</x:v>
      </x:c>
    </x:row>
    <x:row r="94" ht="92" customHeight="1">
      <x:c r="A94" s="8" t="str">
        <x:v>P4-W1-036</x:v>
      </x:c>
      <x:c r="B94" s="9" t="n">
        <x:v>93</x:v>
      </x:c>
      <x:c r="C94" s="8" t="str">
        <x:v>Writing part 1</x:v>
      </x:c>
      <x:c r="D94" s="8" t="str">
        <x:v>And now you'll tell me the minimal set of contents to put in the IEEE software, as you know, it has strict length limitations. I'm right now putting the full paper on a preprint website, and I'm gonna refer from the short IEEE software paper to the long full technical paper, which itself will be …</x:v>
      </x:c>
      <x:c r="E94" s="8" t="str">
        <x:v>Directed delegation</x:v>
      </x:c>
      <x:c r="F94" s="8" t="str">
        <x:v>Knowledge injection; Redirection</x:v>
      </x:c>
      <x:c r="G94" s="8" t="str">
        <x:v>Directive</x:v>
      </x:c>
      <x:c r="H94" s="8" t="str">
        <x:v>genre/writing expertise; argumentative judgment</x:v>
      </x:c>
      <x:c r="I94" s="8" t="str">
        <x:v>Defines minimal short-article content and a relationship to the full technical paper.</x:v>
      </x:c>
      <x:c r="J94" s="8" t="str">
        <x:v>AI proposes a practitioner-focused abbreviated structure.</x:v>
      </x:c>
      <x:c r="K94" s="8" t="str">
        <x:v>W1 p44 L18-p44 L20</x:v>
      </x:c>
      <x:c r="L94" s="8" t="str">
        <x:v>W1 p44 L22-p47 L20</x:v>
      </x:c>
      <x:c r="M94" s="8" t="str"/>
      <x:c r="N94" s="8" t="str">
        <x:v>Visible next AI response</x:v>
      </x:c>
      <x:c r="O94" s="8" t="str"/>
      <x:c r="P94" s="9" t="n">
        <x:f>IF(OR(E94="Delegation",ISNUMBER(SEARCH("; Delegation; ","; "&amp;F94&amp;"; "))),1,0)</x:f>
        <x:v>0</x:v>
      </x:c>
      <x:c r="Q94" s="9" t="n">
        <x:f>IF(OR(E94="Directed delegation",ISNUMBER(SEARCH("; Directed delegation; ","; "&amp;F94&amp;"; "))),1,0)</x:f>
        <x:v>1</x:v>
      </x:c>
      <x:c r="R94" s="9" t="n">
        <x:f>IF(OR(E94="Evaluation",ISNUMBER(SEARCH("; Evaluation; ","; "&amp;F94&amp;"; "))),1,0)</x:f>
        <x:v>0</x:v>
      </x:c>
      <x:c r="S94" s="9" t="n">
        <x:f>IF(OR(E94="Correction/Challenge",ISNUMBER(SEARCH("; Correction/Challenge; ","; "&amp;F94&amp;"; "))),1,0)</x:f>
        <x:v>0</x:v>
      </x:c>
      <x:c r="T94" s="9" t="n">
        <x:f>IF(OR(E94="Redirection",ISNUMBER(SEARCH("; Redirection; ","; "&amp;F94&amp;"; "))),1,0)</x:f>
        <x:v>1</x:v>
      </x:c>
      <x:c r="U94" s="9" t="n">
        <x:f>IF(OR(E94="Knowledge injection",ISNUMBER(SEARCH("; Knowledge injection; ","; "&amp;F94&amp;"; "))),1,0)</x:f>
        <x:v>1</x:v>
      </x:c>
      <x:c r="V94" s="9" t="n">
        <x:f>IF(OR(E94="Selection/Rejection",ISNUMBER(SEARCH("; Selection/Rejection; ","; "&amp;F94&amp;"; "))),1,0)</x:f>
        <x:v>0</x:v>
      </x:c>
      <x:c r="W94" s="9" t="n">
        <x:f>IF(OR(E94="Deliberation",ISNUMBER(SEARCH("; Deliberation; ","; "&amp;F94&amp;"; "))),1,0)</x:f>
        <x:v>0</x:v>
      </x:c>
      <x:c r="X94" s="9" t="n">
        <x:f>IF(ISNUMBER(SEARCH("; domain correction; ","; "&amp;H94&amp;"; ")),1,0)</x:f>
        <x:v>0</x:v>
      </x:c>
      <x:c r="Y94" s="9" t="n">
        <x:f>IF(ISNUMBER(SEARCH("; conceptual discrimination; ","; "&amp;H94&amp;"; ")),1,0)</x:f>
        <x:v>0</x:v>
      </x:c>
      <x:c r="Z94" s="9" t="n">
        <x:f>IF(ISNUMBER(SEARCH("; evidence judgment; ","; "&amp;H94&amp;"; ")),1,0)</x:f>
        <x:v>0</x:v>
      </x:c>
      <x:c r="AA94" s="9" t="n">
        <x:f>IF(ISNUMBER(SEARCH("; methodological judgment; ","; "&amp;H94&amp;"; ")),1,0)</x:f>
        <x:v>0</x:v>
      </x:c>
      <x:c r="AB94" s="9" t="n">
        <x:f>IF(ISNUMBER(SEARCH("; argumentative judgment; ","; "&amp;H94&amp;"; ")),1,0)</x:f>
        <x:v>1</x:v>
      </x:c>
      <x:c r="AC94" s="9" t="n">
        <x:f>IF(ISNUMBER(SEARCH("; genre/writing expertise; ","; "&amp;H94&amp;"; ")),1,0)</x:f>
        <x:v>1</x:v>
      </x:c>
      <x:c r="AD94" s="9" t="n">
        <x:f>IF(ISNUMBER(SEARCH("; none; ","; "&amp;H94&amp;"; ")),1,0)</x:f>
        <x:v>0</x:v>
      </x:c>
    </x:row>
    <x:row r="95" ht="60" customHeight="1">
      <x:c r="A95" s="8" t="str">
        <x:v>P4-W1-037</x:v>
      </x:c>
      <x:c r="B95" s="9" t="n">
        <x:v>94</x:v>
      </x:c>
      <x:c r="C95" s="8" t="str">
        <x:v>Writing part 1</x:v>
      </x:c>
      <x:c r="D95" s="8" t="str">
        <x:v>Before the result, we should talk about the, like the very briefly about the research method, which is the AI-assisted SLR.</x:v>
      </x:c>
      <x:c r="E95" s="8" t="str">
        <x:v>Redirection</x:v>
      </x:c>
      <x:c r="F95" s="8" t="str">
        <x:v>Directed delegation</x:v>
      </x:c>
      <x:c r="G95" s="8" t="str">
        <x:v>Directive</x:v>
      </x:c>
      <x:c r="H95" s="8" t="str">
        <x:v>genre/writing expertise; argumentative judgment</x:v>
      </x:c>
      <x:c r="I95" s="8" t="str">
        <x:v>Adds a brief methods section before findings to establish credibility.</x:v>
      </x:c>
      <x:c r="J95" s="8" t="str">
        <x:v>AI supplies a short approach section and placement.</x:v>
      </x:c>
      <x:c r="K95" s="8" t="str">
        <x:v>W1 p47 L21-p47 L21</x:v>
      </x:c>
      <x:c r="L95" s="8" t="str">
        <x:v>W1 p47 L22-p48 L34</x:v>
      </x:c>
      <x:c r="M95" s="8" t="str"/>
      <x:c r="N95" s="8" t="str">
        <x:v>Visible next AI response</x:v>
      </x:c>
      <x:c r="O95" s="8" t="str"/>
      <x:c r="P95" s="9" t="n">
        <x:f>IF(OR(E95="Delegation",ISNUMBER(SEARCH("; Delegation; ","; "&amp;F95&amp;"; "))),1,0)</x:f>
        <x:v>0</x:v>
      </x:c>
      <x:c r="Q95" s="9" t="n">
        <x:f>IF(OR(E95="Directed delegation",ISNUMBER(SEARCH("; Directed delegation; ","; "&amp;F95&amp;"; "))),1,0)</x:f>
        <x:v>1</x:v>
      </x:c>
      <x:c r="R95" s="9" t="n">
        <x:f>IF(OR(E95="Evaluation",ISNUMBER(SEARCH("; Evaluation; ","; "&amp;F95&amp;"; "))),1,0)</x:f>
        <x:v>0</x:v>
      </x:c>
      <x:c r="S95" s="9" t="n">
        <x:f>IF(OR(E95="Correction/Challenge",ISNUMBER(SEARCH("; Correction/Challenge; ","; "&amp;F95&amp;"; "))),1,0)</x:f>
        <x:v>0</x:v>
      </x:c>
      <x:c r="T95" s="9" t="n">
        <x:f>IF(OR(E95="Redirection",ISNUMBER(SEARCH("; Redirection; ","; "&amp;F95&amp;"; "))),1,0)</x:f>
        <x:v>1</x:v>
      </x:c>
      <x:c r="U95" s="9" t="n">
        <x:f>IF(OR(E95="Knowledge injection",ISNUMBER(SEARCH("; Knowledge injection; ","; "&amp;F95&amp;"; "))),1,0)</x:f>
        <x:v>0</x:v>
      </x:c>
      <x:c r="V95" s="9" t="n">
        <x:f>IF(OR(E95="Selection/Rejection",ISNUMBER(SEARCH("; Selection/Rejection; ","; "&amp;F95&amp;"; "))),1,0)</x:f>
        <x:v>0</x:v>
      </x:c>
      <x:c r="W95" s="9" t="n">
        <x:f>IF(OR(E95="Deliberation",ISNUMBER(SEARCH("; Deliberation; ","; "&amp;F95&amp;"; "))),1,0)</x:f>
        <x:v>0</x:v>
      </x:c>
      <x:c r="X95" s="9" t="n">
        <x:f>IF(ISNUMBER(SEARCH("; domain correction; ","; "&amp;H95&amp;"; ")),1,0)</x:f>
        <x:v>0</x:v>
      </x:c>
      <x:c r="Y95" s="9" t="n">
        <x:f>IF(ISNUMBER(SEARCH("; conceptual discrimination; ","; "&amp;H95&amp;"; ")),1,0)</x:f>
        <x:v>0</x:v>
      </x:c>
      <x:c r="Z95" s="9" t="n">
        <x:f>IF(ISNUMBER(SEARCH("; evidence judgment; ","; "&amp;H95&amp;"; ")),1,0)</x:f>
        <x:v>0</x:v>
      </x:c>
      <x:c r="AA95" s="9" t="n">
        <x:f>IF(ISNUMBER(SEARCH("; methodological judgment; ","; "&amp;H95&amp;"; ")),1,0)</x:f>
        <x:v>0</x:v>
      </x:c>
      <x:c r="AB95" s="9" t="n">
        <x:f>IF(ISNUMBER(SEARCH("; argumentative judgment; ","; "&amp;H95&amp;"; ")),1,0)</x:f>
        <x:v>1</x:v>
      </x:c>
      <x:c r="AC95" s="9" t="n">
        <x:f>IF(ISNUMBER(SEARCH("; genre/writing expertise; ","; "&amp;H95&amp;"; ")),1,0)</x:f>
        <x:v>1</x:v>
      </x:c>
      <x:c r="AD95" s="9" t="n">
        <x:f>IF(ISNUMBER(SEARCH("; none; ","; "&amp;H95&amp;"; ")),1,0)</x:f>
        <x:v>0</x:v>
      </x:c>
    </x:row>
    <x:row r="96" ht="60" customHeight="1">
      <x:c r="A96" s="8" t="str">
        <x:v>P4-W1-038</x:v>
      </x:c>
      <x:c r="B96" s="9" t="n">
        <x:v>95</x:v>
      </x:c>
      <x:c r="C96" s="8" t="str">
        <x:v>Writing part 1</x:v>
      </x:c>
      <x:c r="D96" s="8" t="str">
        <x:v>ensure / remember citing "Synthesizing evidence in software engineering research," in that metho section too.</x:v>
      </x:c>
      <x:c r="E96" s="8" t="str">
        <x:v>Directed delegation</x:v>
      </x:c>
      <x:c r="F96" s="8" t="str"/>
      <x:c r="G96" s="8" t="str">
        <x:v>Directive</x:v>
      </x:c>
      <x:c r="H96" s="8" t="str">
        <x:v>evidence judgment; methodological judgment</x:v>
      </x:c>
      <x:c r="I96" s="8" t="str">
        <x:v>Requires the synthesis-method reference in the short article's methods.</x:v>
      </x:c>
      <x:c r="J96" s="8" t="str">
        <x:v>AI integrates the requested method citation.</x:v>
      </x:c>
      <x:c r="K96" s="8" t="str">
        <x:v>W1 p48 L35-p48 L35</x:v>
      </x:c>
      <x:c r="L96" s="8" t="str">
        <x:v>W1 p48 L36-p49 L8</x:v>
      </x:c>
      <x:c r="M96" s="8" t="str"/>
      <x:c r="N96" s="8" t="str">
        <x:v>Visible next AI response</x:v>
      </x:c>
      <x:c r="O96" s="8" t="str"/>
      <x:c r="P96" s="9" t="n">
        <x:f>IF(OR(E96="Delegation",ISNUMBER(SEARCH("; Delegation; ","; "&amp;F96&amp;"; "))),1,0)</x:f>
        <x:v>0</x:v>
      </x:c>
      <x:c r="Q96" s="9" t="n">
        <x:f>IF(OR(E96="Directed delegation",ISNUMBER(SEARCH("; Directed delegation; ","; "&amp;F96&amp;"; "))),1,0)</x:f>
        <x:v>1</x:v>
      </x:c>
      <x:c r="R96" s="9" t="n">
        <x:f>IF(OR(E96="Evaluation",ISNUMBER(SEARCH("; Evaluation; ","; "&amp;F96&amp;"; "))),1,0)</x:f>
        <x:v>0</x:v>
      </x:c>
      <x:c r="S96" s="9" t="n">
        <x:f>IF(OR(E96="Correction/Challenge",ISNUMBER(SEARCH("; Correction/Challenge; ","; "&amp;F96&amp;"; "))),1,0)</x:f>
        <x:v>0</x:v>
      </x:c>
      <x:c r="T96" s="9" t="n">
        <x:f>IF(OR(E96="Redirection",ISNUMBER(SEARCH("; Redirection; ","; "&amp;F96&amp;"; "))),1,0)</x:f>
        <x:v>0</x:v>
      </x:c>
      <x:c r="U96" s="9" t="n">
        <x:f>IF(OR(E96="Knowledge injection",ISNUMBER(SEARCH("; Knowledge injection; ","; "&amp;F96&amp;"; "))),1,0)</x:f>
        <x:v>0</x:v>
      </x:c>
      <x:c r="V96" s="9" t="n">
        <x:f>IF(OR(E96="Selection/Rejection",ISNUMBER(SEARCH("; Selection/Rejection; ","; "&amp;F96&amp;"; "))),1,0)</x:f>
        <x:v>0</x:v>
      </x:c>
      <x:c r="W96" s="9" t="n">
        <x:f>IF(OR(E96="Deliberation",ISNUMBER(SEARCH("; Deliberation; ","; "&amp;F96&amp;"; "))),1,0)</x:f>
        <x:v>0</x:v>
      </x:c>
      <x:c r="X96" s="9" t="n">
        <x:f>IF(ISNUMBER(SEARCH("; domain correction; ","; "&amp;H96&amp;"; ")),1,0)</x:f>
        <x:v>0</x:v>
      </x:c>
      <x:c r="Y96" s="9" t="n">
        <x:f>IF(ISNUMBER(SEARCH("; conceptual discrimination; ","; "&amp;H96&amp;"; ")),1,0)</x:f>
        <x:v>0</x:v>
      </x:c>
      <x:c r="Z96" s="9" t="n">
        <x:f>IF(ISNUMBER(SEARCH("; evidence judgment; ","; "&amp;H96&amp;"; ")),1,0)</x:f>
        <x:v>1</x:v>
      </x:c>
      <x:c r="AA96" s="9" t="n">
        <x:f>IF(ISNUMBER(SEARCH("; methodological judgment; ","; "&amp;H96&amp;"; ")),1,0)</x:f>
        <x:v>1</x:v>
      </x:c>
      <x:c r="AB96" s="9" t="n">
        <x:f>IF(ISNUMBER(SEARCH("; argumentative judgment; ","; "&amp;H96&amp;"; ")),1,0)</x:f>
        <x:v>0</x:v>
      </x:c>
      <x:c r="AC96" s="9" t="n">
        <x:f>IF(ISNUMBER(SEARCH("; genre/writing expertise; ","; "&amp;H96&amp;"; ")),1,0)</x:f>
        <x:v>0</x:v>
      </x:c>
      <x:c r="AD96" s="9" t="n">
        <x:f>IF(ISNUMBER(SEARCH("; none; ","; "&amp;H96&amp;"; ")),1,0)</x:f>
        <x:v>0</x:v>
      </x:c>
    </x:row>
    <x:row r="97" ht="64" customHeight="1">
      <x:c r="A97" s="8" t="str">
        <x:v>P4-W1-039</x:v>
      </x:c>
      <x:c r="B97" s="9" t="n">
        <x:v>96</x:v>
      </x:c>
      <x:c r="C97" s="8" t="str">
        <x:v>Writing part 1</x:v>
      </x:c>
      <x:c r="D97" s="8" t="str">
        <x:v>Remember in the method section to also refer the readers to the full technical report that I'll just give me the placeholder that I will include the citation.</x:v>
      </x:c>
      <x:c r="E97" s="8" t="str">
        <x:v>Directed delegation</x:v>
      </x:c>
      <x:c r="F97" s="8" t="str"/>
      <x:c r="G97" s="8" t="str">
        <x:v>Directive</x:v>
      </x:c>
      <x:c r="H97" s="8" t="str">
        <x:v>evidence judgment; genre/writing expertise</x:v>
      </x:c>
      <x:c r="I97" s="8" t="str">
        <x:v>Requires a full-report citation placeholder to support methodological traceability.</x:v>
      </x:c>
      <x:c r="J97" s="8" t="str">
        <x:v>AI adds a full-report pointer.</x:v>
      </x:c>
      <x:c r="K97" s="8" t="str">
        <x:v>W1 p49 L9-p49 L10</x:v>
      </x:c>
      <x:c r="L97" s="8" t="str">
        <x:v>W1 p49 L11-p49 L34</x:v>
      </x:c>
      <x:c r="M97" s="8" t="str"/>
      <x:c r="N97" s="8" t="str">
        <x:v>Visible next AI response</x:v>
      </x:c>
      <x:c r="O97" s="8" t="str"/>
      <x:c r="P97" s="9" t="n">
        <x:f>IF(OR(E97="Delegation",ISNUMBER(SEARCH("; Delegation; ","; "&amp;F97&amp;"; "))),1,0)</x:f>
        <x:v>0</x:v>
      </x:c>
      <x:c r="Q97" s="9" t="n">
        <x:f>IF(OR(E97="Directed delegation",ISNUMBER(SEARCH("; Directed delegation; ","; "&amp;F97&amp;"; "))),1,0)</x:f>
        <x:v>1</x:v>
      </x:c>
      <x:c r="R97" s="9" t="n">
        <x:f>IF(OR(E97="Evaluation",ISNUMBER(SEARCH("; Evaluation; ","; "&amp;F97&amp;"; "))),1,0)</x:f>
        <x:v>0</x:v>
      </x:c>
      <x:c r="S97" s="9" t="n">
        <x:f>IF(OR(E97="Correction/Challenge",ISNUMBER(SEARCH("; Correction/Challenge; ","; "&amp;F97&amp;"; "))),1,0)</x:f>
        <x:v>0</x:v>
      </x:c>
      <x:c r="T97" s="9" t="n">
        <x:f>IF(OR(E97="Redirection",ISNUMBER(SEARCH("; Redirection; ","; "&amp;F97&amp;"; "))),1,0)</x:f>
        <x:v>0</x:v>
      </x:c>
      <x:c r="U97" s="9" t="n">
        <x:f>IF(OR(E97="Knowledge injection",ISNUMBER(SEARCH("; Knowledge injection; ","; "&amp;F97&amp;"; "))),1,0)</x:f>
        <x:v>0</x:v>
      </x:c>
      <x:c r="V97" s="9" t="n">
        <x:f>IF(OR(E97="Selection/Rejection",ISNUMBER(SEARCH("; Selection/Rejection; ","; "&amp;F97&amp;"; "))),1,0)</x:f>
        <x:v>0</x:v>
      </x:c>
      <x:c r="W97" s="9" t="n">
        <x:f>IF(OR(E97="Deliberation",ISNUMBER(SEARCH("; Deliberation; ","; "&amp;F97&amp;"; "))),1,0)</x:f>
        <x:v>0</x:v>
      </x:c>
      <x:c r="X97" s="9" t="n">
        <x:f>IF(ISNUMBER(SEARCH("; domain correction; ","; "&amp;H97&amp;"; ")),1,0)</x:f>
        <x:v>0</x:v>
      </x:c>
      <x:c r="Y97" s="9" t="n">
        <x:f>IF(ISNUMBER(SEARCH("; conceptual discrimination; ","; "&amp;H97&amp;"; ")),1,0)</x:f>
        <x:v>0</x:v>
      </x:c>
      <x:c r="Z97" s="9" t="n">
        <x:f>IF(ISNUMBER(SEARCH("; evidence judgment; ","; "&amp;H97&amp;"; ")),1,0)</x:f>
        <x:v>1</x:v>
      </x:c>
      <x:c r="AA97" s="9" t="n">
        <x:f>IF(ISNUMBER(SEARCH("; methodological judgment; ","; "&amp;H97&amp;"; ")),1,0)</x:f>
        <x:v>0</x:v>
      </x:c>
      <x:c r="AB97" s="9" t="n">
        <x:f>IF(ISNUMBER(SEARCH("; argumentative judgment; ","; "&amp;H97&amp;"; ")),1,0)</x:f>
        <x:v>0</x:v>
      </x:c>
      <x:c r="AC97" s="9" t="n">
        <x:f>IF(ISNUMBER(SEARCH("; genre/writing expertise; ","; "&amp;H97&amp;"; ")),1,0)</x:f>
        <x:v>1</x:v>
      </x:c>
      <x:c r="AD97" s="9" t="n">
        <x:f>IF(ISNUMBER(SEARCH("; none; ","; "&amp;H97&amp;"; ")),1,0)</x:f>
        <x:v>0</x:v>
      </x:c>
    </x:row>
    <x:row r="98" ht="64" customHeight="1">
      <x:c r="A98" s="8" t="str">
        <x:v>P4-W1-040</x:v>
      </x:c>
      <x:c r="B98" s="9" t="n">
        <x:v>97</x:v>
      </x:c>
      <x:c r="C98" s="8" t="str">
        <x:v>Writing part 1</x:v>
      </x:c>
      <x:c r="D98" s="8" t="str">
        <x:v>also, I want to include a simpler version of the large table of Appendix B- Pool of all the 22 studies studied in the SLR in this short paper too</x:v>
      </x:c>
      <x:c r="E98" s="8" t="str">
        <x:v>Directed delegation</x:v>
      </x:c>
      <x:c r="F98" s="8" t="str"/>
      <x:c r="G98" s="8" t="str">
        <x:v>Directive</x:v>
      </x:c>
      <x:c r="H98" s="8" t="str">
        <x:v>genre/writing expertise</x:v>
      </x:c>
      <x:c r="I98" s="8" t="str">
        <x:v>Requests an abbreviated study table in the short article.</x:v>
      </x:c>
      <x:c r="J98" s="8" t="str">
        <x:v>AI proposes a lightweight table and illustrative subset.</x:v>
      </x:c>
      <x:c r="K98" s="8" t="str">
        <x:v>W1 p49 L35-p49 L35</x:v>
      </x:c>
      <x:c r="L98" s="8" t="str">
        <x:v>W1 p49 L36-p51 L27</x:v>
      </x:c>
      <x:c r="M98" s="8" t="str"/>
      <x:c r="N98" s="8" t="str">
        <x:v>Visible next AI response</x:v>
      </x:c>
      <x:c r="O98" s="8" t="str">
        <x:v>Prompt references a 22-study appendix despite the preceding 24-study pool. This inconsistency is preserved.</x:v>
      </x:c>
      <x:c r="P98" s="9" t="n">
        <x:f>IF(OR(E98="Delegation",ISNUMBER(SEARCH("; Delegation; ","; "&amp;F98&amp;"; "))),1,0)</x:f>
        <x:v>0</x:v>
      </x:c>
      <x:c r="Q98" s="9" t="n">
        <x:f>IF(OR(E98="Directed delegation",ISNUMBER(SEARCH("; Directed delegation; ","; "&amp;F98&amp;"; "))),1,0)</x:f>
        <x:v>1</x:v>
      </x:c>
      <x:c r="R98" s="9" t="n">
        <x:f>IF(OR(E98="Evaluation",ISNUMBER(SEARCH("; Evaluation; ","; "&amp;F98&amp;"; "))),1,0)</x:f>
        <x:v>0</x:v>
      </x:c>
      <x:c r="S98" s="9" t="n">
        <x:f>IF(OR(E98="Correction/Challenge",ISNUMBER(SEARCH("; Correction/Challenge; ","; "&amp;F98&amp;"; "))),1,0)</x:f>
        <x:v>0</x:v>
      </x:c>
      <x:c r="T98" s="9" t="n">
        <x:f>IF(OR(E98="Redirection",ISNUMBER(SEARCH("; Redirection; ","; "&amp;F98&amp;"; "))),1,0)</x:f>
        <x:v>0</x:v>
      </x:c>
      <x:c r="U98" s="9" t="n">
        <x:f>IF(OR(E98="Knowledge injection",ISNUMBER(SEARCH("; Knowledge injection; ","; "&amp;F98&amp;"; "))),1,0)</x:f>
        <x:v>0</x:v>
      </x:c>
      <x:c r="V98" s="9" t="n">
        <x:f>IF(OR(E98="Selection/Rejection",ISNUMBER(SEARCH("; Selection/Rejection; ","; "&amp;F98&amp;"; "))),1,0)</x:f>
        <x:v>0</x:v>
      </x:c>
      <x:c r="W98" s="9" t="n">
        <x:f>IF(OR(E98="Deliberation",ISNUMBER(SEARCH("; Deliberation; ","; "&amp;F98&amp;"; "))),1,0)</x:f>
        <x:v>0</x:v>
      </x:c>
      <x:c r="X98" s="9" t="n">
        <x:f>IF(ISNUMBER(SEARCH("; domain correction; ","; "&amp;H98&amp;"; ")),1,0)</x:f>
        <x:v>0</x:v>
      </x:c>
      <x:c r="Y98" s="9" t="n">
        <x:f>IF(ISNUMBER(SEARCH("; conceptual discrimination; ","; "&amp;H98&amp;"; ")),1,0)</x:f>
        <x:v>0</x:v>
      </x:c>
      <x:c r="Z98" s="9" t="n">
        <x:f>IF(ISNUMBER(SEARCH("; evidence judgment; ","; "&amp;H98&amp;"; ")),1,0)</x:f>
        <x:v>0</x:v>
      </x:c>
      <x:c r="AA98" s="9" t="n">
        <x:f>IF(ISNUMBER(SEARCH("; methodological judgment; ","; "&amp;H98&amp;"; ")),1,0)</x:f>
        <x:v>0</x:v>
      </x:c>
      <x:c r="AB98" s="9" t="n">
        <x:f>IF(ISNUMBER(SEARCH("; argumentative judgment; ","; "&amp;H98&amp;"; ")),1,0)</x:f>
        <x:v>0</x:v>
      </x:c>
      <x:c r="AC98" s="9" t="n">
        <x:f>IF(ISNUMBER(SEARCH("; genre/writing expertise; ","; "&amp;H98&amp;"; ")),1,0)</x:f>
        <x:v>1</x:v>
      </x:c>
      <x:c r="AD98" s="9" t="n">
        <x:f>IF(ISNUMBER(SEARCH("; none; ","; "&amp;H98&amp;"; ")),1,0)</x:f>
        <x:v>0</x:v>
      </x:c>
    </x:row>
    <x:row r="99" ht="60" customHeight="1">
      <x:c r="A99" s="8" t="str">
        <x:v>P4-W1-041</x:v>
      </x:c>
      <x:c r="B99" s="9" t="n">
        <x:v>98</x:v>
      </x:c>
      <x:c r="C99" s="8" t="str">
        <x:v>Writing part 1</x:v>
      </x:c>
      <x:c r="D99" s="8" t="str">
        <x:v>paper titles should be in the table</x:v>
      </x:c>
      <x:c r="E99" s="8" t="str">
        <x:v>Directed delegation</x:v>
      </x:c>
      <x:c r="F99" s="8" t="str"/>
      <x:c r="G99" s="8" t="str">
        <x:v>Directive</x:v>
      </x:c>
      <x:c r="H99" s="8" t="str">
        <x:v>evidence judgment; genre/writing expertise</x:v>
      </x:c>
      <x:c r="I99" s="8" t="str">
        <x:v>Requires study titles in the evidence table for discoverability.</x:v>
      </x:c>
      <x:c r="J99" s="8" t="str">
        <x:v>AI proposes shortened title entries.</x:v>
      </x:c>
      <x:c r="K99" s="8" t="str">
        <x:v>W1 p51 L28-p51 L28</x:v>
      </x:c>
      <x:c r="L99" s="8" t="str">
        <x:v>W1 p51 L29-p52 L42</x:v>
      </x:c>
      <x:c r="M99" s="8" t="str"/>
      <x:c r="N99" s="8" t="str">
        <x:v>Visible next AI response</x:v>
      </x:c>
      <x:c r="O99" s="8" t="str"/>
      <x:c r="P99" s="9" t="n">
        <x:f>IF(OR(E99="Delegation",ISNUMBER(SEARCH("; Delegation; ","; "&amp;F99&amp;"; "))),1,0)</x:f>
        <x:v>0</x:v>
      </x:c>
      <x:c r="Q99" s="9" t="n">
        <x:f>IF(OR(E99="Directed delegation",ISNUMBER(SEARCH("; Directed delegation; ","; "&amp;F99&amp;"; "))),1,0)</x:f>
        <x:v>1</x:v>
      </x:c>
      <x:c r="R99" s="9" t="n">
        <x:f>IF(OR(E99="Evaluation",ISNUMBER(SEARCH("; Evaluation; ","; "&amp;F99&amp;"; "))),1,0)</x:f>
        <x:v>0</x:v>
      </x:c>
      <x:c r="S99" s="9" t="n">
        <x:f>IF(OR(E99="Correction/Challenge",ISNUMBER(SEARCH("; Correction/Challenge; ","; "&amp;F99&amp;"; "))),1,0)</x:f>
        <x:v>0</x:v>
      </x:c>
      <x:c r="T99" s="9" t="n">
        <x:f>IF(OR(E99="Redirection",ISNUMBER(SEARCH("; Redirection; ","; "&amp;F99&amp;"; "))),1,0)</x:f>
        <x:v>0</x:v>
      </x:c>
      <x:c r="U99" s="9" t="n">
        <x:f>IF(OR(E99="Knowledge injection",ISNUMBER(SEARCH("; Knowledge injection; ","; "&amp;F99&amp;"; "))),1,0)</x:f>
        <x:v>0</x:v>
      </x:c>
      <x:c r="V99" s="9" t="n">
        <x:f>IF(OR(E99="Selection/Rejection",ISNUMBER(SEARCH("; Selection/Rejection; ","; "&amp;F99&amp;"; "))),1,0)</x:f>
        <x:v>0</x:v>
      </x:c>
      <x:c r="W99" s="9" t="n">
        <x:f>IF(OR(E99="Deliberation",ISNUMBER(SEARCH("; Deliberation; ","; "&amp;F99&amp;"; "))),1,0)</x:f>
        <x:v>0</x:v>
      </x:c>
      <x:c r="X99" s="9" t="n">
        <x:f>IF(ISNUMBER(SEARCH("; domain correction; ","; "&amp;H99&amp;"; ")),1,0)</x:f>
        <x:v>0</x:v>
      </x:c>
      <x:c r="Y99" s="9" t="n">
        <x:f>IF(ISNUMBER(SEARCH("; conceptual discrimination; ","; "&amp;H99&amp;"; ")),1,0)</x:f>
        <x:v>0</x:v>
      </x:c>
      <x:c r="Z99" s="9" t="n">
        <x:f>IF(ISNUMBER(SEARCH("; evidence judgment; ","; "&amp;H99&amp;"; ")),1,0)</x:f>
        <x:v>1</x:v>
      </x:c>
      <x:c r="AA99" s="9" t="n">
        <x:f>IF(ISNUMBER(SEARCH("; methodological judgment; ","; "&amp;H99&amp;"; ")),1,0)</x:f>
        <x:v>0</x:v>
      </x:c>
      <x:c r="AB99" s="9" t="n">
        <x:f>IF(ISNUMBER(SEARCH("; argumentative judgment; ","; "&amp;H99&amp;"; ")),1,0)</x:f>
        <x:v>0</x:v>
      </x:c>
      <x:c r="AC99" s="9" t="n">
        <x:f>IF(ISNUMBER(SEARCH("; genre/writing expertise; ","; "&amp;H99&amp;"; ")),1,0)</x:f>
        <x:v>1</x:v>
      </x:c>
      <x:c r="AD99" s="9" t="n">
        <x:f>IF(ISNUMBER(SEARCH("; none; ","; "&amp;H99&amp;"; ")),1,0)</x:f>
        <x:v>0</x:v>
      </x:c>
    </x:row>
    <x:row r="100" ht="92" customHeight="1">
      <x:c r="A100" s="8" t="str">
        <x:v>P4-W1-042</x:v>
      </x:c>
      <x:c r="B100" s="9" t="n">
        <x:v>99</x:v>
      </x:c>
      <x:c r="C100" s="8" t="str">
        <x:v>Writing part 1</x:v>
      </x:c>
      <x:c r="D100" s="8" t="str">
        <x:v>because we need to provide the citations in that case. I think I'd rather not to put the full citations, but to put the full paper title so that people can just Google and find those papers. Also, the two most important things for us in the papers is impacting factors and quality attributes. So i…</x:v>
      </x:c>
      <x:c r="E100" s="8" t="str">
        <x:v>Correction/Challenge</x:v>
      </x:c>
      <x:c r="F100" s="8" t="str">
        <x:v>Redirection; Selection/Rejection; Knowledge injection</x:v>
      </x:c>
      <x:c r="G100" s="8" t="str">
        <x:v>Critical</x:v>
      </x:c>
      <x:c r="H100" s="8" t="str">
        <x:v>evidence judgment; argumentative judgment; genre/writing expertise</x:v>
      </x:c>
      <x:c r="I100" s="8" t="str">
        <x:v>Rejects shortened/title-light formatting, explains discoverability and prioritizes factors/quality attributes over tool/ID columns.</x:v>
      </x:c>
      <x:c r="J100" s="8" t="str">
        <x:v>AI revises the table design around full titles and influencing factors.</x:v>
      </x:c>
      <x:c r="K100" s="8" t="str">
        <x:v>W1 p52 L43-p52 L45</x:v>
      </x:c>
      <x:c r="L100" s="8" t="str">
        <x:v>W1 p53 L2-p54 L43</x:v>
      </x:c>
      <x:c r="M100" s="8" t="str"/>
      <x:c r="N100" s="8" t="str">
        <x:v>Visible next AI response</x:v>
      </x:c>
      <x:c r="O100" s="8" t="str">
        <x:v>Table discoverability and citation strategy are human choices; AI’s assertions about venue requirements are not verified.</x:v>
      </x:c>
      <x:c r="P100" s="9" t="n">
        <x:f>IF(OR(E100="Delegation",ISNUMBER(SEARCH("; Delegation; ","; "&amp;F100&amp;"; "))),1,0)</x:f>
        <x:v>0</x:v>
      </x:c>
      <x:c r="Q100" s="9" t="n">
        <x:f>IF(OR(E100="Directed delegation",ISNUMBER(SEARCH("; Directed delegation; ","; "&amp;F100&amp;"; "))),1,0)</x:f>
        <x:v>0</x:v>
      </x:c>
      <x:c r="R100" s="9" t="n">
        <x:f>IF(OR(E100="Evaluation",ISNUMBER(SEARCH("; Evaluation; ","; "&amp;F100&amp;"; "))),1,0)</x:f>
        <x:v>0</x:v>
      </x:c>
      <x:c r="S100" s="9" t="n">
        <x:f>IF(OR(E100="Correction/Challenge",ISNUMBER(SEARCH("; Correction/Challenge; ","; "&amp;F100&amp;"; "))),1,0)</x:f>
        <x:v>1</x:v>
      </x:c>
      <x:c r="T100" s="9" t="n">
        <x:f>IF(OR(E100="Redirection",ISNUMBER(SEARCH("; Redirection; ","; "&amp;F100&amp;"; "))),1,0)</x:f>
        <x:v>1</x:v>
      </x:c>
      <x:c r="U100" s="9" t="n">
        <x:f>IF(OR(E100="Knowledge injection",ISNUMBER(SEARCH("; Knowledge injection; ","; "&amp;F100&amp;"; "))),1,0)</x:f>
        <x:v>1</x:v>
      </x:c>
      <x:c r="V100" s="9" t="n">
        <x:f>IF(OR(E100="Selection/Rejection",ISNUMBER(SEARCH("; Selection/Rejection; ","; "&amp;F100&amp;"; "))),1,0)</x:f>
        <x:v>1</x:v>
      </x:c>
      <x:c r="W100" s="9" t="n">
        <x:f>IF(OR(E100="Deliberation",ISNUMBER(SEARCH("; Deliberation; ","; "&amp;F100&amp;"; "))),1,0)</x:f>
        <x:v>0</x:v>
      </x:c>
      <x:c r="X100" s="9" t="n">
        <x:f>IF(ISNUMBER(SEARCH("; domain correction; ","; "&amp;H100&amp;"; ")),1,0)</x:f>
        <x:v>0</x:v>
      </x:c>
      <x:c r="Y100" s="9" t="n">
        <x:f>IF(ISNUMBER(SEARCH("; conceptual discrimination; ","; "&amp;H100&amp;"; ")),1,0)</x:f>
        <x:v>0</x:v>
      </x:c>
      <x:c r="Z100" s="9" t="n">
        <x:f>IF(ISNUMBER(SEARCH("; evidence judgment; ","; "&amp;H100&amp;"; ")),1,0)</x:f>
        <x:v>1</x:v>
      </x:c>
      <x:c r="AA100" s="9" t="n">
        <x:f>IF(ISNUMBER(SEARCH("; methodological judgment; ","; "&amp;H100&amp;"; ")),1,0)</x:f>
        <x:v>0</x:v>
      </x:c>
      <x:c r="AB100" s="9" t="n">
        <x:f>IF(ISNUMBER(SEARCH("; argumentative judgment; ","; "&amp;H100&amp;"; ")),1,0)</x:f>
        <x:v>1</x:v>
      </x:c>
      <x:c r="AC100" s="9" t="n">
        <x:f>IF(ISNUMBER(SEARCH("; genre/writing expertise; ","; "&amp;H100&amp;"; ")),1,0)</x:f>
        <x:v>1</x:v>
      </x:c>
      <x:c r="AD100" s="9" t="n">
        <x:f>IF(ISNUMBER(SEARCH("; none; ","; "&amp;H100&amp;"; ")),1,0)</x:f>
        <x:v>0</x:v>
      </x:c>
    </x:row>
    <x:row r="101" ht="60" customHeight="1">
      <x:c r="A101" s="8" t="str">
        <x:v>P4-W1-043</x:v>
      </x:c>
      <x:c r="B101" s="9" t="n">
        <x:v>100</x:v>
      </x:c>
      <x:c r="C101" s="8" t="str">
        <x:v>Writing part 1</x:v>
      </x:c>
      <x:c r="D101" s="8" t="str">
        <x:v>So now give me the latest paper structure</x:v>
      </x:c>
      <x:c r="E101" s="8" t="str">
        <x:v>Directed delegation</x:v>
      </x:c>
      <x:c r="F101" s="8" t="str"/>
      <x:c r="G101" s="8" t="str">
        <x:v>Directive</x:v>
      </x:c>
      <x:c r="H101" s="8" t="str">
        <x:v>genre/writing expertise</x:v>
      </x:c>
      <x:c r="I101" s="8" t="str">
        <x:v>Requests consolidation of the latest agreed short-paper structure.</x:v>
      </x:c>
      <x:c r="J101" s="8" t="str">
        <x:v>AI supplies the consolidated structure.</x:v>
      </x:c>
      <x:c r="K101" s="8" t="str">
        <x:v>W1 p55 L1-p55 L1</x:v>
      </x:c>
      <x:c r="L101" s="8" t="str">
        <x:v>W1 p55 L2-p57 L40</x:v>
      </x:c>
      <x:c r="M101" s="8" t="str"/>
      <x:c r="N101" s="8" t="str">
        <x:v>Visible next AI response</x:v>
      </x:c>
      <x:c r="O101" s="8" t="str"/>
      <x:c r="P101" s="9" t="n">
        <x:f>IF(OR(E101="Delegation",ISNUMBER(SEARCH("; Delegation; ","; "&amp;F101&amp;"; "))),1,0)</x:f>
        <x:v>0</x:v>
      </x:c>
      <x:c r="Q101" s="9" t="n">
        <x:f>IF(OR(E101="Directed delegation",ISNUMBER(SEARCH("; Directed delegation; ","; "&amp;F101&amp;"; "))),1,0)</x:f>
        <x:v>1</x:v>
      </x:c>
      <x:c r="R101" s="9" t="n">
        <x:f>IF(OR(E101="Evaluation",ISNUMBER(SEARCH("; Evaluation; ","; "&amp;F101&amp;"; "))),1,0)</x:f>
        <x:v>0</x:v>
      </x:c>
      <x:c r="S101" s="9" t="n">
        <x:f>IF(OR(E101="Correction/Challenge",ISNUMBER(SEARCH("; Correction/Challenge; ","; "&amp;F101&amp;"; "))),1,0)</x:f>
        <x:v>0</x:v>
      </x:c>
      <x:c r="T101" s="9" t="n">
        <x:f>IF(OR(E101="Redirection",ISNUMBER(SEARCH("; Redirection; ","; "&amp;F101&amp;"; "))),1,0)</x:f>
        <x:v>0</x:v>
      </x:c>
      <x:c r="U101" s="9" t="n">
        <x:f>IF(OR(E101="Knowledge injection",ISNUMBER(SEARCH("; Knowledge injection; ","; "&amp;F101&amp;"; "))),1,0)</x:f>
        <x:v>0</x:v>
      </x:c>
      <x:c r="V101" s="9" t="n">
        <x:f>IF(OR(E101="Selection/Rejection",ISNUMBER(SEARCH("; Selection/Rejection; ","; "&amp;F101&amp;"; "))),1,0)</x:f>
        <x:v>0</x:v>
      </x:c>
      <x:c r="W101" s="9" t="n">
        <x:f>IF(OR(E101="Deliberation",ISNUMBER(SEARCH("; Deliberation; ","; "&amp;F101&amp;"; "))),1,0)</x:f>
        <x:v>0</x:v>
      </x:c>
      <x:c r="X101" s="9" t="n">
        <x:f>IF(ISNUMBER(SEARCH("; domain correction; ","; "&amp;H101&amp;"; ")),1,0)</x:f>
        <x:v>0</x:v>
      </x:c>
      <x:c r="Y101" s="9" t="n">
        <x:f>IF(ISNUMBER(SEARCH("; conceptual discrimination; ","; "&amp;H101&amp;"; ")),1,0)</x:f>
        <x:v>0</x:v>
      </x:c>
      <x:c r="Z101" s="9" t="n">
        <x:f>IF(ISNUMBER(SEARCH("; evidence judgment; ","; "&amp;H101&amp;"; ")),1,0)</x:f>
        <x:v>0</x:v>
      </x:c>
      <x:c r="AA101" s="9" t="n">
        <x:f>IF(ISNUMBER(SEARCH("; methodological judgment; ","; "&amp;H101&amp;"; ")),1,0)</x:f>
        <x:v>0</x:v>
      </x:c>
      <x:c r="AB101" s="9" t="n">
        <x:f>IF(ISNUMBER(SEARCH("; argumentative judgment; ","; "&amp;H101&amp;"; ")),1,0)</x:f>
        <x:v>0</x:v>
      </x:c>
      <x:c r="AC101" s="9" t="n">
        <x:f>IF(ISNUMBER(SEARCH("; genre/writing expertise; ","; "&amp;H101&amp;"; ")),1,0)</x:f>
        <x:v>1</x:v>
      </x:c>
      <x:c r="AD101" s="9" t="n">
        <x:f>IF(ISNUMBER(SEARCH("; none; ","; "&amp;H101&amp;"; ")),1,0)</x:f>
        <x:v>0</x:v>
      </x:c>
    </x:row>
    <x:row r="102" ht="60" customHeight="1">
      <x:c r="A102" s="8" t="str">
        <x:v>P4-W1-044</x:v>
      </x:c>
      <x:c r="B102" s="9" t="n">
        <x:v>101</x:v>
      </x:c>
      <x:c r="C102" s="8" t="str">
        <x:v>Writing part 1</x:v>
      </x:c>
      <x:c r="D102" s="8" t="str">
        <x:v>give sec 1</x:v>
      </x:c>
      <x:c r="E102" s="8" t="str">
        <x:v>Delegation</x:v>
      </x:c>
      <x:c r="F102" s="8" t="str"/>
      <x:c r="G102" s="8" t="str">
        <x:v>Delegative</x:v>
      </x:c>
      <x:c r="H102" s="8" t="str">
        <x:v>none</x:v>
      </x:c>
      <x:c r="I102" s="8" t="str">
        <x:v>Requests Section 1 without new constraints.</x:v>
      </x:c>
      <x:c r="J102" s="8" t="str">
        <x:v>AI supplies only a brief Introduction fragment.</x:v>
      </x:c>
      <x:c r="K102" s="8" t="str">
        <x:v>W1 p57 L41-p57 L41</x:v>
      </x:c>
      <x:c r="L102" s="8" t="str">
        <x:v>W1 p57 L42-p58 L3</x:v>
      </x:c>
      <x:c r="M102" s="8" t="str"/>
      <x:c r="N102" s="8" t="str">
        <x:v>Visible next AI response</x:v>
      </x:c>
      <x:c r="O102" s="8" t="str"/>
      <x:c r="P102" s="9" t="n">
        <x:f>IF(OR(E102="Delegation",ISNUMBER(SEARCH("; Delegation; ","; "&amp;F102&amp;"; "))),1,0)</x:f>
        <x:v>1</x:v>
      </x:c>
      <x:c r="Q102" s="9" t="n">
        <x:f>IF(OR(E102="Directed delegation",ISNUMBER(SEARCH("; Directed delegation; ","; "&amp;F102&amp;"; "))),1,0)</x:f>
        <x:v>0</x:v>
      </x:c>
      <x:c r="R102" s="9" t="n">
        <x:f>IF(OR(E102="Evaluation",ISNUMBER(SEARCH("; Evaluation; ","; "&amp;F102&amp;"; "))),1,0)</x:f>
        <x:v>0</x:v>
      </x:c>
      <x:c r="S102" s="9" t="n">
        <x:f>IF(OR(E102="Correction/Challenge",ISNUMBER(SEARCH("; Correction/Challenge; ","; "&amp;F102&amp;"; "))),1,0)</x:f>
        <x:v>0</x:v>
      </x:c>
      <x:c r="T102" s="9" t="n">
        <x:f>IF(OR(E102="Redirection",ISNUMBER(SEARCH("; Redirection; ","; "&amp;F102&amp;"; "))),1,0)</x:f>
        <x:v>0</x:v>
      </x:c>
      <x:c r="U102" s="9" t="n">
        <x:f>IF(OR(E102="Knowledge injection",ISNUMBER(SEARCH("; Knowledge injection; ","; "&amp;F102&amp;"; "))),1,0)</x:f>
        <x:v>0</x:v>
      </x:c>
      <x:c r="V102" s="9" t="n">
        <x:f>IF(OR(E102="Selection/Rejection",ISNUMBER(SEARCH("; Selection/Rejection; ","; "&amp;F102&amp;"; "))),1,0)</x:f>
        <x:v>0</x:v>
      </x:c>
      <x:c r="W102" s="9" t="n">
        <x:f>IF(OR(E102="Deliberation",ISNUMBER(SEARCH("; Deliberation; ","; "&amp;F102&amp;"; "))),1,0)</x:f>
        <x:v>0</x:v>
      </x:c>
      <x:c r="X102" s="9" t="n">
        <x:f>IF(ISNUMBER(SEARCH("; domain correction; ","; "&amp;H102&amp;"; ")),1,0)</x:f>
        <x:v>0</x:v>
      </x:c>
      <x:c r="Y102" s="9" t="n">
        <x:f>IF(ISNUMBER(SEARCH("; conceptual discrimination; ","; "&amp;H102&amp;"; ")),1,0)</x:f>
        <x:v>0</x:v>
      </x:c>
      <x:c r="Z102" s="9" t="n">
        <x:f>IF(ISNUMBER(SEARCH("; evidence judgment; ","; "&amp;H102&amp;"; ")),1,0)</x:f>
        <x:v>0</x:v>
      </x:c>
      <x:c r="AA102" s="9" t="n">
        <x:f>IF(ISNUMBER(SEARCH("; methodological judgment; ","; "&amp;H102&amp;"; ")),1,0)</x:f>
        <x:v>0</x:v>
      </x:c>
      <x:c r="AB102" s="9" t="n">
        <x:f>IF(ISNUMBER(SEARCH("; argumentative judgment; ","; "&amp;H102&amp;"; ")),1,0)</x:f>
        <x:v>0</x:v>
      </x:c>
      <x:c r="AC102" s="9" t="n">
        <x:f>IF(ISNUMBER(SEARCH("; genre/writing expertise; ","; "&amp;H102&amp;"; ")),1,0)</x:f>
        <x:v>0</x:v>
      </x:c>
      <x:c r="AD102" s="9" t="n">
        <x:f>IF(ISNUMBER(SEARCH("; none; ","; "&amp;H102&amp;"; ")),1,0)</x:f>
        <x:v>1</x:v>
      </x:c>
    </x:row>
    <x:row r="103" ht="78" customHeight="1">
      <x:c r="A103" s="8" t="str">
        <x:v>P4-W1-045</x:v>
      </x:c>
      <x:c r="B103" s="9" t="n">
        <x:v>102</x:v>
      </x:c>
      <x:c r="C103" s="8" t="str">
        <x:v>Writing part 1</x:v>
      </x:c>
      <x:c r="D103" s="8" t="str">
        <x:v>Give section one, provide minimal references in line inside the text directly, and use those from my fullware paper of it. Don't use any addition from somewhere else, just use those ones.</x:v>
      </x:c>
      <x:c r="E103" s="8" t="str">
        <x:v>Directed delegation</x:v>
      </x:c>
      <x:c r="F103" s="8" t="str"/>
      <x:c r="G103" s="8" t="str">
        <x:v>Directive</x:v>
      </x:c>
      <x:c r="H103" s="8" t="str">
        <x:v>evidence judgment; genre/writing expertise</x:v>
      </x:c>
      <x:c r="I103" s="8" t="str">
        <x:v>Requires minimal inline references drawn solely from the full paper.</x:v>
      </x:c>
      <x:c r="J103" s="8" t="str">
        <x:v>AI drafts the short Introduction with citations.</x:v>
      </x:c>
      <x:c r="K103" s="8" t="str">
        <x:v>W1 p58 L4-p58 L5</x:v>
      </x:c>
      <x:c r="L103" s="8" t="str">
        <x:v>W1 p58 L6-p58 L28</x:v>
      </x:c>
      <x:c r="M103" s="8" t="str"/>
      <x:c r="N103" s="8" t="str">
        <x:v>Visible next AI response</x:v>
      </x:c>
      <x:c r="O103" s="8" t="str"/>
      <x:c r="P103" s="9" t="n">
        <x:f>IF(OR(E103="Delegation",ISNUMBER(SEARCH("; Delegation; ","; "&amp;F103&amp;"; "))),1,0)</x:f>
        <x:v>0</x:v>
      </x:c>
      <x:c r="Q103" s="9" t="n">
        <x:f>IF(OR(E103="Directed delegation",ISNUMBER(SEARCH("; Directed delegation; ","; "&amp;F103&amp;"; "))),1,0)</x:f>
        <x:v>1</x:v>
      </x:c>
      <x:c r="R103" s="9" t="n">
        <x:f>IF(OR(E103="Evaluation",ISNUMBER(SEARCH("; Evaluation; ","; "&amp;F103&amp;"; "))),1,0)</x:f>
        <x:v>0</x:v>
      </x:c>
      <x:c r="S103" s="9" t="n">
        <x:f>IF(OR(E103="Correction/Challenge",ISNUMBER(SEARCH("; Correction/Challenge; ","; "&amp;F103&amp;"; "))),1,0)</x:f>
        <x:v>0</x:v>
      </x:c>
      <x:c r="T103" s="9" t="n">
        <x:f>IF(OR(E103="Redirection",ISNUMBER(SEARCH("; Redirection; ","; "&amp;F103&amp;"; "))),1,0)</x:f>
        <x:v>0</x:v>
      </x:c>
      <x:c r="U103" s="9" t="n">
        <x:f>IF(OR(E103="Knowledge injection",ISNUMBER(SEARCH("; Knowledge injection; ","; "&amp;F103&amp;"; "))),1,0)</x:f>
        <x:v>0</x:v>
      </x:c>
      <x:c r="V103" s="9" t="n">
        <x:f>IF(OR(E103="Selection/Rejection",ISNUMBER(SEARCH("; Selection/Rejection; ","; "&amp;F103&amp;"; "))),1,0)</x:f>
        <x:v>0</x:v>
      </x:c>
      <x:c r="W103" s="9" t="n">
        <x:f>IF(OR(E103="Deliberation",ISNUMBER(SEARCH("; Deliberation; ","; "&amp;F103&amp;"; "))),1,0)</x:f>
        <x:v>0</x:v>
      </x:c>
      <x:c r="X103" s="9" t="n">
        <x:f>IF(ISNUMBER(SEARCH("; domain correction; ","; "&amp;H103&amp;"; ")),1,0)</x:f>
        <x:v>0</x:v>
      </x:c>
      <x:c r="Y103" s="9" t="n">
        <x:f>IF(ISNUMBER(SEARCH("; conceptual discrimination; ","; "&amp;H103&amp;"; ")),1,0)</x:f>
        <x:v>0</x:v>
      </x:c>
      <x:c r="Z103" s="9" t="n">
        <x:f>IF(ISNUMBER(SEARCH("; evidence judgment; ","; "&amp;H103&amp;"; ")),1,0)</x:f>
        <x:v>1</x:v>
      </x:c>
      <x:c r="AA103" s="9" t="n">
        <x:f>IF(ISNUMBER(SEARCH("; methodological judgment; ","; "&amp;H103&amp;"; ")),1,0)</x:f>
        <x:v>0</x:v>
      </x:c>
      <x:c r="AB103" s="9" t="n">
        <x:f>IF(ISNUMBER(SEARCH("; argumentative judgment; ","; "&amp;H103&amp;"; ")),1,0)</x:f>
        <x:v>0</x:v>
      </x:c>
      <x:c r="AC103" s="9" t="n">
        <x:f>IF(ISNUMBER(SEARCH("; genre/writing expertise; ","; "&amp;H103&amp;"; ")),1,0)</x:f>
        <x:v>1</x:v>
      </x:c>
      <x:c r="AD103" s="9" t="n">
        <x:f>IF(ISNUMBER(SEARCH("; none; ","; "&amp;H103&amp;"; ")),1,0)</x:f>
        <x:v>0</x:v>
      </x:c>
    </x:row>
    <x:row r="104" ht="60" customHeight="1">
      <x:c r="A104" s="8" t="str">
        <x:v>P4-W1-046</x:v>
      </x:c>
      <x:c r="B104" s="9" t="n">
        <x:v>103</x:v>
      </x:c>
      <x:c r="C104" s="8" t="str">
        <x:v>Writing part 1</x:v>
      </x:c>
      <x:c r="D104" s="8" t="str">
        <x:v>At the end of each text that you give, you need to give me the references of those citations so I can include them.</x:v>
      </x:c>
      <x:c r="E104" s="8" t="str">
        <x:v>Directed delegation</x:v>
      </x:c>
      <x:c r="F104" s="8" t="str"/>
      <x:c r="G104" s="8" t="str">
        <x:v>Directive</x:v>
      </x:c>
      <x:c r="H104" s="8" t="str">
        <x:v>evidence judgment; genre/writing expertise</x:v>
      </x:c>
      <x:c r="I104" s="8" t="str">
        <x:v>Requires complete reference entries after each supplied section.</x:v>
      </x:c>
      <x:c r="J104" s="8" t="str">
        <x:v>AI regenerates the Introduction with a reference entry.</x:v>
      </x:c>
      <x:c r="K104" s="8" t="str">
        <x:v>W1 p58 L29-p58 L29</x:v>
      </x:c>
      <x:c r="L104" s="8" t="str">
        <x:v>W1 p58 L30-p59 L9</x:v>
      </x:c>
      <x:c r="M104" s="8" t="str"/>
      <x:c r="N104" s="8" t="str">
        <x:v>Visible next AI response</x:v>
      </x:c>
      <x:c r="O104" s="8" t="str">
        <x:v>AI’s supplied reference entry is not independently bibliographically validated.</x:v>
      </x:c>
      <x:c r="P104" s="9" t="n">
        <x:f>IF(OR(E104="Delegation",ISNUMBER(SEARCH("; Delegation; ","; "&amp;F104&amp;"; "))),1,0)</x:f>
        <x:v>0</x:v>
      </x:c>
      <x:c r="Q104" s="9" t="n">
        <x:f>IF(OR(E104="Directed delegation",ISNUMBER(SEARCH("; Directed delegation; ","; "&amp;F104&amp;"; "))),1,0)</x:f>
        <x:v>1</x:v>
      </x:c>
      <x:c r="R104" s="9" t="n">
        <x:f>IF(OR(E104="Evaluation",ISNUMBER(SEARCH("; Evaluation; ","; "&amp;F104&amp;"; "))),1,0)</x:f>
        <x:v>0</x:v>
      </x:c>
      <x:c r="S104" s="9" t="n">
        <x:f>IF(OR(E104="Correction/Challenge",ISNUMBER(SEARCH("; Correction/Challenge; ","; "&amp;F104&amp;"; "))),1,0)</x:f>
        <x:v>0</x:v>
      </x:c>
      <x:c r="T104" s="9" t="n">
        <x:f>IF(OR(E104="Redirection",ISNUMBER(SEARCH("; Redirection; ","; "&amp;F104&amp;"; "))),1,0)</x:f>
        <x:v>0</x:v>
      </x:c>
      <x:c r="U104" s="9" t="n">
        <x:f>IF(OR(E104="Knowledge injection",ISNUMBER(SEARCH("; Knowledge injection; ","; "&amp;F104&amp;"; "))),1,0)</x:f>
        <x:v>0</x:v>
      </x:c>
      <x:c r="V104" s="9" t="n">
        <x:f>IF(OR(E104="Selection/Rejection",ISNUMBER(SEARCH("; Selection/Rejection; ","; "&amp;F104&amp;"; "))),1,0)</x:f>
        <x:v>0</x:v>
      </x:c>
      <x:c r="W104" s="9" t="n">
        <x:f>IF(OR(E104="Deliberation",ISNUMBER(SEARCH("; Deliberation; ","; "&amp;F104&amp;"; "))),1,0)</x:f>
        <x:v>0</x:v>
      </x:c>
      <x:c r="X104" s="9" t="n">
        <x:f>IF(ISNUMBER(SEARCH("; domain correction; ","; "&amp;H104&amp;"; ")),1,0)</x:f>
        <x:v>0</x:v>
      </x:c>
      <x:c r="Y104" s="9" t="n">
        <x:f>IF(ISNUMBER(SEARCH("; conceptual discrimination; ","; "&amp;H104&amp;"; ")),1,0)</x:f>
        <x:v>0</x:v>
      </x:c>
      <x:c r="Z104" s="9" t="n">
        <x:f>IF(ISNUMBER(SEARCH("; evidence judgment; ","; "&amp;H104&amp;"; ")),1,0)</x:f>
        <x:v>1</x:v>
      </x:c>
      <x:c r="AA104" s="9" t="n">
        <x:f>IF(ISNUMBER(SEARCH("; methodological judgment; ","; "&amp;H104&amp;"; ")),1,0)</x:f>
        <x:v>0</x:v>
      </x:c>
      <x:c r="AB104" s="9" t="n">
        <x:f>IF(ISNUMBER(SEARCH("; argumentative judgment; ","; "&amp;H104&amp;"; ")),1,0)</x:f>
        <x:v>0</x:v>
      </x:c>
      <x:c r="AC104" s="9" t="n">
        <x:f>IF(ISNUMBER(SEARCH("; genre/writing expertise; ","; "&amp;H104&amp;"; ")),1,0)</x:f>
        <x:v>1</x:v>
      </x:c>
      <x:c r="AD104" s="9" t="n">
        <x:f>IF(ISNUMBER(SEARCH("; none; ","; "&amp;H104&amp;"; ")),1,0)</x:f>
        <x:v>0</x:v>
      </x:c>
    </x:row>
    <x:row r="105" ht="64" customHeight="1">
      <x:c r="A105" s="8" t="str">
        <x:v>P4-W1-047</x:v>
      </x:c>
      <x:c r="B105" s="9" t="n">
        <x:v>104</x:v>
      </x:c>
      <x:c r="C105" s="8" t="str">
        <x:v>Writing part 1</x:v>
      </x:c>
      <x:c r="D105" s="8" t="str">
        <x:v>give 2 HOW WE SYNTHESIZED THE EVIDENCE. ensuere poinint the reader to: Full methodological details, dataset, and extended analysis are available in [YY].</x:v>
      </x:c>
      <x:c r="E105" s="8" t="str">
        <x:v>Directed delegation</x:v>
      </x:c>
      <x:c r="F105" s="8" t="str"/>
      <x:c r="G105" s="8" t="str">
        <x:v>Directive</x:v>
      </x:c>
      <x:c r="H105" s="8" t="str">
        <x:v>evidence judgment; genre/writing expertise</x:v>
      </x:c>
      <x:c r="I105" s="8" t="str">
        <x:v>Requires methods prose and an explicit pointer to the full report.</x:v>
      </x:c>
      <x:c r="J105" s="8" t="str">
        <x:v>AI drafts the short methods section and reference entries.</x:v>
      </x:c>
      <x:c r="K105" s="8" t="str">
        <x:v>W1 p59 L10-p59 L11</x:v>
      </x:c>
      <x:c r="L105" s="8" t="str">
        <x:v>W1 p59 L12-p59 L24</x:v>
      </x:c>
      <x:c r="M105" s="8" t="str"/>
      <x:c r="N105" s="8" t="str">
        <x:v>Visible next AI response</x:v>
      </x:c>
      <x:c r="O105" s="8" t="str"/>
      <x:c r="P105" s="9" t="n">
        <x:f>IF(OR(E105="Delegation",ISNUMBER(SEARCH("; Delegation; ","; "&amp;F105&amp;"; "))),1,0)</x:f>
        <x:v>0</x:v>
      </x:c>
      <x:c r="Q105" s="9" t="n">
        <x:f>IF(OR(E105="Directed delegation",ISNUMBER(SEARCH("; Directed delegation; ","; "&amp;F105&amp;"; "))),1,0)</x:f>
        <x:v>1</x:v>
      </x:c>
      <x:c r="R105" s="9" t="n">
        <x:f>IF(OR(E105="Evaluation",ISNUMBER(SEARCH("; Evaluation; ","; "&amp;F105&amp;"; "))),1,0)</x:f>
        <x:v>0</x:v>
      </x:c>
      <x:c r="S105" s="9" t="n">
        <x:f>IF(OR(E105="Correction/Challenge",ISNUMBER(SEARCH("; Correction/Challenge; ","; "&amp;F105&amp;"; "))),1,0)</x:f>
        <x:v>0</x:v>
      </x:c>
      <x:c r="T105" s="9" t="n">
        <x:f>IF(OR(E105="Redirection",ISNUMBER(SEARCH("; Redirection; ","; "&amp;F105&amp;"; "))),1,0)</x:f>
        <x:v>0</x:v>
      </x:c>
      <x:c r="U105" s="9" t="n">
        <x:f>IF(OR(E105="Knowledge injection",ISNUMBER(SEARCH("; Knowledge injection; ","; "&amp;F105&amp;"; "))),1,0)</x:f>
        <x:v>0</x:v>
      </x:c>
      <x:c r="V105" s="9" t="n">
        <x:f>IF(OR(E105="Selection/Rejection",ISNUMBER(SEARCH("; Selection/Rejection; ","; "&amp;F105&amp;"; "))),1,0)</x:f>
        <x:v>0</x:v>
      </x:c>
      <x:c r="W105" s="9" t="n">
        <x:f>IF(OR(E105="Deliberation",ISNUMBER(SEARCH("; Deliberation; ","; "&amp;F105&amp;"; "))),1,0)</x:f>
        <x:v>0</x:v>
      </x:c>
      <x:c r="X105" s="9" t="n">
        <x:f>IF(ISNUMBER(SEARCH("; domain correction; ","; "&amp;H105&amp;"; ")),1,0)</x:f>
        <x:v>0</x:v>
      </x:c>
      <x:c r="Y105" s="9" t="n">
        <x:f>IF(ISNUMBER(SEARCH("; conceptual discrimination; ","; "&amp;H105&amp;"; ")),1,0)</x:f>
        <x:v>0</x:v>
      </x:c>
      <x:c r="Z105" s="9" t="n">
        <x:f>IF(ISNUMBER(SEARCH("; evidence judgment; ","; "&amp;H105&amp;"; ")),1,0)</x:f>
        <x:v>1</x:v>
      </x:c>
      <x:c r="AA105" s="9" t="n">
        <x:f>IF(ISNUMBER(SEARCH("; methodological judgment; ","; "&amp;H105&amp;"; ")),1,0)</x:f>
        <x:v>0</x:v>
      </x:c>
      <x:c r="AB105" s="9" t="n">
        <x:f>IF(ISNUMBER(SEARCH("; argumentative judgment; ","; "&amp;H105&amp;"; ")),1,0)</x:f>
        <x:v>0</x:v>
      </x:c>
      <x:c r="AC105" s="9" t="n">
        <x:f>IF(ISNUMBER(SEARCH("; genre/writing expertise; ","; "&amp;H105&amp;"; ")),1,0)</x:f>
        <x:v>1</x:v>
      </x:c>
      <x:c r="AD105" s="9" t="n">
        <x:f>IF(ISNUMBER(SEARCH("; none; ","; "&amp;H105&amp;"; ")),1,0)</x:f>
        <x:v>0</x:v>
      </x:c>
    </x:row>
    <x:row r="106" ht="60" customHeight="1">
      <x:c r="A106" s="8" t="str">
        <x:v>P4-W1-048</x:v>
      </x:c>
      <x:c r="B106" s="9" t="n">
        <x:v>105</x:v>
      </x:c>
      <x:c r="C106" s="8" t="str">
        <x:v>Writing part 1</x:v>
      </x:c>
      <x:c r="D106" s="8" t="str">
        <x:v>give 3 OVERVIEW OF THE EVIDENCE BASE. in the table of papers, I want to have all the 24 papers, not a subset.</x:v>
      </x:c>
      <x:c r="E106" s="8" t="str">
        <x:v>Directed delegation</x:v>
      </x:c>
      <x:c r="F106" s="8" t="str">
        <x:v>Selection/Rejection</x:v>
      </x:c>
      <x:c r="G106" s="8" t="str">
        <x:v>Directive</x:v>
      </x:c>
      <x:c r="H106" s="8" t="str">
        <x:v>evidence judgment; methodological judgment</x:v>
      </x:c>
      <x:c r="I106" s="8" t="str">
        <x:v>Requires the entire 24-study pool rather than a selected table subset.</x:v>
      </x:c>
      <x:c r="J106" s="8" t="str">
        <x:v>AI supplies an overview and purported full study table.</x:v>
      </x:c>
      <x:c r="K106" s="8" t="str">
        <x:v>W1 p59 L25-p59 L25</x:v>
      </x:c>
      <x:c r="L106" s="8" t="str">
        <x:v>W1 p59 L26-p60 L45</x:v>
      </x:c>
      <x:c r="M106" s="8" t="str"/>
      <x:c r="N106" s="8" t="str">
        <x:v>Visible next AI response</x:v>
      </x:c>
      <x:c r="O106" s="8" t="str"/>
      <x:c r="P106" s="9" t="n">
        <x:f>IF(OR(E106="Delegation",ISNUMBER(SEARCH("; Delegation; ","; "&amp;F106&amp;"; "))),1,0)</x:f>
        <x:v>0</x:v>
      </x:c>
      <x:c r="Q106" s="9" t="n">
        <x:f>IF(OR(E106="Directed delegation",ISNUMBER(SEARCH("; Directed delegation; ","; "&amp;F106&amp;"; "))),1,0)</x:f>
        <x:v>1</x:v>
      </x:c>
      <x:c r="R106" s="9" t="n">
        <x:f>IF(OR(E106="Evaluation",ISNUMBER(SEARCH("; Evaluation; ","; "&amp;F106&amp;"; "))),1,0)</x:f>
        <x:v>0</x:v>
      </x:c>
      <x:c r="S106" s="9" t="n">
        <x:f>IF(OR(E106="Correction/Challenge",ISNUMBER(SEARCH("; Correction/Challenge; ","; "&amp;F106&amp;"; "))),1,0)</x:f>
        <x:v>0</x:v>
      </x:c>
      <x:c r="T106" s="9" t="n">
        <x:f>IF(OR(E106="Redirection",ISNUMBER(SEARCH("; Redirection; ","; "&amp;F106&amp;"; "))),1,0)</x:f>
        <x:v>0</x:v>
      </x:c>
      <x:c r="U106" s="9" t="n">
        <x:f>IF(OR(E106="Knowledge injection",ISNUMBER(SEARCH("; Knowledge injection; ","; "&amp;F106&amp;"; "))),1,0)</x:f>
        <x:v>0</x:v>
      </x:c>
      <x:c r="V106" s="9" t="n">
        <x:f>IF(OR(E106="Selection/Rejection",ISNUMBER(SEARCH("; Selection/Rejection; ","; "&amp;F106&amp;"; "))),1,0)</x:f>
        <x:v>1</x:v>
      </x:c>
      <x:c r="W106" s="9" t="n">
        <x:f>IF(OR(E106="Deliberation",ISNUMBER(SEARCH("; Deliberation; ","; "&amp;F106&amp;"; "))),1,0)</x:f>
        <x:v>0</x:v>
      </x:c>
      <x:c r="X106" s="9" t="n">
        <x:f>IF(ISNUMBER(SEARCH("; domain correction; ","; "&amp;H106&amp;"; ")),1,0)</x:f>
        <x:v>0</x:v>
      </x:c>
      <x:c r="Y106" s="9" t="n">
        <x:f>IF(ISNUMBER(SEARCH("; conceptual discrimination; ","; "&amp;H106&amp;"; ")),1,0)</x:f>
        <x:v>0</x:v>
      </x:c>
      <x:c r="Z106" s="9" t="n">
        <x:f>IF(ISNUMBER(SEARCH("; evidence judgment; ","; "&amp;H106&amp;"; ")),1,0)</x:f>
        <x:v>1</x:v>
      </x:c>
      <x:c r="AA106" s="9" t="n">
        <x:f>IF(ISNUMBER(SEARCH("; methodological judgment; ","; "&amp;H106&amp;"; ")),1,0)</x:f>
        <x:v>1</x:v>
      </x:c>
      <x:c r="AB106" s="9" t="n">
        <x:f>IF(ISNUMBER(SEARCH("; argumentative judgment; ","; "&amp;H106&amp;"; ")),1,0)</x:f>
        <x:v>0</x:v>
      </x:c>
      <x:c r="AC106" s="9" t="n">
        <x:f>IF(ISNUMBER(SEARCH("; genre/writing expertise; ","; "&amp;H106&amp;"; ")),1,0)</x:f>
        <x:v>0</x:v>
      </x:c>
      <x:c r="AD106" s="9" t="n">
        <x:f>IF(ISNUMBER(SEARCH("; none; ","; "&amp;H106&amp;"; ")),1,0)</x:f>
        <x:v>0</x:v>
      </x:c>
    </x:row>
    <x:row r="107" ht="92" customHeight="1">
      <x:c r="A107" s="8" t="str">
        <x:v>P4-W1-049</x:v>
      </x:c>
      <x:c r="B107" s="9" t="n">
        <x:v>106</x:v>
      </x:c>
      <x:c r="C107" s="8" t="str">
        <x:v>Writing part 1</x:v>
      </x:c>
      <x:c r="D107" s="8" t="str">
        <x:v>Give a few sentences that to save space on this paper, we do not provide the full bibliometric detail of each of the papers, but the paper titles have been shown in full in the table. I also have a feeling that you have hallucinated, because in the years we have 2024 and 2025 even, but in the tab…</x:v>
      </x:c>
      <x:c r="E107" s="8" t="str">
        <x:v>Correction/Challenge</x:v>
      </x:c>
      <x:c r="F107" s="8" t="str">
        <x:v>Directed delegation</x:v>
      </x:c>
      <x:c r="G107" s="8" t="str">
        <x:v>Critical</x:v>
      </x:c>
      <x:c r="H107" s="8" t="str">
        <x:v>evidence judgment; genre/writing expertise</x:v>
      </x:c>
      <x:c r="I107" s="8" t="str">
        <x:v>Detects missing publication years/suspected hallucination and requires full titles and complete pool coverage.</x:v>
      </x:c>
      <x:c r="J107" s="8" t="str">
        <x:v>AI acknowledges overcompression inaccuracies and regenerates the overview.</x:v>
      </x:c>
      <x:c r="K107" s="8" t="str">
        <x:v>W1 p60 L46-p60 L49</x:v>
      </x:c>
      <x:c r="L107" s="8" t="str">
        <x:v>W1 p60 L51-p62 L4</x:v>
      </x:c>
      <x:c r="M107" s="8" t="str"/>
      <x:c r="N107" s="8" t="str">
        <x:v>Visible next AI response</x:v>
      </x:c>
      <x:c r="O107" s="8" t="str">
        <x:v>Prompt briefly says 22 amid a discussion of 24 studies. AI admits table inaccuracies; the regenerated table still requires verification.</x:v>
      </x:c>
      <x:c r="P107" s="9" t="n">
        <x:f>IF(OR(E107="Delegation",ISNUMBER(SEARCH("; Delegation; ","; "&amp;F107&amp;"; "))),1,0)</x:f>
        <x:v>0</x:v>
      </x:c>
      <x:c r="Q107" s="9" t="n">
        <x:f>IF(OR(E107="Directed delegation",ISNUMBER(SEARCH("; Directed delegation; ","; "&amp;F107&amp;"; "))),1,0)</x:f>
        <x:v>1</x:v>
      </x:c>
      <x:c r="R107" s="9" t="n">
        <x:f>IF(OR(E107="Evaluation",ISNUMBER(SEARCH("; Evaluation; ","; "&amp;F107&amp;"; "))),1,0)</x:f>
        <x:v>0</x:v>
      </x:c>
      <x:c r="S107" s="9" t="n">
        <x:f>IF(OR(E107="Correction/Challenge",ISNUMBER(SEARCH("; Correction/Challenge; ","; "&amp;F107&amp;"; "))),1,0)</x:f>
        <x:v>1</x:v>
      </x:c>
      <x:c r="T107" s="9" t="n">
        <x:f>IF(OR(E107="Redirection",ISNUMBER(SEARCH("; Redirection; ","; "&amp;F107&amp;"; "))),1,0)</x:f>
        <x:v>0</x:v>
      </x:c>
      <x:c r="U107" s="9" t="n">
        <x:f>IF(OR(E107="Knowledge injection",ISNUMBER(SEARCH("; Knowledge injection; ","; "&amp;F107&amp;"; "))),1,0)</x:f>
        <x:v>0</x:v>
      </x:c>
      <x:c r="V107" s="9" t="n">
        <x:f>IF(OR(E107="Selection/Rejection",ISNUMBER(SEARCH("; Selection/Rejection; ","; "&amp;F107&amp;"; "))),1,0)</x:f>
        <x:v>0</x:v>
      </x:c>
      <x:c r="W107" s="9" t="n">
        <x:f>IF(OR(E107="Deliberation",ISNUMBER(SEARCH("; Deliberation; ","; "&amp;F107&amp;"; "))),1,0)</x:f>
        <x:v>0</x:v>
      </x:c>
      <x:c r="X107" s="9" t="n">
        <x:f>IF(ISNUMBER(SEARCH("; domain correction; ","; "&amp;H107&amp;"; ")),1,0)</x:f>
        <x:v>0</x:v>
      </x:c>
      <x:c r="Y107" s="9" t="n">
        <x:f>IF(ISNUMBER(SEARCH("; conceptual discrimination; ","; "&amp;H107&amp;"; ")),1,0)</x:f>
        <x:v>0</x:v>
      </x:c>
      <x:c r="Z107" s="9" t="n">
        <x:f>IF(ISNUMBER(SEARCH("; evidence judgment; ","; "&amp;H107&amp;"; ")),1,0)</x:f>
        <x:v>1</x:v>
      </x:c>
      <x:c r="AA107" s="9" t="n">
        <x:f>IF(ISNUMBER(SEARCH("; methodological judgment; ","; "&amp;H107&amp;"; ")),1,0)</x:f>
        <x:v>0</x:v>
      </x:c>
      <x:c r="AB107" s="9" t="n">
        <x:f>IF(ISNUMBER(SEARCH("; argumentative judgment; ","; "&amp;H107&amp;"; ")),1,0)</x:f>
        <x:v>0</x:v>
      </x:c>
      <x:c r="AC107" s="9" t="n">
        <x:f>IF(ISNUMBER(SEARCH("; genre/writing expertise; ","; "&amp;H107&amp;"; ")),1,0)</x:f>
        <x:v>1</x:v>
      </x:c>
      <x:c r="AD107" s="9" t="n">
        <x:f>IF(ISNUMBER(SEARCH("; none; ","; "&amp;H107&amp;"; ")),1,0)</x:f>
        <x:v>0</x:v>
      </x:c>
    </x:row>
    <x:row r="108" ht="60" customHeight="1">
      <x:c r="A108" s="8" t="str">
        <x:v>P4-W1-050</x:v>
      </x:c>
      <x:c r="B108" s="9" t="n">
        <x:v>107</x:v>
      </x:c>
      <x:c r="C108" s="8" t="str">
        <x:v>Writing part 1</x:v>
      </x:c>
      <x:c r="D108" s="8" t="str">
        <x:v>what does merged vs non-merged usage mean?</x:v>
      </x:c>
      <x:c r="E108" s="8" t="str">
        <x:v>Evaluation</x:v>
      </x:c>
      <x:c r="F108" s="8" t="str"/>
      <x:c r="G108" s="8" t="str">
        <x:v>Evaluative</x:v>
      </x:c>
      <x:c r="H108" s="8" t="str">
        <x:v>none</x:v>
      </x:c>
      <x:c r="I108" s="8" t="str">
        <x:v>Asks what merged versus non-merged usage means without supplying an independent distinction.</x:v>
      </x:c>
      <x:c r="J108" s="8" t="str">
        <x:v>AI explains accepted/integrated versus unmerged AI code.</x:v>
      </x:c>
      <x:c r="K108" s="8" t="str">
        <x:v>W1 p62 L5-p62 L5</x:v>
      </x:c>
      <x:c r="L108" s="8" t="str">
        <x:v>W1 p62 L6-p63 L12</x:v>
      </x:c>
      <x:c r="M108" s="8" t="str"/>
      <x:c r="N108" s="8" t="str">
        <x:v>Visible next AI response</x:v>
      </x:c>
      <x:c r="O108" s="8" t="str"/>
      <x:c r="P108" s="9" t="n">
        <x:f>IF(OR(E108="Delegation",ISNUMBER(SEARCH("; Delegation; ","; "&amp;F108&amp;"; "))),1,0)</x:f>
        <x:v>0</x:v>
      </x:c>
      <x:c r="Q108" s="9" t="n">
        <x:f>IF(OR(E108="Directed delegation",ISNUMBER(SEARCH("; Directed delegation; ","; "&amp;F108&amp;"; "))),1,0)</x:f>
        <x:v>0</x:v>
      </x:c>
      <x:c r="R108" s="9" t="n">
        <x:f>IF(OR(E108="Evaluation",ISNUMBER(SEARCH("; Evaluation; ","; "&amp;F108&amp;"; "))),1,0)</x:f>
        <x:v>1</x:v>
      </x:c>
      <x:c r="S108" s="9" t="n">
        <x:f>IF(OR(E108="Correction/Challenge",ISNUMBER(SEARCH("; Correction/Challenge; ","; "&amp;F108&amp;"; "))),1,0)</x:f>
        <x:v>0</x:v>
      </x:c>
      <x:c r="T108" s="9" t="n">
        <x:f>IF(OR(E108="Redirection",ISNUMBER(SEARCH("; Redirection; ","; "&amp;F108&amp;"; "))),1,0)</x:f>
        <x:v>0</x:v>
      </x:c>
      <x:c r="U108" s="9" t="n">
        <x:f>IF(OR(E108="Knowledge injection",ISNUMBER(SEARCH("; Knowledge injection; ","; "&amp;F108&amp;"; "))),1,0)</x:f>
        <x:v>0</x:v>
      </x:c>
      <x:c r="V108" s="9" t="n">
        <x:f>IF(OR(E108="Selection/Rejection",ISNUMBER(SEARCH("; Selection/Rejection; ","; "&amp;F108&amp;"; "))),1,0)</x:f>
        <x:v>0</x:v>
      </x:c>
      <x:c r="W108" s="9" t="n">
        <x:f>IF(OR(E108="Deliberation",ISNUMBER(SEARCH("; Deliberation; ","; "&amp;F108&amp;"; "))),1,0)</x:f>
        <x:v>0</x:v>
      </x:c>
      <x:c r="X108" s="9" t="n">
        <x:f>IF(ISNUMBER(SEARCH("; domain correction; ","; "&amp;H108&amp;"; ")),1,0)</x:f>
        <x:v>0</x:v>
      </x:c>
      <x:c r="Y108" s="9" t="n">
        <x:f>IF(ISNUMBER(SEARCH("; conceptual discrimination; ","; "&amp;H108&amp;"; ")),1,0)</x:f>
        <x:v>0</x:v>
      </x:c>
      <x:c r="Z108" s="9" t="n">
        <x:f>IF(ISNUMBER(SEARCH("; evidence judgment; ","; "&amp;H108&amp;"; ")),1,0)</x:f>
        <x:v>0</x:v>
      </x:c>
      <x:c r="AA108" s="9" t="n">
        <x:f>IF(ISNUMBER(SEARCH("; methodological judgment; ","; "&amp;H108&amp;"; ")),1,0)</x:f>
        <x:v>0</x:v>
      </x:c>
      <x:c r="AB108" s="9" t="n">
        <x:f>IF(ISNUMBER(SEARCH("; argumentative judgment; ","; "&amp;H108&amp;"; ")),1,0)</x:f>
        <x:v>0</x:v>
      </x:c>
      <x:c r="AC108" s="9" t="n">
        <x:f>IF(ISNUMBER(SEARCH("; genre/writing expertise; ","; "&amp;H108&amp;"; ")),1,0)</x:f>
        <x:v>0</x:v>
      </x:c>
      <x:c r="AD108" s="9" t="n">
        <x:f>IF(ISNUMBER(SEARCH("; none; ","; "&amp;H108&amp;"; ")),1,0)</x:f>
        <x:v>1</x:v>
      </x:c>
    </x:row>
    <x:row r="109" ht="78" customHeight="1">
      <x:c r="A109" s="8" t="str">
        <x:v>P4-W1-051</x:v>
      </x:c>
      <x:c r="B109" s="9" t="n">
        <x:v>108</x:v>
      </x:c>
      <x:c r="C109" s="8" t="str">
        <x:v>Writing part 1</x:v>
      </x:c>
      <x:c r="D109" s="8" t="str">
        <x:v>give 4 WHAT INFLUENCES AI-GENERATED CODE QUALITY? Content: • prompt quality ⭐ • task complexity • developer expertise • AI model capability • input/context quality 👉 Keep insight-driven, not taxonomy-heavy</x:v>
      </x:c>
      <x:c r="E109" s="8" t="str">
        <x:v>Directed delegation</x:v>
      </x:c>
      <x:c r="F109" s="8" t="str">
        <x:v>Knowledge injection</x:v>
      </x:c>
      <x:c r="G109" s="8" t="str">
        <x:v>Directive</x:v>
      </x:c>
      <x:c r="H109" s="8" t="str">
        <x:v>argumentative judgment; genre/writing expertise</x:v>
      </x:c>
      <x:c r="I109" s="8" t="str">
        <x:v>Specifies factor content and an insight-focused practitioner style.</x:v>
      </x:c>
      <x:c r="J109" s="8" t="str">
        <x:v>AI drafts the factor section, including a strongest-factor claim.</x:v>
      </x:c>
      <x:c r="K109" s="8" t="str">
        <x:v>W1 p63 L13-p63 L20</x:v>
      </x:c>
      <x:c r="L109" s="8" t="str">
        <x:v>W1 p63 L22-p64 L17</x:v>
      </x:c>
      <x:c r="M109" s="8" t="str"/>
      <x:c r="N109" s="8" t="str">
        <x:v>Visible next AI response</x:v>
      </x:c>
      <x:c r="O109" s="8" t="str"/>
      <x:c r="P109" s="9" t="n">
        <x:f>IF(OR(E109="Delegation",ISNUMBER(SEARCH("; Delegation; ","; "&amp;F109&amp;"; "))),1,0)</x:f>
        <x:v>0</x:v>
      </x:c>
      <x:c r="Q109" s="9" t="n">
        <x:f>IF(OR(E109="Directed delegation",ISNUMBER(SEARCH("; Directed delegation; ","; "&amp;F109&amp;"; "))),1,0)</x:f>
        <x:v>1</x:v>
      </x:c>
      <x:c r="R109" s="9" t="n">
        <x:f>IF(OR(E109="Evaluation",ISNUMBER(SEARCH("; Evaluation; ","; "&amp;F109&amp;"; "))),1,0)</x:f>
        <x:v>0</x:v>
      </x:c>
      <x:c r="S109" s="9" t="n">
        <x:f>IF(OR(E109="Correction/Challenge",ISNUMBER(SEARCH("; Correction/Challenge; ","; "&amp;F109&amp;"; "))),1,0)</x:f>
        <x:v>0</x:v>
      </x:c>
      <x:c r="T109" s="9" t="n">
        <x:f>IF(OR(E109="Redirection",ISNUMBER(SEARCH("; Redirection; ","; "&amp;F109&amp;"; "))),1,0)</x:f>
        <x:v>0</x:v>
      </x:c>
      <x:c r="U109" s="9" t="n">
        <x:f>IF(OR(E109="Knowledge injection",ISNUMBER(SEARCH("; Knowledge injection; ","; "&amp;F109&amp;"; "))),1,0)</x:f>
        <x:v>1</x:v>
      </x:c>
      <x:c r="V109" s="9" t="n">
        <x:f>IF(OR(E109="Selection/Rejection",ISNUMBER(SEARCH("; Selection/Rejection; ","; "&amp;F109&amp;"; "))),1,0)</x:f>
        <x:v>0</x:v>
      </x:c>
      <x:c r="W109" s="9" t="n">
        <x:f>IF(OR(E109="Deliberation",ISNUMBER(SEARCH("; Deliberation; ","; "&amp;F109&amp;"; "))),1,0)</x:f>
        <x:v>0</x:v>
      </x:c>
      <x:c r="X109" s="9" t="n">
        <x:f>IF(ISNUMBER(SEARCH("; domain correction; ","; "&amp;H109&amp;"; ")),1,0)</x:f>
        <x:v>0</x:v>
      </x:c>
      <x:c r="Y109" s="9" t="n">
        <x:f>IF(ISNUMBER(SEARCH("; conceptual discrimination; ","; "&amp;H109&amp;"; ")),1,0)</x:f>
        <x:v>0</x:v>
      </x:c>
      <x:c r="Z109" s="9" t="n">
        <x:f>IF(ISNUMBER(SEARCH("; evidence judgment; ","; "&amp;H109&amp;"; ")),1,0)</x:f>
        <x:v>0</x:v>
      </x:c>
      <x:c r="AA109" s="9" t="n">
        <x:f>IF(ISNUMBER(SEARCH("; methodological judgment; ","; "&amp;H109&amp;"; ")),1,0)</x:f>
        <x:v>0</x:v>
      </x:c>
      <x:c r="AB109" s="9" t="n">
        <x:f>IF(ISNUMBER(SEARCH("; argumentative judgment; ","; "&amp;H109&amp;"; ")),1,0)</x:f>
        <x:v>1</x:v>
      </x:c>
      <x:c r="AC109" s="9" t="n">
        <x:f>IF(ISNUMBER(SEARCH("; genre/writing expertise; ","; "&amp;H109&amp;"; ")),1,0)</x:f>
        <x:v>1</x:v>
      </x:c>
      <x:c r="AD109" s="9" t="n">
        <x:f>IF(ISNUMBER(SEARCH("; none; ","; "&amp;H109&amp;"; ")),1,0)</x:f>
        <x:v>0</x:v>
      </x:c>
    </x:row>
    <x:row r="110" ht="92" customHeight="1">
      <x:c r="A110" s="8" t="str">
        <x:v>P4-W1-052</x:v>
      </x:c>
      <x:c r="B110" s="9" t="n">
        <x:v>109</x:v>
      </x:c>
      <x:c r="C110" s="8" t="str">
        <x:v>Writing part 1</x:v>
      </x:c>
      <x:c r="D110" s="8" t="str">
        <x:v>This section is one of the main parts, so expand it by 50%. And when you say prompt quality matters most, I guess we have to be careful. Do you mean by, because it's mentioned in more number of studies, so we have to clarify where do we get the most, and does it statistically, is this, has it bee…</x:v>
      </x:c>
      <x:c r="E110" s="8" t="str">
        <x:v>Correction/Challenge</x:v>
      </x:c>
      <x:c r="F110" s="8" t="str">
        <x:v>Directed delegation; Deliberation</x:v>
      </x:c>
      <x:c r="G110" s="8" t="str">
        <x:v>Critical</x:v>
      </x:c>
      <x:c r="H110" s="8" t="str">
        <x:v>conceptual discrimination; evidence judgment; methodological judgment; argumentative judgment</x:v>
      </x:c>
      <x:c r="I110" s="8" t="str">
        <x:v>Challenges most-influential wording by distinguishing study frequency from statistical/causal dominance.</x:v>
      </x:c>
      <x:c r="J110" s="8" t="str">
        <x:v>AI revises the section and acknowledges the distinction.</x:v>
      </x:c>
      <x:c r="K110" s="8" t="str">
        <x:v>W1 p64 L18-p64 L20</x:v>
      </x:c>
      <x:c r="L110" s="8" t="str">
        <x:v>W1 p64 L22-p65 L43</x:v>
      </x:c>
      <x:c r="M110" s="8" t="str"/>
      <x:c r="N110" s="8" t="str">
        <x:v>Visible next AI response</x:v>
      </x:c>
      <x:c r="O110" s="8" t="str">
        <x:v>The distinction between study frequency and effect strength is explicit human scrutiny. A more qualified AI response is not proof that claims are supported.</x:v>
      </x:c>
      <x:c r="P110" s="9" t="n">
        <x:f>IF(OR(E110="Delegation",ISNUMBER(SEARCH("; Delegation; ","; "&amp;F110&amp;"; "))),1,0)</x:f>
        <x:v>0</x:v>
      </x:c>
      <x:c r="Q110" s="9" t="n">
        <x:f>IF(OR(E110="Directed delegation",ISNUMBER(SEARCH("; Directed delegation; ","; "&amp;F110&amp;"; "))),1,0)</x:f>
        <x:v>1</x:v>
      </x:c>
      <x:c r="R110" s="9" t="n">
        <x:f>IF(OR(E110="Evaluation",ISNUMBER(SEARCH("; Evaluation; ","; "&amp;F110&amp;"; "))),1,0)</x:f>
        <x:v>0</x:v>
      </x:c>
      <x:c r="S110" s="9" t="n">
        <x:f>IF(OR(E110="Correction/Challenge",ISNUMBER(SEARCH("; Correction/Challenge; ","; "&amp;F110&amp;"; "))),1,0)</x:f>
        <x:v>1</x:v>
      </x:c>
      <x:c r="T110" s="9" t="n">
        <x:f>IF(OR(E110="Redirection",ISNUMBER(SEARCH("; Redirection; ","; "&amp;F110&amp;"; "))),1,0)</x:f>
        <x:v>0</x:v>
      </x:c>
      <x:c r="U110" s="9" t="n">
        <x:f>IF(OR(E110="Knowledge injection",ISNUMBER(SEARCH("; Knowledge injection; ","; "&amp;F110&amp;"; "))),1,0)</x:f>
        <x:v>0</x:v>
      </x:c>
      <x:c r="V110" s="9" t="n">
        <x:f>IF(OR(E110="Selection/Rejection",ISNUMBER(SEARCH("; Selection/Rejection; ","; "&amp;F110&amp;"; "))),1,0)</x:f>
        <x:v>0</x:v>
      </x:c>
      <x:c r="W110" s="9" t="n">
        <x:f>IF(OR(E110="Deliberation",ISNUMBER(SEARCH("; Deliberation; ","; "&amp;F110&amp;"; "))),1,0)</x:f>
        <x:v>1</x:v>
      </x:c>
      <x:c r="X110" s="9" t="n">
        <x:f>IF(ISNUMBER(SEARCH("; domain correction; ","; "&amp;H110&amp;"; ")),1,0)</x:f>
        <x:v>0</x:v>
      </x:c>
      <x:c r="Y110" s="9" t="n">
        <x:f>IF(ISNUMBER(SEARCH("; conceptual discrimination; ","; "&amp;H110&amp;"; ")),1,0)</x:f>
        <x:v>1</x:v>
      </x:c>
      <x:c r="Z110" s="9" t="n">
        <x:f>IF(ISNUMBER(SEARCH("; evidence judgment; ","; "&amp;H110&amp;"; ")),1,0)</x:f>
        <x:v>1</x:v>
      </x:c>
      <x:c r="AA110" s="9" t="n">
        <x:f>IF(ISNUMBER(SEARCH("; methodological judgment; ","; "&amp;H110&amp;"; ")),1,0)</x:f>
        <x:v>1</x:v>
      </x:c>
      <x:c r="AB110" s="9" t="n">
        <x:f>IF(ISNUMBER(SEARCH("; argumentative judgment; ","; "&amp;H110&amp;"; ")),1,0)</x:f>
        <x:v>1</x:v>
      </x:c>
      <x:c r="AC110" s="9" t="n">
        <x:f>IF(ISNUMBER(SEARCH("; genre/writing expertise; ","; "&amp;H110&amp;"; ")),1,0)</x:f>
        <x:v>0</x:v>
      </x:c>
      <x:c r="AD110" s="9" t="n">
        <x:f>IF(ISNUMBER(SEARCH("; none; ","; "&amp;H110&amp;"; ")),1,0)</x:f>
        <x:v>0</x:v>
      </x:c>
    </x:row>
    <x:row r="111" ht="92" customHeight="1">
      <x:c r="A111" s="8" t="str">
        <x:v>P4-W1-053</x:v>
      </x:c>
      <x:c r="B111" s="9" t="n">
        <x:v>110</x:v>
      </x:c>
      <x:c r="C111" s="8" t="str">
        <x:v>Writing part 1</x:v>
      </x:c>
      <x:c r="D111" s="8" t="str">
        <x:v>It's maybe nicer to say, you know, each factor was studied in X number of papers in the pool. If in each of those subsections you mention the number and the ratio out of 24%, the ratio percentage, I guess that will be more convincing. and I like phrases such as "Developer Expertise Still Matters"…</x:v>
      </x:c>
      <x:c r="E111" s="8" t="str">
        <x:v>Directed delegation</x:v>
      </x:c>
      <x:c r="F111" s="8" t="str">
        <x:v>Selection/Rejection</x:v>
      </x:c>
      <x:c r="G111" s="8" t="str">
        <x:v>Directive</x:v>
      </x:c>
      <x:c r="H111" s="8" t="str">
        <x:v>evidence judgment; methodological judgment; genre/writing expertise</x:v>
      </x:c>
      <x:c r="I111" s="8" t="str">
        <x:v>Requests per-factor study counts/percentages and retains preferred practitioner headings.</x:v>
      </x:c>
      <x:c r="J111" s="8" t="str">
        <x:v>AI supplies placeholders rather than verified counts.</x:v>
      </x:c>
      <x:c r="K111" s="8" t="str">
        <x:v>W1 p66 L1-p66 L3</x:v>
      </x:c>
      <x:c r="L111" s="8" t="str">
        <x:v>W1 p66 L5-p67 L33</x:v>
      </x:c>
      <x:c r="M111" s="8" t="str"/>
      <x:c r="N111" s="8" t="str">
        <x:v>Visible next AI response</x:v>
      </x:c>
      <x:c r="O111" s="8" t="str"/>
      <x:c r="P111" s="9" t="n">
        <x:f>IF(OR(E111="Delegation",ISNUMBER(SEARCH("; Delegation; ","; "&amp;F111&amp;"; "))),1,0)</x:f>
        <x:v>0</x:v>
      </x:c>
      <x:c r="Q111" s="9" t="n">
        <x:f>IF(OR(E111="Directed delegation",ISNUMBER(SEARCH("; Directed delegation; ","; "&amp;F111&amp;"; "))),1,0)</x:f>
        <x:v>1</x:v>
      </x:c>
      <x:c r="R111" s="9" t="n">
        <x:f>IF(OR(E111="Evaluation",ISNUMBER(SEARCH("; Evaluation; ","; "&amp;F111&amp;"; "))),1,0)</x:f>
        <x:v>0</x:v>
      </x:c>
      <x:c r="S111" s="9" t="n">
        <x:f>IF(OR(E111="Correction/Challenge",ISNUMBER(SEARCH("; Correction/Challenge; ","; "&amp;F111&amp;"; "))),1,0)</x:f>
        <x:v>0</x:v>
      </x:c>
      <x:c r="T111" s="9" t="n">
        <x:f>IF(OR(E111="Redirection",ISNUMBER(SEARCH("; Redirection; ","; "&amp;F111&amp;"; "))),1,0)</x:f>
        <x:v>0</x:v>
      </x:c>
      <x:c r="U111" s="9" t="n">
        <x:f>IF(OR(E111="Knowledge injection",ISNUMBER(SEARCH("; Knowledge injection; ","; "&amp;F111&amp;"; "))),1,0)</x:f>
        <x:v>0</x:v>
      </x:c>
      <x:c r="V111" s="9" t="n">
        <x:f>IF(OR(E111="Selection/Rejection",ISNUMBER(SEARCH("; Selection/Rejection; ","; "&amp;F111&amp;"; "))),1,0)</x:f>
        <x:v>1</x:v>
      </x:c>
      <x:c r="W111" s="9" t="n">
        <x:f>IF(OR(E111="Deliberation",ISNUMBER(SEARCH("; Deliberation; ","; "&amp;F111&amp;"; "))),1,0)</x:f>
        <x:v>0</x:v>
      </x:c>
      <x:c r="X111" s="9" t="n">
        <x:f>IF(ISNUMBER(SEARCH("; domain correction; ","; "&amp;H111&amp;"; ")),1,0)</x:f>
        <x:v>0</x:v>
      </x:c>
      <x:c r="Y111" s="9" t="n">
        <x:f>IF(ISNUMBER(SEARCH("; conceptual discrimination; ","; "&amp;H111&amp;"; ")),1,0)</x:f>
        <x:v>0</x:v>
      </x:c>
      <x:c r="Z111" s="9" t="n">
        <x:f>IF(ISNUMBER(SEARCH("; evidence judgment; ","; "&amp;H111&amp;"; ")),1,0)</x:f>
        <x:v>1</x:v>
      </x:c>
      <x:c r="AA111" s="9" t="n">
        <x:f>IF(ISNUMBER(SEARCH("; methodological judgment; ","; "&amp;H111&amp;"; ")),1,0)</x:f>
        <x:v>1</x:v>
      </x:c>
      <x:c r="AB111" s="9" t="n">
        <x:f>IF(ISNUMBER(SEARCH("; argumentative judgment; ","; "&amp;H111&amp;"; ")),1,0)</x:f>
        <x:v>0</x:v>
      </x:c>
      <x:c r="AC111" s="9" t="n">
        <x:f>IF(ISNUMBER(SEARCH("; genre/writing expertise; ","; "&amp;H111&amp;"; ")),1,0)</x:f>
        <x:v>1</x:v>
      </x:c>
      <x:c r="AD111" s="9" t="n">
        <x:f>IF(ISNUMBER(SEARCH("; none; ","; "&amp;H111&amp;"; ")),1,0)</x:f>
        <x:v>0</x:v>
      </x:c>
    </x:row>
    <x:row r="112" ht="64" customHeight="1">
      <x:c r="A112" s="8" t="str">
        <x:v>P4-W1-054</x:v>
      </x:c>
      <x:c r="B112" s="9" t="n">
        <x:v>111</x:v>
      </x:c>
      <x:c r="C112" s="8" t="str">
        <x:v>Writing part 1</x:v>
      </x:c>
      <x:c r="D112" s="8" t="str">
        <x:v>I give you the extracted data sheet, so now you should have the exact count and everything, so regenerate.</x:v>
      </x:c>
      <x:c r="E112" s="8" t="str">
        <x:v>Directed delegation</x:v>
      </x:c>
      <x:c r="F112" s="8" t="str">
        <x:v>Knowledge injection</x:v>
      </x:c>
      <x:c r="G112" s="8" t="str">
        <x:v>Directive</x:v>
      </x:c>
      <x:c r="H112" s="8" t="str">
        <x:v>evidence judgment; methodological judgment</x:v>
      </x:c>
      <x:c r="I112" s="8" t="str">
        <x:v>Supplies extracted data to replace placeholders with exact counts.</x:v>
      </x:c>
      <x:c r="J112" s="8" t="str">
        <x:v>AI says it cannot reliably extract counts, then supplies conservative counts and asks for their verification.</x:v>
      </x:c>
      <x:c r="K112" s="8" t="str">
        <x:v>W1 p67 L36-p67 L36</x:v>
      </x:c>
      <x:c r="L112" s="8" t="str">
        <x:v>W1 p67 L37-p69 L20</x:v>
      </x:c>
      <x:c r="M112" s="8" t="str">
        <x:v>Pool of Primary Studies and Extracted Data.xlsx</x:v>
      </x:c>
      <x:c r="N112" s="8" t="str">
        <x:v>Visible next AI response</x:v>
      </x:c>
      <x:c r="O112" s="8" t="str">
        <x:v>AI admits reliable counts could not be extracted, then supplies 15/24, 13/24, 11/24, 12/24 and 14/24 as conservative counts and requests verification. These are not established exact counts.</x:v>
      </x:c>
      <x:c r="P112" s="9" t="n">
        <x:f>IF(OR(E112="Delegation",ISNUMBER(SEARCH("; Delegation; ","; "&amp;F112&amp;"; "))),1,0)</x:f>
        <x:v>0</x:v>
      </x:c>
      <x:c r="Q112" s="9" t="n">
        <x:f>IF(OR(E112="Directed delegation",ISNUMBER(SEARCH("; Directed delegation; ","; "&amp;F112&amp;"; "))),1,0)</x:f>
        <x:v>1</x:v>
      </x:c>
      <x:c r="R112" s="9" t="n">
        <x:f>IF(OR(E112="Evaluation",ISNUMBER(SEARCH("; Evaluation; ","; "&amp;F112&amp;"; "))),1,0)</x:f>
        <x:v>0</x:v>
      </x:c>
      <x:c r="S112" s="9" t="n">
        <x:f>IF(OR(E112="Correction/Challenge",ISNUMBER(SEARCH("; Correction/Challenge; ","; "&amp;F112&amp;"; "))),1,0)</x:f>
        <x:v>0</x:v>
      </x:c>
      <x:c r="T112" s="9" t="n">
        <x:f>IF(OR(E112="Redirection",ISNUMBER(SEARCH("; Redirection; ","; "&amp;F112&amp;"; "))),1,0)</x:f>
        <x:v>0</x:v>
      </x:c>
      <x:c r="U112" s="9" t="n">
        <x:f>IF(OR(E112="Knowledge injection",ISNUMBER(SEARCH("; Knowledge injection; ","; "&amp;F112&amp;"; "))),1,0)</x:f>
        <x:v>1</x:v>
      </x:c>
      <x:c r="V112" s="9" t="n">
        <x:f>IF(OR(E112="Selection/Rejection",ISNUMBER(SEARCH("; Selection/Rejection; ","; "&amp;F112&amp;"; "))),1,0)</x:f>
        <x:v>0</x:v>
      </x:c>
      <x:c r="W112" s="9" t="n">
        <x:f>IF(OR(E112="Deliberation",ISNUMBER(SEARCH("; Deliberation; ","; "&amp;F112&amp;"; "))),1,0)</x:f>
        <x:v>0</x:v>
      </x:c>
      <x:c r="X112" s="9" t="n">
        <x:f>IF(ISNUMBER(SEARCH("; domain correction; ","; "&amp;H112&amp;"; ")),1,0)</x:f>
        <x:v>0</x:v>
      </x:c>
      <x:c r="Y112" s="9" t="n">
        <x:f>IF(ISNUMBER(SEARCH("; conceptual discrimination; ","; "&amp;H112&amp;"; ")),1,0)</x:f>
        <x:v>0</x:v>
      </x:c>
      <x:c r="Z112" s="9" t="n">
        <x:f>IF(ISNUMBER(SEARCH("; evidence judgment; ","; "&amp;H112&amp;"; ")),1,0)</x:f>
        <x:v>1</x:v>
      </x:c>
      <x:c r="AA112" s="9" t="n">
        <x:f>IF(ISNUMBER(SEARCH("; methodological judgment; ","; "&amp;H112&amp;"; ")),1,0)</x:f>
        <x:v>1</x:v>
      </x:c>
      <x:c r="AB112" s="9" t="n">
        <x:f>IF(ISNUMBER(SEARCH("; argumentative judgment; ","; "&amp;H112&amp;"; ")),1,0)</x:f>
        <x:v>0</x:v>
      </x:c>
      <x:c r="AC112" s="9" t="n">
        <x:f>IF(ISNUMBER(SEARCH("; genre/writing expertise; ","; "&amp;H112&amp;"; ")),1,0)</x:f>
        <x:v>0</x:v>
      </x:c>
      <x:c r="AD112" s="9" t="n">
        <x:f>IF(ISNUMBER(SEARCH("; none; ","; "&amp;H112&amp;"; ")),1,0)</x:f>
        <x:v>0</x:v>
      </x:c>
    </x:row>
    <x:row r="113" ht="64" customHeight="1">
      <x:c r="A113" s="8" t="str">
        <x:v>P4-W1-055</x:v>
      </x:c>
      <x:c r="B113" s="9" t="n">
        <x:v>112</x:v>
      </x:c>
      <x:c r="C113" s="8" t="str">
        <x:v>Writing part 1</x:v>
      </x:c>
      <x:c r="D113" s="8" t="str">
        <x:v>5 WHAT QUALITY ISSUES OCCUR? Content: • correctness variability • security vulnerabilities • maintainability / complexity issues • inconsistency 👉 Emphasize variability + risks</x:v>
      </x:c>
      <x:c r="E113" s="8" t="str">
        <x:v>Directed delegation</x:v>
      </x:c>
      <x:c r="F113" s="8" t="str">
        <x:v>Knowledge injection</x:v>
      </x:c>
      <x:c r="G113" s="8" t="str">
        <x:v>Directive</x:v>
      </x:c>
      <x:c r="H113" s="8" t="str">
        <x:v>argumentative judgment; genre/writing expertise</x:v>
      </x:c>
      <x:c r="I113" s="8" t="str">
        <x:v>Specifies quality-issue coverage and emphasis on variability and risk.</x:v>
      </x:c>
      <x:c r="J113" s="8" t="str">
        <x:v>AI drafts a quantified quality-issues section.</x:v>
      </x:c>
      <x:c r="K113" s="8" t="str">
        <x:v>W1 p69 L21-p69 L27</x:v>
      </x:c>
      <x:c r="L113" s="8" t="str">
        <x:v>W1 p69 L29-p71 L9</x:v>
      </x:c>
      <x:c r="M113" s="8" t="str"/>
      <x:c r="N113" s="8" t="str">
        <x:v>Visible next AI response</x:v>
      </x:c>
      <x:c r="O113" s="8" t="str">
        <x:v>AI continues quantified drafting; study-frequency numbers are not independently verified here.</x:v>
      </x:c>
      <x:c r="P113" s="9" t="n">
        <x:f>IF(OR(E113="Delegation",ISNUMBER(SEARCH("; Delegation; ","; "&amp;F113&amp;"; "))),1,0)</x:f>
        <x:v>0</x:v>
      </x:c>
      <x:c r="Q113" s="9" t="n">
        <x:f>IF(OR(E113="Directed delegation",ISNUMBER(SEARCH("; Directed delegation; ","; "&amp;F113&amp;"; "))),1,0)</x:f>
        <x:v>1</x:v>
      </x:c>
      <x:c r="R113" s="9" t="n">
        <x:f>IF(OR(E113="Evaluation",ISNUMBER(SEARCH("; Evaluation; ","; "&amp;F113&amp;"; "))),1,0)</x:f>
        <x:v>0</x:v>
      </x:c>
      <x:c r="S113" s="9" t="n">
        <x:f>IF(OR(E113="Correction/Challenge",ISNUMBER(SEARCH("; Correction/Challenge; ","; "&amp;F113&amp;"; "))),1,0)</x:f>
        <x:v>0</x:v>
      </x:c>
      <x:c r="T113" s="9" t="n">
        <x:f>IF(OR(E113="Redirection",ISNUMBER(SEARCH("; Redirection; ","; "&amp;F113&amp;"; "))),1,0)</x:f>
        <x:v>0</x:v>
      </x:c>
      <x:c r="U113" s="9" t="n">
        <x:f>IF(OR(E113="Knowledge injection",ISNUMBER(SEARCH("; Knowledge injection; ","; "&amp;F113&amp;"; "))),1,0)</x:f>
        <x:v>1</x:v>
      </x:c>
      <x:c r="V113" s="9" t="n">
        <x:f>IF(OR(E113="Selection/Rejection",ISNUMBER(SEARCH("; Selection/Rejection; ","; "&amp;F113&amp;"; "))),1,0)</x:f>
        <x:v>0</x:v>
      </x:c>
      <x:c r="W113" s="9" t="n">
        <x:f>IF(OR(E113="Deliberation",ISNUMBER(SEARCH("; Deliberation; ","; "&amp;F113&amp;"; "))),1,0)</x:f>
        <x:v>0</x:v>
      </x:c>
      <x:c r="X113" s="9" t="n">
        <x:f>IF(ISNUMBER(SEARCH("; domain correction; ","; "&amp;H113&amp;"; ")),1,0)</x:f>
        <x:v>0</x:v>
      </x:c>
      <x:c r="Y113" s="9" t="n">
        <x:f>IF(ISNUMBER(SEARCH("; conceptual discrimination; ","; "&amp;H113&amp;"; ")),1,0)</x:f>
        <x:v>0</x:v>
      </x:c>
      <x:c r="Z113" s="9" t="n">
        <x:f>IF(ISNUMBER(SEARCH("; evidence judgment; ","; "&amp;H113&amp;"; ")),1,0)</x:f>
        <x:v>0</x:v>
      </x:c>
      <x:c r="AA113" s="9" t="n">
        <x:f>IF(ISNUMBER(SEARCH("; methodological judgment; ","; "&amp;H113&amp;"; ")),1,0)</x:f>
        <x:v>0</x:v>
      </x:c>
      <x:c r="AB113" s="9" t="n">
        <x:f>IF(ISNUMBER(SEARCH("; argumentative judgment; ","; "&amp;H113&amp;"; ")),1,0)</x:f>
        <x:v>1</x:v>
      </x:c>
      <x:c r="AC113" s="9" t="n">
        <x:f>IF(ISNUMBER(SEARCH("; genre/writing expertise; ","; "&amp;H113&amp;"; ")),1,0)</x:f>
        <x:v>1</x:v>
      </x:c>
      <x:c r="AD113" s="9" t="n">
        <x:f>IF(ISNUMBER(SEARCH("; none; ","; "&amp;H113&amp;"; ")),1,0)</x:f>
        <x:v>0</x:v>
      </x:c>
    </x:row>
    <x:row r="114" ht="78" customHeight="1">
      <x:c r="A114" s="8" t="str">
        <x:v>P4-W1-056</x:v>
      </x:c>
      <x:c r="B114" s="9" t="n">
        <x:v>113</x:v>
      </x:c>
      <x:c r="C114" s="8" t="str">
        <x:v>Writing part 1</x:v>
      </x:c>
      <x:c r="D114" s="8" t="str">
        <x:v>In the part that you talk about non-determinism, say that efforts are also being made to study and decrease non-determinism of AI in coding, such as the following paper. https://dl.acm.org/doi/10.1145/3697010</x:v>
      </x:c>
      <x:c r="E114" s="8" t="str">
        <x:v>Knowledge injection</x:v>
      </x:c>
      <x:c r="F114" s="8" t="str">
        <x:v>Directed delegation</x:v>
      </x:c>
      <x:c r="G114" s="8" t="str">
        <x:v>Directive</x:v>
      </x:c>
      <x:c r="H114" s="8" t="str">
        <x:v>evidence judgment; argumentative judgment</x:v>
      </x:c>
      <x:c r="I114" s="8" t="str">
        <x:v>Supplies an external DOI to balance non-determinism discussion with mitigation research.</x:v>
      </x:c>
      <x:c r="J114" s="8" t="str">
        <x:v>AI adds mitigation discussion and an attributed reference entry.</x:v>
      </x:c>
      <x:c r="K114" s="8" t="str">
        <x:v>W1 p71 L10-p71 L11</x:v>
      </x:c>
      <x:c r="L114" s="8" t="str">
        <x:v>W1 p71 L12-p71 L30</x:v>
      </x:c>
      <x:c r="M114" s="8" t="str"/>
      <x:c r="N114" s="8" t="str">
        <x:v>Visible next AI response</x:v>
      </x:c>
      <x:c r="O114" s="8" t="str">
        <x:v>AI supplies an attributed DOI reference and study claims; metadata and relevance have not been fact-checked here.</x:v>
      </x:c>
      <x:c r="P114" s="9" t="n">
        <x:f>IF(OR(E114="Delegation",ISNUMBER(SEARCH("; Delegation; ","; "&amp;F114&amp;"; "))),1,0)</x:f>
        <x:v>0</x:v>
      </x:c>
      <x:c r="Q114" s="9" t="n">
        <x:f>IF(OR(E114="Directed delegation",ISNUMBER(SEARCH("; Directed delegation; ","; "&amp;F114&amp;"; "))),1,0)</x:f>
        <x:v>1</x:v>
      </x:c>
      <x:c r="R114" s="9" t="n">
        <x:f>IF(OR(E114="Evaluation",ISNUMBER(SEARCH("; Evaluation; ","; "&amp;F114&amp;"; "))),1,0)</x:f>
        <x:v>0</x:v>
      </x:c>
      <x:c r="S114" s="9" t="n">
        <x:f>IF(OR(E114="Correction/Challenge",ISNUMBER(SEARCH("; Correction/Challenge; ","; "&amp;F114&amp;"; "))),1,0)</x:f>
        <x:v>0</x:v>
      </x:c>
      <x:c r="T114" s="9" t="n">
        <x:f>IF(OR(E114="Redirection",ISNUMBER(SEARCH("; Redirection; ","; "&amp;F114&amp;"; "))),1,0)</x:f>
        <x:v>0</x:v>
      </x:c>
      <x:c r="U114" s="9" t="n">
        <x:f>IF(OR(E114="Knowledge injection",ISNUMBER(SEARCH("; Knowledge injection; ","; "&amp;F114&amp;"; "))),1,0)</x:f>
        <x:v>1</x:v>
      </x:c>
      <x:c r="V114" s="9" t="n">
        <x:f>IF(OR(E114="Selection/Rejection",ISNUMBER(SEARCH("; Selection/Rejection; ","; "&amp;F114&amp;"; "))),1,0)</x:f>
        <x:v>0</x:v>
      </x:c>
      <x:c r="W114" s="9" t="n">
        <x:f>IF(OR(E114="Deliberation",ISNUMBER(SEARCH("; Deliberation; ","; "&amp;F114&amp;"; "))),1,0)</x:f>
        <x:v>0</x:v>
      </x:c>
      <x:c r="X114" s="9" t="n">
        <x:f>IF(ISNUMBER(SEARCH("; domain correction; ","; "&amp;H114&amp;"; ")),1,0)</x:f>
        <x:v>0</x:v>
      </x:c>
      <x:c r="Y114" s="9" t="n">
        <x:f>IF(ISNUMBER(SEARCH("; conceptual discrimination; ","; "&amp;H114&amp;"; ")),1,0)</x:f>
        <x:v>0</x:v>
      </x:c>
      <x:c r="Z114" s="9" t="n">
        <x:f>IF(ISNUMBER(SEARCH("; evidence judgment; ","; "&amp;H114&amp;"; ")),1,0)</x:f>
        <x:v>1</x:v>
      </x:c>
      <x:c r="AA114" s="9" t="n">
        <x:f>IF(ISNUMBER(SEARCH("; methodological judgment; ","; "&amp;H114&amp;"; ")),1,0)</x:f>
        <x:v>0</x:v>
      </x:c>
      <x:c r="AB114" s="9" t="n">
        <x:f>IF(ISNUMBER(SEARCH("; argumentative judgment; ","; "&amp;H114&amp;"; ")),1,0)</x:f>
        <x:v>1</x:v>
      </x:c>
      <x:c r="AC114" s="9" t="n">
        <x:f>IF(ISNUMBER(SEARCH("; genre/writing expertise; ","; "&amp;H114&amp;"; ")),1,0)</x:f>
        <x:v>0</x:v>
      </x:c>
      <x:c r="AD114" s="9" t="n">
        <x:f>IF(ISNUMBER(SEARCH("; none; ","; "&amp;H114&amp;"; ")),1,0)</x:f>
        <x:v>0</x:v>
      </x:c>
    </x:row>
    <x:row r="115" ht="92" customHeight="1">
      <x:c r="A115" s="8" t="str">
        <x:v>P4-W1-057</x:v>
      </x:c>
      <x:c r="B115" s="9" t="n">
        <x:v>114</x:v>
      </x:c>
      <x:c r="C115" s="8" t="str">
        <x:v>Writing part 1</x:v>
      </x:c>
      <x:c r="D115" s="8" t="str">
        <x:v>6 WHERE DO DEFECTS COME FROM? Your strongest conceptual contribution: • human-related sources (prompts, requirements) • AI-related sources (hallucinations, limitations) • interaction misalignment ⭐ I will put my figure there, so refer to it and discuss it a little bit.</x:v>
      </x:c>
      <x:c r="E115" s="8" t="str">
        <x:v>Directed delegation</x:v>
      </x:c>
      <x:c r="F115" s="8" t="str">
        <x:v>Knowledge injection</x:v>
      </x:c>
      <x:c r="G115" s="8" t="str">
        <x:v>Directive</x:v>
      </x:c>
      <x:c r="H115" s="8" t="str">
        <x:v>argumentative judgment; genre/writing expertise</x:v>
      </x:c>
      <x:c r="I115" s="8" t="str">
        <x:v>Specifies human/AI/interaction defect pathways and requires figure integration.</x:v>
      </x:c>
      <x:c r="J115" s="8" t="str">
        <x:v>AI drafts the defect-sources section.</x:v>
      </x:c>
      <x:c r="K115" s="8" t="str">
        <x:v>W1 p71 L31-p71 L36</x:v>
      </x:c>
      <x:c r="L115" s="8" t="str">
        <x:v>W1 p71 L37-p73 L2</x:v>
      </x:c>
      <x:c r="M115" s="8" t="str">
        <x:v>Referenced screenshot/figure; image contents are not human prompt prose.</x:v>
      </x:c>
      <x:c r="N115" s="8" t="str">
        <x:v>Visible next AI response</x:v>
      </x:c>
      <x:c r="O115" s="8" t="str"/>
      <x:c r="P115" s="9" t="n">
        <x:f>IF(OR(E115="Delegation",ISNUMBER(SEARCH("; Delegation; ","; "&amp;F115&amp;"; "))),1,0)</x:f>
        <x:v>0</x:v>
      </x:c>
      <x:c r="Q115" s="9" t="n">
        <x:f>IF(OR(E115="Directed delegation",ISNUMBER(SEARCH("; Directed delegation; ","; "&amp;F115&amp;"; "))),1,0)</x:f>
        <x:v>1</x:v>
      </x:c>
      <x:c r="R115" s="9" t="n">
        <x:f>IF(OR(E115="Evaluation",ISNUMBER(SEARCH("; Evaluation; ","; "&amp;F115&amp;"; "))),1,0)</x:f>
        <x:v>0</x:v>
      </x:c>
      <x:c r="S115" s="9" t="n">
        <x:f>IF(OR(E115="Correction/Challenge",ISNUMBER(SEARCH("; Correction/Challenge; ","; "&amp;F115&amp;"; "))),1,0)</x:f>
        <x:v>0</x:v>
      </x:c>
      <x:c r="T115" s="9" t="n">
        <x:f>IF(OR(E115="Redirection",ISNUMBER(SEARCH("; Redirection; ","; "&amp;F115&amp;"; "))),1,0)</x:f>
        <x:v>0</x:v>
      </x:c>
      <x:c r="U115" s="9" t="n">
        <x:f>IF(OR(E115="Knowledge injection",ISNUMBER(SEARCH("; Knowledge injection; ","; "&amp;F115&amp;"; "))),1,0)</x:f>
        <x:v>1</x:v>
      </x:c>
      <x:c r="V115" s="9" t="n">
        <x:f>IF(OR(E115="Selection/Rejection",ISNUMBER(SEARCH("; Selection/Rejection; ","; "&amp;F115&amp;"; "))),1,0)</x:f>
        <x:v>0</x:v>
      </x:c>
      <x:c r="W115" s="9" t="n">
        <x:f>IF(OR(E115="Deliberation",ISNUMBER(SEARCH("; Deliberation; ","; "&amp;F115&amp;"; "))),1,0)</x:f>
        <x:v>0</x:v>
      </x:c>
      <x:c r="X115" s="9" t="n">
        <x:f>IF(ISNUMBER(SEARCH("; domain correction; ","; "&amp;H115&amp;"; ")),1,0)</x:f>
        <x:v>0</x:v>
      </x:c>
      <x:c r="Y115" s="9" t="n">
        <x:f>IF(ISNUMBER(SEARCH("; conceptual discrimination; ","; "&amp;H115&amp;"; ")),1,0)</x:f>
        <x:v>0</x:v>
      </x:c>
      <x:c r="Z115" s="9" t="n">
        <x:f>IF(ISNUMBER(SEARCH("; evidence judgment; ","; "&amp;H115&amp;"; ")),1,0)</x:f>
        <x:v>0</x:v>
      </x:c>
      <x:c r="AA115" s="9" t="n">
        <x:f>IF(ISNUMBER(SEARCH("; methodological judgment; ","; "&amp;H115&amp;"; ")),1,0)</x:f>
        <x:v>0</x:v>
      </x:c>
      <x:c r="AB115" s="9" t="n">
        <x:f>IF(ISNUMBER(SEARCH("; argumentative judgment; ","; "&amp;H115&amp;"; ")),1,0)</x:f>
        <x:v>1</x:v>
      </x:c>
      <x:c r="AC115" s="9" t="n">
        <x:f>IF(ISNUMBER(SEARCH("; genre/writing expertise; ","; "&amp;H115&amp;"; ")),1,0)</x:f>
        <x:v>1</x:v>
      </x:c>
      <x:c r="AD115" s="9" t="n">
        <x:f>IF(ISNUMBER(SEARCH("; none; ","; "&amp;H115&amp;"; ")),1,0)</x:f>
        <x:v>0</x:v>
      </x:c>
    </x:row>
    <x:row r="116" ht="64" customHeight="1">
      <x:c r="A116" s="8" t="str">
        <x:v>P4-W1-058</x:v>
      </x:c>
      <x:c r="B116" s="9" t="n">
        <x:v>115</x:v>
      </x:c>
      <x:c r="C116" s="8" t="str">
        <x:v>Writing part 1</x:v>
      </x:c>
      <x:c r="D116" s="8" t="str">
        <x:v>Thinking to include another section after section 6. Remember in the full version we had positive and negative evidences. Shall we include such a small section?</x:v>
      </x:c>
      <x:c r="E116" s="8" t="str">
        <x:v>Deliberation</x:v>
      </x:c>
      <x:c r="F116" s="8" t="str">
        <x:v>Evaluation; Redirection</x:v>
      </x:c>
      <x:c r="G116" s="8" t="str">
        <x:v>Deliberative</x:v>
      </x:c>
      <x:c r="H116" s="8" t="str">
        <x:v>argumentative judgment; genre/writing expertise</x:v>
      </x:c>
      <x:c r="I116" s="8" t="str">
        <x:v>Weighs adding a compact balanced-evidence section after defect sources.</x:v>
      </x:c>
      <x:c r="J116" s="8" t="str">
        <x:v>AI recommends and outlines that section.</x:v>
      </x:c>
      <x:c r="K116" s="8" t="str">
        <x:v>W1 p73 L3-p73 L4</x:v>
      </x:c>
      <x:c r="L116" s="8" t="str">
        <x:v>W1 p73 L5-p74 L40</x:v>
      </x:c>
      <x:c r="M116" s="8" t="str"/>
      <x:c r="N116" s="8" t="str">
        <x:v>Visible next AI response</x:v>
      </x:c>
      <x:c r="O116" s="8" t="str"/>
      <x:c r="P116" s="9" t="n">
        <x:f>IF(OR(E116="Delegation",ISNUMBER(SEARCH("; Delegation; ","; "&amp;F116&amp;"; "))),1,0)</x:f>
        <x:v>0</x:v>
      </x:c>
      <x:c r="Q116" s="9" t="n">
        <x:f>IF(OR(E116="Directed delegation",ISNUMBER(SEARCH("; Directed delegation; ","; "&amp;F116&amp;"; "))),1,0)</x:f>
        <x:v>0</x:v>
      </x:c>
      <x:c r="R116" s="9" t="n">
        <x:f>IF(OR(E116="Evaluation",ISNUMBER(SEARCH("; Evaluation; ","; "&amp;F116&amp;"; "))),1,0)</x:f>
        <x:v>1</x:v>
      </x:c>
      <x:c r="S116" s="9" t="n">
        <x:f>IF(OR(E116="Correction/Challenge",ISNUMBER(SEARCH("; Correction/Challenge; ","; "&amp;F116&amp;"; "))),1,0)</x:f>
        <x:v>0</x:v>
      </x:c>
      <x:c r="T116" s="9" t="n">
        <x:f>IF(OR(E116="Redirection",ISNUMBER(SEARCH("; Redirection; ","; "&amp;F116&amp;"; "))),1,0)</x:f>
        <x:v>1</x:v>
      </x:c>
      <x:c r="U116" s="9" t="n">
        <x:f>IF(OR(E116="Knowledge injection",ISNUMBER(SEARCH("; Knowledge injection; ","; "&amp;F116&amp;"; "))),1,0)</x:f>
        <x:v>0</x:v>
      </x:c>
      <x:c r="V116" s="9" t="n">
        <x:f>IF(OR(E116="Selection/Rejection",ISNUMBER(SEARCH("; Selection/Rejection; ","; "&amp;F116&amp;"; "))),1,0)</x:f>
        <x:v>0</x:v>
      </x:c>
      <x:c r="W116" s="9" t="n">
        <x:f>IF(OR(E116="Deliberation",ISNUMBER(SEARCH("; Deliberation; ","; "&amp;F116&amp;"; "))),1,0)</x:f>
        <x:v>1</x:v>
      </x:c>
      <x:c r="X116" s="9" t="n">
        <x:f>IF(ISNUMBER(SEARCH("; domain correction; ","; "&amp;H116&amp;"; ")),1,0)</x:f>
        <x:v>0</x:v>
      </x:c>
      <x:c r="Y116" s="9" t="n">
        <x:f>IF(ISNUMBER(SEARCH("; conceptual discrimination; ","; "&amp;H116&amp;"; ")),1,0)</x:f>
        <x:v>0</x:v>
      </x:c>
      <x:c r="Z116" s="9" t="n">
        <x:f>IF(ISNUMBER(SEARCH("; evidence judgment; ","; "&amp;H116&amp;"; ")),1,0)</x:f>
        <x:v>0</x:v>
      </x:c>
      <x:c r="AA116" s="9" t="n">
        <x:f>IF(ISNUMBER(SEARCH("; methodological judgment; ","; "&amp;H116&amp;"; ")),1,0)</x:f>
        <x:v>0</x:v>
      </x:c>
      <x:c r="AB116" s="9" t="n">
        <x:f>IF(ISNUMBER(SEARCH("; argumentative judgment; ","; "&amp;H116&amp;"; ")),1,0)</x:f>
        <x:v>1</x:v>
      </x:c>
      <x:c r="AC116" s="9" t="n">
        <x:f>IF(ISNUMBER(SEARCH("; genre/writing expertise; ","; "&amp;H116&amp;"; ")),1,0)</x:f>
        <x:v>1</x:v>
      </x:c>
      <x:c r="AD116" s="9" t="n">
        <x:f>IF(ISNUMBER(SEARCH("; none; ","; "&amp;H116&amp;"; ")),1,0)</x:f>
        <x:v>0</x:v>
      </x:c>
    </x:row>
    <x:row r="117" ht="60" customHeight="1">
      <x:c r="A117" s="8" t="str">
        <x:v>P4-W1-059</x:v>
      </x:c>
      <x:c r="B117" s="9" t="n">
        <x:v>116</x:v>
      </x:c>
      <x:c r="C117" s="8" t="str">
        <x:v>Writing part 1</x:v>
      </x:c>
      <x:c r="D117" s="8" t="str">
        <x:v>do it</x:v>
      </x:c>
      <x:c r="E117" s="8" t="str">
        <x:v>Selection/Rejection</x:v>
      </x:c>
      <x:c r="F117" s="8" t="str"/>
      <x:c r="G117" s="8" t="str">
        <x:v>Directive</x:v>
      </x:c>
      <x:c r="H117" s="8" t="str">
        <x:v>none</x:v>
      </x:c>
      <x:c r="I117" s="8" t="str">
        <x:v>Accepts the offered balanced-evidence section drafting.</x:v>
      </x:c>
      <x:c r="J117" s="8" t="str">
        <x:v>AI drafts the section.</x:v>
      </x:c>
      <x:c r="K117" s="8" t="str">
        <x:v>W1 p74 L41-p74 L41</x:v>
      </x:c>
      <x:c r="L117" s="8" t="str">
        <x:v>W1 p74 L42-p75 L29</x:v>
      </x:c>
      <x:c r="M117" s="8" t="str"/>
      <x:c r="N117" s="8" t="str">
        <x:v>Visible next AI response</x:v>
      </x:c>
      <x:c r="O117" s="8" t="str"/>
      <x:c r="P117" s="9" t="n">
        <x:f>IF(OR(E117="Delegation",ISNUMBER(SEARCH("; Delegation; ","; "&amp;F117&amp;"; "))),1,0)</x:f>
        <x:v>0</x:v>
      </x:c>
      <x:c r="Q117" s="9" t="n">
        <x:f>IF(OR(E117="Directed delegation",ISNUMBER(SEARCH("; Directed delegation; ","; "&amp;F117&amp;"; "))),1,0)</x:f>
        <x:v>0</x:v>
      </x:c>
      <x:c r="R117" s="9" t="n">
        <x:f>IF(OR(E117="Evaluation",ISNUMBER(SEARCH("; Evaluation; ","; "&amp;F117&amp;"; "))),1,0)</x:f>
        <x:v>0</x:v>
      </x:c>
      <x:c r="S117" s="9" t="n">
        <x:f>IF(OR(E117="Correction/Challenge",ISNUMBER(SEARCH("; Correction/Challenge; ","; "&amp;F117&amp;"; "))),1,0)</x:f>
        <x:v>0</x:v>
      </x:c>
      <x:c r="T117" s="9" t="n">
        <x:f>IF(OR(E117="Redirection",ISNUMBER(SEARCH("; Redirection; ","; "&amp;F117&amp;"; "))),1,0)</x:f>
        <x:v>0</x:v>
      </x:c>
      <x:c r="U117" s="9" t="n">
        <x:f>IF(OR(E117="Knowledge injection",ISNUMBER(SEARCH("; Knowledge injection; ","; "&amp;F117&amp;"; "))),1,0)</x:f>
        <x:v>0</x:v>
      </x:c>
      <x:c r="V117" s="9" t="n">
        <x:f>IF(OR(E117="Selection/Rejection",ISNUMBER(SEARCH("; Selection/Rejection; ","; "&amp;F117&amp;"; "))),1,0)</x:f>
        <x:v>1</x:v>
      </x:c>
      <x:c r="W117" s="9" t="n">
        <x:f>IF(OR(E117="Deliberation",ISNUMBER(SEARCH("; Deliberation; ","; "&amp;F117&amp;"; "))),1,0)</x:f>
        <x:v>0</x:v>
      </x:c>
      <x:c r="X117" s="9" t="n">
        <x:f>IF(ISNUMBER(SEARCH("; domain correction; ","; "&amp;H117&amp;"; ")),1,0)</x:f>
        <x:v>0</x:v>
      </x:c>
      <x:c r="Y117" s="9" t="n">
        <x:f>IF(ISNUMBER(SEARCH("; conceptual discrimination; ","; "&amp;H117&amp;"; ")),1,0)</x:f>
        <x:v>0</x:v>
      </x:c>
      <x:c r="Z117" s="9" t="n">
        <x:f>IF(ISNUMBER(SEARCH("; evidence judgment; ","; "&amp;H117&amp;"; ")),1,0)</x:f>
        <x:v>0</x:v>
      </x:c>
      <x:c r="AA117" s="9" t="n">
        <x:f>IF(ISNUMBER(SEARCH("; methodological judgment; ","; "&amp;H117&amp;"; ")),1,0)</x:f>
        <x:v>0</x:v>
      </x:c>
      <x:c r="AB117" s="9" t="n">
        <x:f>IF(ISNUMBER(SEARCH("; argumentative judgment; ","; "&amp;H117&amp;"; ")),1,0)</x:f>
        <x:v>0</x:v>
      </x:c>
      <x:c r="AC117" s="9" t="n">
        <x:f>IF(ISNUMBER(SEARCH("; genre/writing expertise; ","; "&amp;H117&amp;"; ")),1,0)</x:f>
        <x:v>0</x:v>
      </x:c>
      <x:c r="AD117" s="9" t="n">
        <x:f>IF(ISNUMBER(SEARCH("; none; ","; "&amp;H117&amp;"; ")),1,0)</x:f>
        <x:v>1</x:v>
      </x:c>
    </x:row>
    <x:row r="118" ht="78" customHeight="1">
      <x:c r="A118" s="8" t="str">
        <x:v>P4-W2-001</x:v>
      </x:c>
      <x:c r="B118" s="9" t="n">
        <x:v>117</x:v>
      </x:c>
      <x:c r="C118" s="8" t="str">
        <x:v>Writing part 2</x:v>
      </x:c>
      <x:c r="D118" s="8" t="str">
        <x:v>Review the paper until end of section 6. I've got in the table of studies the 24 papers. I've added the column of P1 until P24, and I want we use those as refer to some example papers in sections 4, 5, and 6. Can you do that?</x:v>
      </x:c>
      <x:c r="E118" s="8" t="str">
        <x:v>Evaluation</x:v>
      </x:c>
      <x:c r="F118" s="8" t="str">
        <x:v>Directed delegation; Knowledge injection</x:v>
      </x:c>
      <x:c r="G118" s="8" t="str">
        <x:v>Evaluative</x:v>
      </x:c>
      <x:c r="H118" s="8" t="str">
        <x:v>evidence judgment; genre/writing expertise</x:v>
      </x:c>
      <x:c r="I118" s="8" t="str">
        <x:v>Requires review and illustrative P1–P24 links in the main short-paper sections.</x:v>
      </x:c>
      <x:c r="J118" s="8" t="str">
        <x:v>No substantive AI reply is visible before the next human turn.</x:v>
      </x:c>
      <x:c r="K118" s="8" t="str">
        <x:v>W2 p2 L4-p2 L5</x:v>
      </x:c>
      <x:c r="L118" s="8" t="str"/>
      <x:c r="M118" s="8" t="str">
        <x:v>IEEE SW paper.docx</x:v>
      </x:c>
      <x:c r="N118" s="8" t="str">
        <x:v>No substantive AI reply visible</x:v>
      </x:c>
      <x:c r="O118" s="8" t="str">
        <x:v>No substantive AI reply before the next human turn. Reference mapping is carried forward explicitly by the subsequent prompt.</x:v>
      </x:c>
      <x:c r="P118" s="9" t="n">
        <x:f>IF(OR(E118="Delegation",ISNUMBER(SEARCH("; Delegation; ","; "&amp;F118&amp;"; "))),1,0)</x:f>
        <x:v>0</x:v>
      </x:c>
      <x:c r="Q118" s="9" t="n">
        <x:f>IF(OR(E118="Directed delegation",ISNUMBER(SEARCH("; Directed delegation; ","; "&amp;F118&amp;"; "))),1,0)</x:f>
        <x:v>1</x:v>
      </x:c>
      <x:c r="R118" s="9" t="n">
        <x:f>IF(OR(E118="Evaluation",ISNUMBER(SEARCH("; Evaluation; ","; "&amp;F118&amp;"; "))),1,0)</x:f>
        <x:v>1</x:v>
      </x:c>
      <x:c r="S118" s="9" t="n">
        <x:f>IF(OR(E118="Correction/Challenge",ISNUMBER(SEARCH("; Correction/Challenge; ","; "&amp;F118&amp;"; "))),1,0)</x:f>
        <x:v>0</x:v>
      </x:c>
      <x:c r="T118" s="9" t="n">
        <x:f>IF(OR(E118="Redirection",ISNUMBER(SEARCH("; Redirection; ","; "&amp;F118&amp;"; "))),1,0)</x:f>
        <x:v>0</x:v>
      </x:c>
      <x:c r="U118" s="9" t="n">
        <x:f>IF(OR(E118="Knowledge injection",ISNUMBER(SEARCH("; Knowledge injection; ","; "&amp;F118&amp;"; "))),1,0)</x:f>
        <x:v>1</x:v>
      </x:c>
      <x:c r="V118" s="9" t="n">
        <x:f>IF(OR(E118="Selection/Rejection",ISNUMBER(SEARCH("; Selection/Rejection; ","; "&amp;F118&amp;"; "))),1,0)</x:f>
        <x:v>0</x:v>
      </x:c>
      <x:c r="W118" s="9" t="n">
        <x:f>IF(OR(E118="Deliberation",ISNUMBER(SEARCH("; Deliberation; ","; "&amp;F118&amp;"; "))),1,0)</x:f>
        <x:v>0</x:v>
      </x:c>
      <x:c r="X118" s="9" t="n">
        <x:f>IF(ISNUMBER(SEARCH("; domain correction; ","; "&amp;H118&amp;"; ")),1,0)</x:f>
        <x:v>0</x:v>
      </x:c>
      <x:c r="Y118" s="9" t="n">
        <x:f>IF(ISNUMBER(SEARCH("; conceptual discrimination; ","; "&amp;H118&amp;"; ")),1,0)</x:f>
        <x:v>0</x:v>
      </x:c>
      <x:c r="Z118" s="9" t="n">
        <x:f>IF(ISNUMBER(SEARCH("; evidence judgment; ","; "&amp;H118&amp;"; ")),1,0)</x:f>
        <x:v>1</x:v>
      </x:c>
      <x:c r="AA118" s="9" t="n">
        <x:f>IF(ISNUMBER(SEARCH("; methodological judgment; ","; "&amp;H118&amp;"; ")),1,0)</x:f>
        <x:v>0</x:v>
      </x:c>
      <x:c r="AB118" s="9" t="n">
        <x:f>IF(ISNUMBER(SEARCH("; argumentative judgment; ","; "&amp;H118&amp;"; ")),1,0)</x:f>
        <x:v>0</x:v>
      </x:c>
      <x:c r="AC118" s="9" t="n">
        <x:f>IF(ISNUMBER(SEARCH("; genre/writing expertise; ","; "&amp;H118&amp;"; ")),1,0)</x:f>
        <x:v>1</x:v>
      </x:c>
      <x:c r="AD118" s="9" t="n">
        <x:f>IF(ISNUMBER(SEARCH("; none; ","; "&amp;H118&amp;"; ")),1,0)</x:f>
        <x:v>0</x:v>
      </x:c>
    </x:row>
    <x:row r="119" ht="64" customHeight="1">
      <x:c r="A119" s="8" t="str">
        <x:v>P4-W2-002</x:v>
      </x:c>
      <x:c r="B119" s="9" t="n">
        <x:v>118</x:v>
      </x:c>
      <x:c r="C119" s="8" t="str">
        <x:v>Writing part 2</x:v>
      </x:c>
      <x:c r="D119" s="8" t="str">
        <x:v>I also give you the full paper plus extracted data that we worked on in the other chat box. So use all this data to do my request above.</x:v>
      </x:c>
      <x:c r="E119" s="8" t="str">
        <x:v>Knowledge injection</x:v>
      </x:c>
      <x:c r="F119" s="8" t="str">
        <x:v>Directed delegation</x:v>
      </x:c>
      <x:c r="G119" s="8" t="str">
        <x:v>Directive</x:v>
      </x:c>
      <x:c r="H119" s="8" t="str">
        <x:v>none</x:v>
      </x:c>
      <x:c r="I119" s="8" t="str">
        <x:v>Supplies full-paper and extraction materials to support the preceding request.</x:v>
      </x:c>
      <x:c r="J119" s="8" t="str">
        <x:v>AI claims file revision and internal consistency fixes; no usable file target appears in extracted text.</x:v>
      </x:c>
      <x:c r="K119" s="8" t="str">
        <x:v>W2 p2 L8-p2 L8</x:v>
      </x:c>
      <x:c r="L119" s="8" t="str">
        <x:v>W2 p2 L9-p2 L13</x:v>
      </x:c>
      <x:c r="M119" s="8" t="str">
        <x:v>Pool of Primary Studies and Extracted Data.xlsx Paper1-SLR1-AI coding impact on Quality.docx</x:v>
      </x:c>
      <x:c r="N119" s="8" t="str">
        <x:v>Visible next AI response</x:v>
      </x:c>
      <x:c r="O119" s="8" t="str">
        <x:v>AI claims file revision but the extracted text has no usable download target. File creation and manuscript edits are unverified.</x:v>
      </x:c>
      <x:c r="P119" s="9" t="n">
        <x:f>IF(OR(E119="Delegation",ISNUMBER(SEARCH("; Delegation; ","; "&amp;F119&amp;"; "))),1,0)</x:f>
        <x:v>0</x:v>
      </x:c>
      <x:c r="Q119" s="9" t="n">
        <x:f>IF(OR(E119="Directed delegation",ISNUMBER(SEARCH("; Directed delegation; ","; "&amp;F119&amp;"; "))),1,0)</x:f>
        <x:v>1</x:v>
      </x:c>
      <x:c r="R119" s="9" t="n">
        <x:f>IF(OR(E119="Evaluation",ISNUMBER(SEARCH("; Evaluation; ","; "&amp;F119&amp;"; "))),1,0)</x:f>
        <x:v>0</x:v>
      </x:c>
      <x:c r="S119" s="9" t="n">
        <x:f>IF(OR(E119="Correction/Challenge",ISNUMBER(SEARCH("; Correction/Challenge; ","; "&amp;F119&amp;"; "))),1,0)</x:f>
        <x:v>0</x:v>
      </x:c>
      <x:c r="T119" s="9" t="n">
        <x:f>IF(OR(E119="Redirection",ISNUMBER(SEARCH("; Redirection; ","; "&amp;F119&amp;"; "))),1,0)</x:f>
        <x:v>0</x:v>
      </x:c>
      <x:c r="U119" s="9" t="n">
        <x:f>IF(OR(E119="Knowledge injection",ISNUMBER(SEARCH("; Knowledge injection; ","; "&amp;F119&amp;"; "))),1,0)</x:f>
        <x:v>1</x:v>
      </x:c>
      <x:c r="V119" s="9" t="n">
        <x:f>IF(OR(E119="Selection/Rejection",ISNUMBER(SEARCH("; Selection/Rejection; ","; "&amp;F119&amp;"; "))),1,0)</x:f>
        <x:v>0</x:v>
      </x:c>
      <x:c r="W119" s="9" t="n">
        <x:f>IF(OR(E119="Deliberation",ISNUMBER(SEARCH("; Deliberation; ","; "&amp;F119&amp;"; "))),1,0)</x:f>
        <x:v>0</x:v>
      </x:c>
      <x:c r="X119" s="9" t="n">
        <x:f>IF(ISNUMBER(SEARCH("; domain correction; ","; "&amp;H119&amp;"; ")),1,0)</x:f>
        <x:v>0</x:v>
      </x:c>
      <x:c r="Y119" s="9" t="n">
        <x:f>IF(ISNUMBER(SEARCH("; conceptual discrimination; ","; "&amp;H119&amp;"; ")),1,0)</x:f>
        <x:v>0</x:v>
      </x:c>
      <x:c r="Z119" s="9" t="n">
        <x:f>IF(ISNUMBER(SEARCH("; evidence judgment; ","; "&amp;H119&amp;"; ")),1,0)</x:f>
        <x:v>0</x:v>
      </x:c>
      <x:c r="AA119" s="9" t="n">
        <x:f>IF(ISNUMBER(SEARCH("; methodological judgment; ","; "&amp;H119&amp;"; ")),1,0)</x:f>
        <x:v>0</x:v>
      </x:c>
      <x:c r="AB119" s="9" t="n">
        <x:f>IF(ISNUMBER(SEARCH("; argumentative judgment; ","; "&amp;H119&amp;"; ")),1,0)</x:f>
        <x:v>0</x:v>
      </x:c>
      <x:c r="AC119" s="9" t="n">
        <x:f>IF(ISNUMBER(SEARCH("; genre/writing expertise; ","; "&amp;H119&amp;"; ")),1,0)</x:f>
        <x:v>0</x:v>
      </x:c>
      <x:c r="AD119" s="9" t="n">
        <x:f>IF(ISNUMBER(SEARCH("; none; ","; "&amp;H119&amp;"; ")),1,0)</x:f>
        <x:v>1</x:v>
      </x:c>
    </x:row>
    <x:row r="120" ht="60" customHeight="1">
      <x:c r="A120" s="8" t="str">
        <x:v>P4-W2-003</x:v>
      </x:c>
      <x:c r="B120" s="9" t="n">
        <x:v>119</x:v>
      </x:c>
      <x:c r="C120" s="8" t="str">
        <x:v>Writing part 2</x:v>
      </x:c>
      <x:c r="D120" s="8" t="str">
        <x:v>I do not want them in a separate file, just give me section 4 text first. ieee sofrware paper I want</x:v>
      </x:c>
      <x:c r="E120" s="8" t="str">
        <x:v>Correction/Challenge</x:v>
      </x:c>
      <x:c r="F120" s="8" t="str">
        <x:v>Redirection; Directed delegation</x:v>
      </x:c>
      <x:c r="G120" s="8" t="str">
        <x:v>Critical</x:v>
      </x:c>
      <x:c r="H120" s="8" t="str">
        <x:v>genre/writing expertise</x:v>
      </x:c>
      <x:c r="I120" s="8" t="str">
        <x:v>Rejects separate-file delivery and requests Section 4 text for the short article directly.</x:v>
      </x:c>
      <x:c r="J120" s="8" t="str">
        <x:v>AI supplies rewritten Section 4 prose.</x:v>
      </x:c>
      <x:c r="K120" s="8" t="str">
        <x:v>W2 p2 L14-p2 L14</x:v>
      </x:c>
      <x:c r="L120" s="8" t="str">
        <x:v>W2 p2 L15-p3 L7</x:v>
      </x:c>
      <x:c r="M120" s="8" t="str"/>
      <x:c r="N120" s="8" t="str">
        <x:v>Visible next AI response</x:v>
      </x:c>
      <x:c r="O120" s="8" t="str"/>
      <x:c r="P120" s="9" t="n">
        <x:f>IF(OR(E120="Delegation",ISNUMBER(SEARCH("; Delegation; ","; "&amp;F120&amp;"; "))),1,0)</x:f>
        <x:v>0</x:v>
      </x:c>
      <x:c r="Q120" s="9" t="n">
        <x:f>IF(OR(E120="Directed delegation",ISNUMBER(SEARCH("; Directed delegation; ","; "&amp;F120&amp;"; "))),1,0)</x:f>
        <x:v>1</x:v>
      </x:c>
      <x:c r="R120" s="9" t="n">
        <x:f>IF(OR(E120="Evaluation",ISNUMBER(SEARCH("; Evaluation; ","; "&amp;F120&amp;"; "))),1,0)</x:f>
        <x:v>0</x:v>
      </x:c>
      <x:c r="S120" s="9" t="n">
        <x:f>IF(OR(E120="Correction/Challenge",ISNUMBER(SEARCH("; Correction/Challenge; ","; "&amp;F120&amp;"; "))),1,0)</x:f>
        <x:v>1</x:v>
      </x:c>
      <x:c r="T120" s="9" t="n">
        <x:f>IF(OR(E120="Redirection",ISNUMBER(SEARCH("; Redirection; ","; "&amp;F120&amp;"; "))),1,0)</x:f>
        <x:v>1</x:v>
      </x:c>
      <x:c r="U120" s="9" t="n">
        <x:f>IF(OR(E120="Knowledge injection",ISNUMBER(SEARCH("; Knowledge injection; ","; "&amp;F120&amp;"; "))),1,0)</x:f>
        <x:v>0</x:v>
      </x:c>
      <x:c r="V120" s="9" t="n">
        <x:f>IF(OR(E120="Selection/Rejection",ISNUMBER(SEARCH("; Selection/Rejection; ","; "&amp;F120&amp;"; "))),1,0)</x:f>
        <x:v>0</x:v>
      </x:c>
      <x:c r="W120" s="9" t="n">
        <x:f>IF(OR(E120="Deliberation",ISNUMBER(SEARCH("; Deliberation; ","; "&amp;F120&amp;"; "))),1,0)</x:f>
        <x:v>0</x:v>
      </x:c>
      <x:c r="X120" s="9" t="n">
        <x:f>IF(ISNUMBER(SEARCH("; domain correction; ","; "&amp;H120&amp;"; ")),1,0)</x:f>
        <x:v>0</x:v>
      </x:c>
      <x:c r="Y120" s="9" t="n">
        <x:f>IF(ISNUMBER(SEARCH("; conceptual discrimination; ","; "&amp;H120&amp;"; ")),1,0)</x:f>
        <x:v>0</x:v>
      </x:c>
      <x:c r="Z120" s="9" t="n">
        <x:f>IF(ISNUMBER(SEARCH("; evidence judgment; ","; "&amp;H120&amp;"; ")),1,0)</x:f>
        <x:v>0</x:v>
      </x:c>
      <x:c r="AA120" s="9" t="n">
        <x:f>IF(ISNUMBER(SEARCH("; methodological judgment; ","; "&amp;H120&amp;"; ")),1,0)</x:f>
        <x:v>0</x:v>
      </x:c>
      <x:c r="AB120" s="9" t="n">
        <x:f>IF(ISNUMBER(SEARCH("; argumentative judgment; ","; "&amp;H120&amp;"; ")),1,0)</x:f>
        <x:v>0</x:v>
      </x:c>
      <x:c r="AC120" s="9" t="n">
        <x:f>IF(ISNUMBER(SEARCH("; genre/writing expertise; ","; "&amp;H120&amp;"; ")),1,0)</x:f>
        <x:v>1</x:v>
      </x:c>
      <x:c r="AD120" s="9" t="n">
        <x:f>IF(ISNUMBER(SEARCH("; none; ","; "&amp;H120&amp;"; ")),1,0)</x:f>
        <x:v>0</x:v>
      </x:c>
    </x:row>
    <x:row r="121" ht="92" customHeight="1">
      <x:c r="A121" s="8" t="str">
        <x:v>P4-W2-004</x:v>
      </x:c>
      <x:c r="B121" s="9" t="n">
        <x:v>120</x:v>
      </x:c>
      <x:c r="C121" s="8" t="str">
        <x:v>Writing part 2</x:v>
      </x:c>
      <x:c r="D121" s="8" t="str">
        <x:v>regenerate below, by adding a few example Pi paper numbers ---------- 4.5 INPUT CONTEXT AND SUPPORTING INFORMATION Input context and supporting artifacts are considered in 14 out of 24 studies. Providing richer context—such as partial code, comments, or structured specifications—generally improve…</x:v>
      </x:c>
      <x:c r="E121" s="8" t="str">
        <x:v>Directed delegation</x:v>
      </x:c>
      <x:c r="F121" s="8" t="str">
        <x:v>Knowledge injection</x:v>
      </x:c>
      <x:c r="G121" s="8" t="str">
        <x:v>Directive</x:v>
      </x:c>
      <x:c r="H121" s="8" t="str">
        <x:v>evidence judgment; genre/writing expertise</x:v>
      </x:c>
      <x:c r="I121" s="8" t="str">
        <x:v>Provides paragraph text and requires illustrative primary-study identifiers.</x:v>
      </x:c>
      <x:c r="J121" s="8" t="str">
        <x:v>AI adds study-ID examples to the context subsection.</x:v>
      </x:c>
      <x:c r="K121" s="8" t="str">
        <x:v>W2 p3 L9-p3 L13</x:v>
      </x:c>
      <x:c r="L121" s="8" t="str">
        <x:v>W2 p3 L15-p3 L24</x:v>
      </x:c>
      <x:c r="M121" s="8" t="str"/>
      <x:c r="N121" s="8" t="str">
        <x:v>Visible next AI response</x:v>
      </x:c>
      <x:c r="O121" s="8" t="str">
        <x:v>P-label attribution and 14/24 context frequency are inherited/source claims, not newly verified empirical counts.</x:v>
      </x:c>
      <x:c r="P121" s="9" t="n">
        <x:f>IF(OR(E121="Delegation",ISNUMBER(SEARCH("; Delegation; ","; "&amp;F121&amp;"; "))),1,0)</x:f>
        <x:v>0</x:v>
      </x:c>
      <x:c r="Q121" s="9" t="n">
        <x:f>IF(OR(E121="Directed delegation",ISNUMBER(SEARCH("; Directed delegation; ","; "&amp;F121&amp;"; "))),1,0)</x:f>
        <x:v>1</x:v>
      </x:c>
      <x:c r="R121" s="9" t="n">
        <x:f>IF(OR(E121="Evaluation",ISNUMBER(SEARCH("; Evaluation; ","; "&amp;F121&amp;"; "))),1,0)</x:f>
        <x:v>0</x:v>
      </x:c>
      <x:c r="S121" s="9" t="n">
        <x:f>IF(OR(E121="Correction/Challenge",ISNUMBER(SEARCH("; Correction/Challenge; ","; "&amp;F121&amp;"; "))),1,0)</x:f>
        <x:v>0</x:v>
      </x:c>
      <x:c r="T121" s="9" t="n">
        <x:f>IF(OR(E121="Redirection",ISNUMBER(SEARCH("; Redirection; ","; "&amp;F121&amp;"; "))),1,0)</x:f>
        <x:v>0</x:v>
      </x:c>
      <x:c r="U121" s="9" t="n">
        <x:f>IF(OR(E121="Knowledge injection",ISNUMBER(SEARCH("; Knowledge injection; ","; "&amp;F121&amp;"; "))),1,0)</x:f>
        <x:v>1</x:v>
      </x:c>
      <x:c r="V121" s="9" t="n">
        <x:f>IF(OR(E121="Selection/Rejection",ISNUMBER(SEARCH("; Selection/Rejection; ","; "&amp;F121&amp;"; "))),1,0)</x:f>
        <x:v>0</x:v>
      </x:c>
      <x:c r="W121" s="9" t="n">
        <x:f>IF(OR(E121="Deliberation",ISNUMBER(SEARCH("; Deliberation; ","; "&amp;F121&amp;"; "))),1,0)</x:f>
        <x:v>0</x:v>
      </x:c>
      <x:c r="X121" s="9" t="n">
        <x:f>IF(ISNUMBER(SEARCH("; domain correction; ","; "&amp;H121&amp;"; ")),1,0)</x:f>
        <x:v>0</x:v>
      </x:c>
      <x:c r="Y121" s="9" t="n">
        <x:f>IF(ISNUMBER(SEARCH("; conceptual discrimination; ","; "&amp;H121&amp;"; ")),1,0)</x:f>
        <x:v>0</x:v>
      </x:c>
      <x:c r="Z121" s="9" t="n">
        <x:f>IF(ISNUMBER(SEARCH("; evidence judgment; ","; "&amp;H121&amp;"; ")),1,0)</x:f>
        <x:v>1</x:v>
      </x:c>
      <x:c r="AA121" s="9" t="n">
        <x:f>IF(ISNUMBER(SEARCH("; methodological judgment; ","; "&amp;H121&amp;"; ")),1,0)</x:f>
        <x:v>0</x:v>
      </x:c>
      <x:c r="AB121" s="9" t="n">
        <x:f>IF(ISNUMBER(SEARCH("; argumentative judgment; ","; "&amp;H121&amp;"; ")),1,0)</x:f>
        <x:v>0</x:v>
      </x:c>
      <x:c r="AC121" s="9" t="n">
        <x:f>IF(ISNUMBER(SEARCH("; genre/writing expertise; ","; "&amp;H121&amp;"; ")),1,0)</x:f>
        <x:v>1</x:v>
      </x:c>
      <x:c r="AD121" s="9" t="n">
        <x:f>IF(ISNUMBER(SEARCH("; none; ","; "&amp;H121&amp;"; ")),1,0)</x:f>
        <x:v>0</x:v>
      </x:c>
    </x:row>
    <x:row r="122" ht="64" customHeight="1">
      <x:c r="A122" s="8" t="str">
        <x:v>P4-W2-005</x:v>
      </x:c>
      <x:c r="B122" s="9" t="n">
        <x:v>121</x:v>
      </x:c>
      <x:c r="C122" s="8" t="str">
        <x:v>Writing part 2</x:v>
      </x:c>
      <x:c r="D122" s="8" t="str">
        <x:v>regenerate below, by adding a few example Pi paper numbers … [supplies all quality-issue subsections with counts and prior insights].</x:v>
      </x:c>
      <x:c r="E122" s="8" t="str">
        <x:v>Directed delegation</x:v>
      </x:c>
      <x:c r="F122" s="8" t="str">
        <x:v>Knowledge injection</x:v>
      </x:c>
      <x:c r="G122" s="8" t="str">
        <x:v>Directive</x:v>
      </x:c>
      <x:c r="H122" s="8" t="str">
        <x:v>evidence judgment; genre/writing expertise</x:v>
      </x:c>
      <x:c r="I122" s="8" t="str">
        <x:v>Provides the quality-issues text and requests illustrative study-ID links.</x:v>
      </x:c>
      <x:c r="J122" s="8" t="str">
        <x:v>AI regenerates the section with P-label examples.</x:v>
      </x:c>
      <x:c r="K122" s="8" t="str">
        <x:v>W2 p3 L25-p4 L4</x:v>
      </x:c>
      <x:c r="L122" s="8" t="str">
        <x:v>W2 p4 L6-p4 L48</x:v>
      </x:c>
      <x:c r="M122" s="8" t="str"/>
      <x:c r="N122" s="8" t="str">
        <x:v>Visible next AI response</x:v>
      </x:c>
      <x:c r="O122" s="8" t="str">
        <x:v>P-labels and counts are pasted prior results. Supplying them is not proof the researcher originated or checked every claim.</x:v>
      </x:c>
      <x:c r="P122" s="9" t="n">
        <x:f>IF(OR(E122="Delegation",ISNUMBER(SEARCH("; Delegation; ","; "&amp;F122&amp;"; "))),1,0)</x:f>
        <x:v>0</x:v>
      </x:c>
      <x:c r="Q122" s="9" t="n">
        <x:f>IF(OR(E122="Directed delegation",ISNUMBER(SEARCH("; Directed delegation; ","; "&amp;F122&amp;"; "))),1,0)</x:f>
        <x:v>1</x:v>
      </x:c>
      <x:c r="R122" s="9" t="n">
        <x:f>IF(OR(E122="Evaluation",ISNUMBER(SEARCH("; Evaluation; ","; "&amp;F122&amp;"; "))),1,0)</x:f>
        <x:v>0</x:v>
      </x:c>
      <x:c r="S122" s="9" t="n">
        <x:f>IF(OR(E122="Correction/Challenge",ISNUMBER(SEARCH("; Correction/Challenge; ","; "&amp;F122&amp;"; "))),1,0)</x:f>
        <x:v>0</x:v>
      </x:c>
      <x:c r="T122" s="9" t="n">
        <x:f>IF(OR(E122="Redirection",ISNUMBER(SEARCH("; Redirection; ","; "&amp;F122&amp;"; "))),1,0)</x:f>
        <x:v>0</x:v>
      </x:c>
      <x:c r="U122" s="9" t="n">
        <x:f>IF(OR(E122="Knowledge injection",ISNUMBER(SEARCH("; Knowledge injection; ","; "&amp;F122&amp;"; "))),1,0)</x:f>
        <x:v>1</x:v>
      </x:c>
      <x:c r="V122" s="9" t="n">
        <x:f>IF(OR(E122="Selection/Rejection",ISNUMBER(SEARCH("; Selection/Rejection; ","; "&amp;F122&amp;"; "))),1,0)</x:f>
        <x:v>0</x:v>
      </x:c>
      <x:c r="W122" s="9" t="n">
        <x:f>IF(OR(E122="Deliberation",ISNUMBER(SEARCH("; Deliberation; ","; "&amp;F122&amp;"; "))),1,0)</x:f>
        <x:v>0</x:v>
      </x:c>
      <x:c r="X122" s="9" t="n">
        <x:f>IF(ISNUMBER(SEARCH("; domain correction; ","; "&amp;H122&amp;"; ")),1,0)</x:f>
        <x:v>0</x:v>
      </x:c>
      <x:c r="Y122" s="9" t="n">
        <x:f>IF(ISNUMBER(SEARCH("; conceptual discrimination; ","; "&amp;H122&amp;"; ")),1,0)</x:f>
        <x:v>0</x:v>
      </x:c>
      <x:c r="Z122" s="9" t="n">
        <x:f>IF(ISNUMBER(SEARCH("; evidence judgment; ","; "&amp;H122&amp;"; ")),1,0)</x:f>
        <x:v>1</x:v>
      </x:c>
      <x:c r="AA122" s="9" t="n">
        <x:f>IF(ISNUMBER(SEARCH("; methodological judgment; ","; "&amp;H122&amp;"; ")),1,0)</x:f>
        <x:v>0</x:v>
      </x:c>
      <x:c r="AB122" s="9" t="n">
        <x:f>IF(ISNUMBER(SEARCH("; argumentative judgment; ","; "&amp;H122&amp;"; ")),1,0)</x:f>
        <x:v>0</x:v>
      </x:c>
      <x:c r="AC122" s="9" t="n">
        <x:f>IF(ISNUMBER(SEARCH("; genre/writing expertise; ","; "&amp;H122&amp;"; ")),1,0)</x:f>
        <x:v>1</x:v>
      </x:c>
      <x:c r="AD122" s="9" t="n">
        <x:f>IF(ISNUMBER(SEARCH("; none; ","; "&amp;H122&amp;"; ")),1,0)</x:f>
        <x:v>0</x:v>
      </x:c>
    </x:row>
    <x:row r="123" ht="64" customHeight="1">
      <x:c r="A123" s="8" t="str">
        <x:v>P4-W2-006</x:v>
      </x:c>
      <x:c r="B123" s="9" t="n">
        <x:v>122</x:v>
      </x:c>
      <x:c r="C123" s="8" t="str">
        <x:v>Writing part 2</x:v>
      </x:c>
      <x:c r="D123" s="8" t="str">
        <x:v>see the latest draft. I am Thinking to include another section after section 6. Remember in the full version we had positive and negative evidences. give me that</x:v>
      </x:c>
      <x:c r="E123" s="8" t="str">
        <x:v>Directed delegation</x:v>
      </x:c>
      <x:c r="F123" s="8" t="str">
        <x:v>Knowledge injection; Redirection</x:v>
      </x:c>
      <x:c r="G123" s="8" t="str">
        <x:v>Directive</x:v>
      </x:c>
      <x:c r="H123" s="8" t="str">
        <x:v>argumentative judgment; genre/writing expertise</x:v>
      </x:c>
      <x:c r="I123" s="8" t="str">
        <x:v>Requires a new section preserving positive and negative evidence from the full paper.</x:v>
      </x:c>
      <x:c r="J123" s="8" t="str">
        <x:v>AI drafts balanced-evidence prose.</x:v>
      </x:c>
      <x:c r="K123" s="8" t="str">
        <x:v>W2 p5 L3-p5 L4</x:v>
      </x:c>
      <x:c r="L123" s="8" t="str">
        <x:v>W2 p5 L5-p5 L34</x:v>
      </x:c>
      <x:c r="M123" s="8" t="str">
        <x:v>IEEE SW paper.docx</x:v>
      </x:c>
      <x:c r="N123" s="8" t="str">
        <x:v>Visible next AI response</x:v>
      </x:c>
      <x:c r="O123" s="8" t="str"/>
      <x:c r="P123" s="9" t="n">
        <x:f>IF(OR(E123="Delegation",ISNUMBER(SEARCH("; Delegation; ","; "&amp;F123&amp;"; "))),1,0)</x:f>
        <x:v>0</x:v>
      </x:c>
      <x:c r="Q123" s="9" t="n">
        <x:f>IF(OR(E123="Directed delegation",ISNUMBER(SEARCH("; Directed delegation; ","; "&amp;F123&amp;"; "))),1,0)</x:f>
        <x:v>1</x:v>
      </x:c>
      <x:c r="R123" s="9" t="n">
        <x:f>IF(OR(E123="Evaluation",ISNUMBER(SEARCH("; Evaluation; ","; "&amp;F123&amp;"; "))),1,0)</x:f>
        <x:v>0</x:v>
      </x:c>
      <x:c r="S123" s="9" t="n">
        <x:f>IF(OR(E123="Correction/Challenge",ISNUMBER(SEARCH("; Correction/Challenge; ","; "&amp;F123&amp;"; "))),1,0)</x:f>
        <x:v>0</x:v>
      </x:c>
      <x:c r="T123" s="9" t="n">
        <x:f>IF(OR(E123="Redirection",ISNUMBER(SEARCH("; Redirection; ","; "&amp;F123&amp;"; "))),1,0)</x:f>
        <x:v>1</x:v>
      </x:c>
      <x:c r="U123" s="9" t="n">
        <x:f>IF(OR(E123="Knowledge injection",ISNUMBER(SEARCH("; Knowledge injection; ","; "&amp;F123&amp;"; "))),1,0)</x:f>
        <x:v>1</x:v>
      </x:c>
      <x:c r="V123" s="9" t="n">
        <x:f>IF(OR(E123="Selection/Rejection",ISNUMBER(SEARCH("; Selection/Rejection; ","; "&amp;F123&amp;"; "))),1,0)</x:f>
        <x:v>0</x:v>
      </x:c>
      <x:c r="W123" s="9" t="n">
        <x:f>IF(OR(E123="Deliberation",ISNUMBER(SEARCH("; Deliberation; ","; "&amp;F123&amp;"; "))),1,0)</x:f>
        <x:v>0</x:v>
      </x:c>
      <x:c r="X123" s="9" t="n">
        <x:f>IF(ISNUMBER(SEARCH("; domain correction; ","; "&amp;H123&amp;"; ")),1,0)</x:f>
        <x:v>0</x:v>
      </x:c>
      <x:c r="Y123" s="9" t="n">
        <x:f>IF(ISNUMBER(SEARCH("; conceptual discrimination; ","; "&amp;H123&amp;"; ")),1,0)</x:f>
        <x:v>0</x:v>
      </x:c>
      <x:c r="Z123" s="9" t="n">
        <x:f>IF(ISNUMBER(SEARCH("; evidence judgment; ","; "&amp;H123&amp;"; ")),1,0)</x:f>
        <x:v>0</x:v>
      </x:c>
      <x:c r="AA123" s="9" t="n">
        <x:f>IF(ISNUMBER(SEARCH("; methodological judgment; ","; "&amp;H123&amp;"; ")),1,0)</x:f>
        <x:v>0</x:v>
      </x:c>
      <x:c r="AB123" s="9" t="n">
        <x:f>IF(ISNUMBER(SEARCH("; argumentative judgment; ","; "&amp;H123&amp;"; ")),1,0)</x:f>
        <x:v>1</x:v>
      </x:c>
      <x:c r="AC123" s="9" t="n">
        <x:f>IF(ISNUMBER(SEARCH("; genre/writing expertise; ","; "&amp;H123&amp;"; ")),1,0)</x:f>
        <x:v>1</x:v>
      </x:c>
      <x:c r="AD123" s="9" t="n">
        <x:f>IF(ISNUMBER(SEARCH("; none; ","; "&amp;H123&amp;"; ")),1,0)</x:f>
        <x:v>0</x:v>
      </x:c>
    </x:row>
    <x:row r="124" ht="92" customHeight="1">
      <x:c r="A124" s="8" t="str">
        <x:v>P4-W2-007</x:v>
      </x:c>
      <x:c r="B124" s="9" t="n">
        <x:v>123</x:v>
      </x:c>
      <x:c r="C124" s="8" t="str">
        <x:v>Writing part 2</x:v>
      </x:c>
      <x:c r="D124" s="8" t="str">
        <x:v>we are running out of space, so instead, give me the section 7: KEY TAKEAWAYS FOR PRACTITIONERS... and include stuff from the avbove stuff. allso Bullet list (must be clear and actionable): • Always validate AI-generated code • Invest in prompt quality • Use AI for low-risk tasks first • Combine …</x:v>
      </x:c>
      <x:c r="E124" s="8" t="str">
        <x:v>Redirection</x:v>
      </x:c>
      <x:c r="F124" s="8" t="str">
        <x:v>Directed delegation; Knowledge injection</x:v>
      </x:c>
      <x:c r="G124" s="8" t="str">
        <x:v>Directive</x:v>
      </x:c>
      <x:c r="H124" s="8" t="str">
        <x:v>argumentative judgment; genre/writing expertise</x:v>
      </x:c>
      <x:c r="I124" s="8" t="str">
        <x:v>Replaces the added section with actionable takeaways due to space limits while retaining evidence balance.</x:v>
      </x:c>
      <x:c r="J124" s="8" t="str">
        <x:v>AI supplies concise practitioner takeaways.</x:v>
      </x:c>
      <x:c r="K124" s="8" t="str">
        <x:v>W2 p5 L35-p5 L42</x:v>
      </x:c>
      <x:c r="L124" s="8" t="str">
        <x:v>W2 p5 L44-p6 L26</x:v>
      </x:c>
      <x:c r="M124" s="8" t="str"/>
      <x:c r="N124" s="8" t="str">
        <x:v>Visible next AI response</x:v>
      </x:c>
      <x:c r="O124" s="8" t="str"/>
      <x:c r="P124" s="9" t="n">
        <x:f>IF(OR(E124="Delegation",ISNUMBER(SEARCH("; Delegation; ","; "&amp;F124&amp;"; "))),1,0)</x:f>
        <x:v>0</x:v>
      </x:c>
      <x:c r="Q124" s="9" t="n">
        <x:f>IF(OR(E124="Directed delegation",ISNUMBER(SEARCH("; Directed delegation; ","; "&amp;F124&amp;"; "))),1,0)</x:f>
        <x:v>1</x:v>
      </x:c>
      <x:c r="R124" s="9" t="n">
        <x:f>IF(OR(E124="Evaluation",ISNUMBER(SEARCH("; Evaluation; ","; "&amp;F124&amp;"; "))),1,0)</x:f>
        <x:v>0</x:v>
      </x:c>
      <x:c r="S124" s="9" t="n">
        <x:f>IF(OR(E124="Correction/Challenge",ISNUMBER(SEARCH("; Correction/Challenge; ","; "&amp;F124&amp;"; "))),1,0)</x:f>
        <x:v>0</x:v>
      </x:c>
      <x:c r="T124" s="9" t="n">
        <x:f>IF(OR(E124="Redirection",ISNUMBER(SEARCH("; Redirection; ","; "&amp;F124&amp;"; "))),1,0)</x:f>
        <x:v>1</x:v>
      </x:c>
      <x:c r="U124" s="9" t="n">
        <x:f>IF(OR(E124="Knowledge injection",ISNUMBER(SEARCH("; Knowledge injection; ","; "&amp;F124&amp;"; "))),1,0)</x:f>
        <x:v>1</x:v>
      </x:c>
      <x:c r="V124" s="9" t="n">
        <x:f>IF(OR(E124="Selection/Rejection",ISNUMBER(SEARCH("; Selection/Rejection; ","; "&amp;F124&amp;"; "))),1,0)</x:f>
        <x:v>0</x:v>
      </x:c>
      <x:c r="W124" s="9" t="n">
        <x:f>IF(OR(E124="Deliberation",ISNUMBER(SEARCH("; Deliberation; ","; "&amp;F124&amp;"; "))),1,0)</x:f>
        <x:v>0</x:v>
      </x:c>
      <x:c r="X124" s="9" t="n">
        <x:f>IF(ISNUMBER(SEARCH("; domain correction; ","; "&amp;H124&amp;"; ")),1,0)</x:f>
        <x:v>0</x:v>
      </x:c>
      <x:c r="Y124" s="9" t="n">
        <x:f>IF(ISNUMBER(SEARCH("; conceptual discrimination; ","; "&amp;H124&amp;"; ")),1,0)</x:f>
        <x:v>0</x:v>
      </x:c>
      <x:c r="Z124" s="9" t="n">
        <x:f>IF(ISNUMBER(SEARCH("; evidence judgment; ","; "&amp;H124&amp;"; ")),1,0)</x:f>
        <x:v>0</x:v>
      </x:c>
      <x:c r="AA124" s="9" t="n">
        <x:f>IF(ISNUMBER(SEARCH("; methodological judgment; ","; "&amp;H124&amp;"; ")),1,0)</x:f>
        <x:v>0</x:v>
      </x:c>
      <x:c r="AB124" s="9" t="n">
        <x:f>IF(ISNUMBER(SEARCH("; argumentative judgment; ","; "&amp;H124&amp;"; ")),1,0)</x:f>
        <x:v>1</x:v>
      </x:c>
      <x:c r="AC124" s="9" t="n">
        <x:f>IF(ISNUMBER(SEARCH("; genre/writing expertise; ","; "&amp;H124&amp;"; ")),1,0)</x:f>
        <x:v>1</x:v>
      </x:c>
      <x:c r="AD124" s="9" t="n">
        <x:f>IF(ISNUMBER(SEARCH("; none; ","; "&amp;H124&amp;"; ")),1,0)</x:f>
        <x:v>0</x:v>
      </x:c>
    </x:row>
    <x:row r="125" ht="78" customHeight="1">
      <x:c r="A125" s="8" t="str">
        <x:v>P4-W2-008</x:v>
      </x:c>
      <x:c r="B125" s="9" t="n">
        <x:v>124</x:v>
      </x:c>
      <x:c r="C125" s="8" t="str">
        <x:v>Writing part 2</x:v>
      </x:c>
      <x:c r="D125" s="8" t="str">
        <x:v>We need to make these takeaways traceable to primary study or the evidences that we have synthesized. Can you include some TI numbers or another form of evidence tracking and traceability?</x:v>
      </x:c>
      <x:c r="E125" s="8" t="str">
        <x:v>Directed delegation</x:v>
      </x:c>
      <x:c r="F125" s="8" t="str"/>
      <x:c r="G125" s="8" t="str">
        <x:v>Directive</x:v>
      </x:c>
      <x:c r="H125" s="8" t="str">
        <x:v>evidence judgment; methodological judgment</x:v>
      </x:c>
      <x:c r="I125" s="8" t="str">
        <x:v>Requires traceability from each takeaway to primary studies or synthesized evidence.</x:v>
      </x:c>
      <x:c r="J125" s="8" t="str">
        <x:v>AI adds representative P-label evidence links.</x:v>
      </x:c>
      <x:c r="K125" s="8" t="str">
        <x:v>W2 p6 L27-p6 L28</x:v>
      </x:c>
      <x:c r="L125" s="8" t="str">
        <x:v>W2 p6 L29-p7 L12</x:v>
      </x:c>
      <x:c r="M125" s="8" t="str"/>
      <x:c r="N125" s="8" t="str">
        <x:v>Visible next AI response</x:v>
      </x:c>
      <x:c r="O125" s="8" t="str"/>
      <x:c r="P125" s="9" t="n">
        <x:f>IF(OR(E125="Delegation",ISNUMBER(SEARCH("; Delegation; ","; "&amp;F125&amp;"; "))),1,0)</x:f>
        <x:v>0</x:v>
      </x:c>
      <x:c r="Q125" s="9" t="n">
        <x:f>IF(OR(E125="Directed delegation",ISNUMBER(SEARCH("; Directed delegation; ","; "&amp;F125&amp;"; "))),1,0)</x:f>
        <x:v>1</x:v>
      </x:c>
      <x:c r="R125" s="9" t="n">
        <x:f>IF(OR(E125="Evaluation",ISNUMBER(SEARCH("; Evaluation; ","; "&amp;F125&amp;"; "))),1,0)</x:f>
        <x:v>0</x:v>
      </x:c>
      <x:c r="S125" s="9" t="n">
        <x:f>IF(OR(E125="Correction/Challenge",ISNUMBER(SEARCH("; Correction/Challenge; ","; "&amp;F125&amp;"; "))),1,0)</x:f>
        <x:v>0</x:v>
      </x:c>
      <x:c r="T125" s="9" t="n">
        <x:f>IF(OR(E125="Redirection",ISNUMBER(SEARCH("; Redirection; ","; "&amp;F125&amp;"; "))),1,0)</x:f>
        <x:v>0</x:v>
      </x:c>
      <x:c r="U125" s="9" t="n">
        <x:f>IF(OR(E125="Knowledge injection",ISNUMBER(SEARCH("; Knowledge injection; ","; "&amp;F125&amp;"; "))),1,0)</x:f>
        <x:v>0</x:v>
      </x:c>
      <x:c r="V125" s="9" t="n">
        <x:f>IF(OR(E125="Selection/Rejection",ISNUMBER(SEARCH("; Selection/Rejection; ","; "&amp;F125&amp;"; "))),1,0)</x:f>
        <x:v>0</x:v>
      </x:c>
      <x:c r="W125" s="9" t="n">
        <x:f>IF(OR(E125="Deliberation",ISNUMBER(SEARCH("; Deliberation; ","; "&amp;F125&amp;"; "))),1,0)</x:f>
        <x:v>0</x:v>
      </x:c>
      <x:c r="X125" s="9" t="n">
        <x:f>IF(ISNUMBER(SEARCH("; domain correction; ","; "&amp;H125&amp;"; ")),1,0)</x:f>
        <x:v>0</x:v>
      </x:c>
      <x:c r="Y125" s="9" t="n">
        <x:f>IF(ISNUMBER(SEARCH("; conceptual discrimination; ","; "&amp;H125&amp;"; ")),1,0)</x:f>
        <x:v>0</x:v>
      </x:c>
      <x:c r="Z125" s="9" t="n">
        <x:f>IF(ISNUMBER(SEARCH("; evidence judgment; ","; "&amp;H125&amp;"; ")),1,0)</x:f>
        <x:v>1</x:v>
      </x:c>
      <x:c r="AA125" s="9" t="n">
        <x:f>IF(ISNUMBER(SEARCH("; methodological judgment; ","; "&amp;H125&amp;"; ")),1,0)</x:f>
        <x:v>1</x:v>
      </x:c>
      <x:c r="AB125" s="9" t="n">
        <x:f>IF(ISNUMBER(SEARCH("; argumentative judgment; ","; "&amp;H125&amp;"; ")),1,0)</x:f>
        <x:v>0</x:v>
      </x:c>
      <x:c r="AC125" s="9" t="n">
        <x:f>IF(ISNUMBER(SEARCH("; genre/writing expertise; ","; "&amp;H125&amp;"; ")),1,0)</x:f>
        <x:v>0</x:v>
      </x:c>
      <x:c r="AD125" s="9" t="n">
        <x:f>IF(ISNUMBER(SEARCH("; none; ","; "&amp;H125&amp;"; ")),1,0)</x:f>
        <x:v>0</x:v>
      </x:c>
    </x:row>
    <x:row r="126" ht="64" customHeight="1">
      <x:c r="A126" s="8" t="str">
        <x:v>P4-W2-009</x:v>
      </x:c>
      <x:c r="B126" s="9" t="n">
        <x:v>125</x:v>
      </x:c>
      <x:c r="C126" s="8" t="str">
        <x:v>Writing part 2</x:v>
      </x:c>
      <x:c r="D126" s="8" t="str">
        <x:v>give 8 LOOKING AHEAD Short (~10%) Include: • emerging benchmarks (balanced tone) • need for better practices • importance of human–AI collaboration</x:v>
      </x:c>
      <x:c r="E126" s="8" t="str">
        <x:v>Directed delegation</x:v>
      </x:c>
      <x:c r="F126" s="8" t="str">
        <x:v>Knowledge injection</x:v>
      </x:c>
      <x:c r="G126" s="8" t="str">
        <x:v>Directive</x:v>
      </x:c>
      <x:c r="H126" s="8" t="str">
        <x:v>argumentative judgment; genre/writing expertise</x:v>
      </x:c>
      <x:c r="I126" s="8" t="str">
        <x:v>Specifies a short forward-looking section with balanced benchmark wording and collaboration emphasis.</x:v>
      </x:c>
      <x:c r="J126" s="8" t="str">
        <x:v>AI drafts Looking Ahead.</x:v>
      </x:c>
      <x:c r="K126" s="8" t="str">
        <x:v>W2 p7 L13-p7 L18</x:v>
      </x:c>
      <x:c r="L126" s="8" t="str">
        <x:v>W2 p7 L19-p7 L34</x:v>
      </x:c>
      <x:c r="M126" s="8" t="str"/>
      <x:c r="N126" s="8" t="str">
        <x:v>Visible next AI response</x:v>
      </x:c>
      <x:c r="O126" s="8" t="str"/>
      <x:c r="P126" s="9" t="n">
        <x:f>IF(OR(E126="Delegation",ISNUMBER(SEARCH("; Delegation; ","; "&amp;F126&amp;"; "))),1,0)</x:f>
        <x:v>0</x:v>
      </x:c>
      <x:c r="Q126" s="9" t="n">
        <x:f>IF(OR(E126="Directed delegation",ISNUMBER(SEARCH("; Directed delegation; ","; "&amp;F126&amp;"; "))),1,0)</x:f>
        <x:v>1</x:v>
      </x:c>
      <x:c r="R126" s="9" t="n">
        <x:f>IF(OR(E126="Evaluation",ISNUMBER(SEARCH("; Evaluation; ","; "&amp;F126&amp;"; "))),1,0)</x:f>
        <x:v>0</x:v>
      </x:c>
      <x:c r="S126" s="9" t="n">
        <x:f>IF(OR(E126="Correction/Challenge",ISNUMBER(SEARCH("; Correction/Challenge; ","; "&amp;F126&amp;"; "))),1,0)</x:f>
        <x:v>0</x:v>
      </x:c>
      <x:c r="T126" s="9" t="n">
        <x:f>IF(OR(E126="Redirection",ISNUMBER(SEARCH("; Redirection; ","; "&amp;F126&amp;"; "))),1,0)</x:f>
        <x:v>0</x:v>
      </x:c>
      <x:c r="U126" s="9" t="n">
        <x:f>IF(OR(E126="Knowledge injection",ISNUMBER(SEARCH("; Knowledge injection; ","; "&amp;F126&amp;"; "))),1,0)</x:f>
        <x:v>1</x:v>
      </x:c>
      <x:c r="V126" s="9" t="n">
        <x:f>IF(OR(E126="Selection/Rejection",ISNUMBER(SEARCH("; Selection/Rejection; ","; "&amp;F126&amp;"; "))),1,0)</x:f>
        <x:v>0</x:v>
      </x:c>
      <x:c r="W126" s="9" t="n">
        <x:f>IF(OR(E126="Deliberation",ISNUMBER(SEARCH("; Deliberation; ","; "&amp;F126&amp;"; "))),1,0)</x:f>
        <x:v>0</x:v>
      </x:c>
      <x:c r="X126" s="9" t="n">
        <x:f>IF(ISNUMBER(SEARCH("; domain correction; ","; "&amp;H126&amp;"; ")),1,0)</x:f>
        <x:v>0</x:v>
      </x:c>
      <x:c r="Y126" s="9" t="n">
        <x:f>IF(ISNUMBER(SEARCH("; conceptual discrimination; ","; "&amp;H126&amp;"; ")),1,0)</x:f>
        <x:v>0</x:v>
      </x:c>
      <x:c r="Z126" s="9" t="n">
        <x:f>IF(ISNUMBER(SEARCH("; evidence judgment; ","; "&amp;H126&amp;"; ")),1,0)</x:f>
        <x:v>0</x:v>
      </x:c>
      <x:c r="AA126" s="9" t="n">
        <x:f>IF(ISNUMBER(SEARCH("; methodological judgment; ","; "&amp;H126&amp;"; ")),1,0)</x:f>
        <x:v>0</x:v>
      </x:c>
      <x:c r="AB126" s="9" t="n">
        <x:f>IF(ISNUMBER(SEARCH("; argumentative judgment; ","; "&amp;H126&amp;"; ")),1,0)</x:f>
        <x:v>1</x:v>
      </x:c>
      <x:c r="AC126" s="9" t="n">
        <x:f>IF(ISNUMBER(SEARCH("; genre/writing expertise; ","; "&amp;H126&amp;"; ")),1,0)</x:f>
        <x:v>1</x:v>
      </x:c>
      <x:c r="AD126" s="9" t="n">
        <x:f>IF(ISNUMBER(SEARCH("; none; ","; "&amp;H126&amp;"; ")),1,0)</x:f>
        <x:v>0</x:v>
      </x:c>
    </x:row>
    <x:row r="127" ht="60" customHeight="1">
      <x:c r="A127" s="8" t="str">
        <x:v>P4-W2-010</x:v>
      </x:c>
      <x:c r="B127" s="9" t="n">
        <x:v>126</x:v>
      </x:c>
      <x:c r="C127" s="8" t="str">
        <x:v>Writing part 2</x:v>
      </x:c>
      <x:c r="D127" s="8" t="str">
        <x:v>give Abstract: Keywords: separarte by ,</x:v>
      </x:c>
      <x:c r="E127" s="8" t="str">
        <x:v>Directed delegation</x:v>
      </x:c>
      <x:c r="F127" s="8" t="str"/>
      <x:c r="G127" s="8" t="str">
        <x:v>Directive</x:v>
      </x:c>
      <x:c r="H127" s="8" t="str">
        <x:v>genre/writing expertise</x:v>
      </x:c>
      <x:c r="I127" s="8" t="str">
        <x:v>Requests abstract and comma-separated keywords.</x:v>
      </x:c>
      <x:c r="J127" s="8" t="str">
        <x:v>AI supplies both.</x:v>
      </x:c>
      <x:c r="K127" s="8" t="str">
        <x:v>W2 p7 L35-p7 L36</x:v>
      </x:c>
      <x:c r="L127" s="8" t="str">
        <x:v>W2 p7 L37-p8 L6</x:v>
      </x:c>
      <x:c r="M127" s="8" t="str"/>
      <x:c r="N127" s="8" t="str">
        <x:v>Visible next AI response</x:v>
      </x:c>
      <x:c r="O127" s="8" t="str"/>
      <x:c r="P127" s="9" t="n">
        <x:f>IF(OR(E127="Delegation",ISNUMBER(SEARCH("; Delegation; ","; "&amp;F127&amp;"; "))),1,0)</x:f>
        <x:v>0</x:v>
      </x:c>
      <x:c r="Q127" s="9" t="n">
        <x:f>IF(OR(E127="Directed delegation",ISNUMBER(SEARCH("; Directed delegation; ","; "&amp;F127&amp;"; "))),1,0)</x:f>
        <x:v>1</x:v>
      </x:c>
      <x:c r="R127" s="9" t="n">
        <x:f>IF(OR(E127="Evaluation",ISNUMBER(SEARCH("; Evaluation; ","; "&amp;F127&amp;"; "))),1,0)</x:f>
        <x:v>0</x:v>
      </x:c>
      <x:c r="S127" s="9" t="n">
        <x:f>IF(OR(E127="Correction/Challenge",ISNUMBER(SEARCH("; Correction/Challenge; ","; "&amp;F127&amp;"; "))),1,0)</x:f>
        <x:v>0</x:v>
      </x:c>
      <x:c r="T127" s="9" t="n">
        <x:f>IF(OR(E127="Redirection",ISNUMBER(SEARCH("; Redirection; ","; "&amp;F127&amp;"; "))),1,0)</x:f>
        <x:v>0</x:v>
      </x:c>
      <x:c r="U127" s="9" t="n">
        <x:f>IF(OR(E127="Knowledge injection",ISNUMBER(SEARCH("; Knowledge injection; ","; "&amp;F127&amp;"; "))),1,0)</x:f>
        <x:v>0</x:v>
      </x:c>
      <x:c r="V127" s="9" t="n">
        <x:f>IF(OR(E127="Selection/Rejection",ISNUMBER(SEARCH("; Selection/Rejection; ","; "&amp;F127&amp;"; "))),1,0)</x:f>
        <x:v>0</x:v>
      </x:c>
      <x:c r="W127" s="9" t="n">
        <x:f>IF(OR(E127="Deliberation",ISNUMBER(SEARCH("; Deliberation; ","; "&amp;F127&amp;"; "))),1,0)</x:f>
        <x:v>0</x:v>
      </x:c>
      <x:c r="X127" s="9" t="n">
        <x:f>IF(ISNUMBER(SEARCH("; domain correction; ","; "&amp;H127&amp;"; ")),1,0)</x:f>
        <x:v>0</x:v>
      </x:c>
      <x:c r="Y127" s="9" t="n">
        <x:f>IF(ISNUMBER(SEARCH("; conceptual discrimination; ","; "&amp;H127&amp;"; ")),1,0)</x:f>
        <x:v>0</x:v>
      </x:c>
      <x:c r="Z127" s="9" t="n">
        <x:f>IF(ISNUMBER(SEARCH("; evidence judgment; ","; "&amp;H127&amp;"; ")),1,0)</x:f>
        <x:v>0</x:v>
      </x:c>
      <x:c r="AA127" s="9" t="n">
        <x:f>IF(ISNUMBER(SEARCH("; methodological judgment; ","; "&amp;H127&amp;"; ")),1,0)</x:f>
        <x:v>0</x:v>
      </x:c>
      <x:c r="AB127" s="9" t="n">
        <x:f>IF(ISNUMBER(SEARCH("; argumentative judgment; ","; "&amp;H127&amp;"; ")),1,0)</x:f>
        <x:v>0</x:v>
      </x:c>
      <x:c r="AC127" s="9" t="n">
        <x:f>IF(ISNUMBER(SEARCH("; genre/writing expertise; ","; "&amp;H127&amp;"; ")),1,0)</x:f>
        <x:v>1</x:v>
      </x:c>
      <x:c r="AD127" s="9" t="n">
        <x:f>IF(ISNUMBER(SEARCH("; none; ","; "&amp;H127&amp;"; ")),1,0)</x:f>
        <x:v>0</x:v>
      </x:c>
    </x:row>
    <x:row r="128" ht="60" customHeight="1">
      <x:c r="A128" s="8" t="str">
        <x:v>P4-W2-011</x:v>
      </x:c>
      <x:c r="B128" s="9" t="n">
        <x:v>127</x:v>
      </x:c>
      <x:c r="C128" s="8" t="str">
        <x:v>Writing part 2</x:v>
      </x:c>
      <x:c r="D128" s="8" t="str">
        <x:v>give 100-word Abstract</x:v>
      </x:c>
      <x:c r="E128" s="8" t="str">
        <x:v>Directed delegation</x:v>
      </x:c>
      <x:c r="F128" s="8" t="str"/>
      <x:c r="G128" s="8" t="str">
        <x:v>Directive</x:v>
      </x:c>
      <x:c r="H128" s="8" t="str">
        <x:v>genre/writing expertise</x:v>
      </x:c>
      <x:c r="I128" s="8" t="str">
        <x:v>Sets a 100-word abstract budget.</x:v>
      </x:c>
      <x:c r="J128" s="8" t="str">
        <x:v>AI provides a roughly 100-word abstract.</x:v>
      </x:c>
      <x:c r="K128" s="8" t="str">
        <x:v>W2 p8 L7-p8 L7</x:v>
      </x:c>
      <x:c r="L128" s="8" t="str">
        <x:v>W2 p8 L8-p8 L15</x:v>
      </x:c>
      <x:c r="M128" s="8" t="str"/>
      <x:c r="N128" s="8" t="str">
        <x:v>Visible next AI response</x:v>
      </x:c>
      <x:c r="O128" s="8" t="str"/>
      <x:c r="P128" s="9" t="n">
        <x:f>IF(OR(E128="Delegation",ISNUMBER(SEARCH("; Delegation; ","; "&amp;F128&amp;"; "))),1,0)</x:f>
        <x:v>0</x:v>
      </x:c>
      <x:c r="Q128" s="9" t="n">
        <x:f>IF(OR(E128="Directed delegation",ISNUMBER(SEARCH("; Directed delegation; ","; "&amp;F128&amp;"; "))),1,0)</x:f>
        <x:v>1</x:v>
      </x:c>
      <x:c r="R128" s="9" t="n">
        <x:f>IF(OR(E128="Evaluation",ISNUMBER(SEARCH("; Evaluation; ","; "&amp;F128&amp;"; "))),1,0)</x:f>
        <x:v>0</x:v>
      </x:c>
      <x:c r="S128" s="9" t="n">
        <x:f>IF(OR(E128="Correction/Challenge",ISNUMBER(SEARCH("; Correction/Challenge; ","; "&amp;F128&amp;"; "))),1,0)</x:f>
        <x:v>0</x:v>
      </x:c>
      <x:c r="T128" s="9" t="n">
        <x:f>IF(OR(E128="Redirection",ISNUMBER(SEARCH("; Redirection; ","; "&amp;F128&amp;"; "))),1,0)</x:f>
        <x:v>0</x:v>
      </x:c>
      <x:c r="U128" s="9" t="n">
        <x:f>IF(OR(E128="Knowledge injection",ISNUMBER(SEARCH("; Knowledge injection; ","; "&amp;F128&amp;"; "))),1,0)</x:f>
        <x:v>0</x:v>
      </x:c>
      <x:c r="V128" s="9" t="n">
        <x:f>IF(OR(E128="Selection/Rejection",ISNUMBER(SEARCH("; Selection/Rejection; ","; "&amp;F128&amp;"; "))),1,0)</x:f>
        <x:v>0</x:v>
      </x:c>
      <x:c r="W128" s="9" t="n">
        <x:f>IF(OR(E128="Deliberation",ISNUMBER(SEARCH("; Deliberation; ","; "&amp;F128&amp;"; "))),1,0)</x:f>
        <x:v>0</x:v>
      </x:c>
      <x:c r="X128" s="9" t="n">
        <x:f>IF(ISNUMBER(SEARCH("; domain correction; ","; "&amp;H128&amp;"; ")),1,0)</x:f>
        <x:v>0</x:v>
      </x:c>
      <x:c r="Y128" s="9" t="n">
        <x:f>IF(ISNUMBER(SEARCH("; conceptual discrimination; ","; "&amp;H128&amp;"; ")),1,0)</x:f>
        <x:v>0</x:v>
      </x:c>
      <x:c r="Z128" s="9" t="n">
        <x:f>IF(ISNUMBER(SEARCH("; evidence judgment; ","; "&amp;H128&amp;"; ")),1,0)</x:f>
        <x:v>0</x:v>
      </x:c>
      <x:c r="AA128" s="9" t="n">
        <x:f>IF(ISNUMBER(SEARCH("; methodological judgment; ","; "&amp;H128&amp;"; ")),1,0)</x:f>
        <x:v>0</x:v>
      </x:c>
      <x:c r="AB128" s="9" t="n">
        <x:f>IF(ISNUMBER(SEARCH("; argumentative judgment; ","; "&amp;H128&amp;"; ")),1,0)</x:f>
        <x:v>0</x:v>
      </x:c>
      <x:c r="AC128" s="9" t="n">
        <x:f>IF(ISNUMBER(SEARCH("; genre/writing expertise; ","; "&amp;H128&amp;"; ")),1,0)</x:f>
        <x:v>1</x:v>
      </x:c>
      <x:c r="AD128" s="9" t="n">
        <x:f>IF(ISNUMBER(SEARCH("; none; ","; "&amp;H128&amp;"; ")),1,0)</x:f>
        <x:v>0</x:v>
      </x:c>
    </x:row>
    <x:row r="129" ht="92" customHeight="1">
      <x:c r="A129" s="8" t="str">
        <x:v>P4-W2-012</x:v>
      </x:c>
      <x:c r="B129" s="9" t="n">
        <x:v>128</x:v>
      </x:c>
      <x:c r="C129" s="8" t="str">
        <x:v>Writing part 2</x:v>
      </x:c>
      <x:c r="D129" s="8" t="str">
        <x:v>we have this insight "💡Insight: Unlike traditional programming, where identical inputs produce identical outputs, AI-generated code introduces inherent variability into the development process." . my co-author said: I am not sure if I understand this.. AI code-generation tools are yes non- determ…</x:v>
      </x:c>
      <x:c r="E129" s="8" t="str">
        <x:v>Correction/Challenge</x:v>
      </x:c>
      <x:c r="F129" s="8" t="str">
        <x:v>Knowledge injection; Directed delegation</x:v>
      </x:c>
      <x:c r="G129" s="8" t="str">
        <x:v>Critical</x:v>
      </x:c>
      <x:c r="H129" s="8" t="str">
        <x:v>genre/writing expertise</x:v>
      </x:c>
      <x:c r="I129" s="8" t="str">
        <x:v>Supplies co-author feedback diagnosing an ambiguous determinism claim and requests clarification; technical diagnosis originates with the co-author.</x:v>
      </x:c>
      <x:c r="J129" s="8" t="str">
        <x:v>AI distinguishes generation-time variation from execution-time behavior.</x:v>
      </x:c>
      <x:c r="K129" s="8" t="str">
        <x:v>W2 p8 L17-p8 L20</x:v>
      </x:c>
      <x:c r="L129" s="8" t="str">
        <x:v>W2 p8 L22-p8 L36</x:v>
      </x:c>
      <x:c r="M129" s="8" t="str">
        <x:v>Includes quoted co-author feedback.</x:v>
      </x:c>
      <x:c r="N129" s="8" t="str">
        <x:v>Visible next AI response</x:v>
      </x:c>
      <x:c r="O129" s="8" t="str">
        <x:v>The generation/execution distinction comes from quoted co-author feedback. Expertise attribution is limited to the researcher’s explicit clarity judgment. AI’s blanket deterministic-execution wording is itself overgeneralized.</x:v>
      </x:c>
      <x:c r="P129" s="9" t="n">
        <x:f>IF(OR(E129="Delegation",ISNUMBER(SEARCH("; Delegation; ","; "&amp;F129&amp;"; "))),1,0)</x:f>
        <x:v>0</x:v>
      </x:c>
      <x:c r="Q129" s="9" t="n">
        <x:f>IF(OR(E129="Directed delegation",ISNUMBER(SEARCH("; Directed delegation; ","; "&amp;F129&amp;"; "))),1,0)</x:f>
        <x:v>1</x:v>
      </x:c>
      <x:c r="R129" s="9" t="n">
        <x:f>IF(OR(E129="Evaluation",ISNUMBER(SEARCH("; Evaluation; ","; "&amp;F129&amp;"; "))),1,0)</x:f>
        <x:v>0</x:v>
      </x:c>
      <x:c r="S129" s="9" t="n">
        <x:f>IF(OR(E129="Correction/Challenge",ISNUMBER(SEARCH("; Correction/Challenge; ","; "&amp;F129&amp;"; "))),1,0)</x:f>
        <x:v>1</x:v>
      </x:c>
      <x:c r="T129" s="9" t="n">
        <x:f>IF(OR(E129="Redirection",ISNUMBER(SEARCH("; Redirection; ","; "&amp;F129&amp;"; "))),1,0)</x:f>
        <x:v>0</x:v>
      </x:c>
      <x:c r="U129" s="9" t="n">
        <x:f>IF(OR(E129="Knowledge injection",ISNUMBER(SEARCH("; Knowledge injection; ","; "&amp;F129&amp;"; "))),1,0)</x:f>
        <x:v>1</x:v>
      </x:c>
      <x:c r="V129" s="9" t="n">
        <x:f>IF(OR(E129="Selection/Rejection",ISNUMBER(SEARCH("; Selection/Rejection; ","; "&amp;F129&amp;"; "))),1,0)</x:f>
        <x:v>0</x:v>
      </x:c>
      <x:c r="W129" s="9" t="n">
        <x:f>IF(OR(E129="Deliberation",ISNUMBER(SEARCH("; Deliberation; ","; "&amp;F129&amp;"; "))),1,0)</x:f>
        <x:v>0</x:v>
      </x:c>
      <x:c r="X129" s="9" t="n">
        <x:f>IF(ISNUMBER(SEARCH("; domain correction; ","; "&amp;H129&amp;"; ")),1,0)</x:f>
        <x:v>0</x:v>
      </x:c>
      <x:c r="Y129" s="9" t="n">
        <x:f>IF(ISNUMBER(SEARCH("; conceptual discrimination; ","; "&amp;H129&amp;"; ")),1,0)</x:f>
        <x:v>0</x:v>
      </x:c>
      <x:c r="Z129" s="9" t="n">
        <x:f>IF(ISNUMBER(SEARCH("; evidence judgment; ","; "&amp;H129&amp;"; ")),1,0)</x:f>
        <x:v>0</x:v>
      </x:c>
      <x:c r="AA129" s="9" t="n">
        <x:f>IF(ISNUMBER(SEARCH("; methodological judgment; ","; "&amp;H129&amp;"; ")),1,0)</x:f>
        <x:v>0</x:v>
      </x:c>
      <x:c r="AB129" s="9" t="n">
        <x:f>IF(ISNUMBER(SEARCH("; argumentative judgment; ","; "&amp;H129&amp;"; ")),1,0)</x:f>
        <x:v>0</x:v>
      </x:c>
      <x:c r="AC129" s="9" t="n">
        <x:f>IF(ISNUMBER(SEARCH("; genre/writing expertise; ","; "&amp;H129&amp;"; ")),1,0)</x:f>
        <x:v>1</x:v>
      </x:c>
      <x:c r="AD129" s="9" t="n">
        <x:f>IF(ISNUMBER(SEARCH("; none; ","; "&amp;H129&amp;"; ")),1,0)</x:f>
        <x:v>0</x:v>
      </x:c>
    </x:row>
    <x:row r="130" ht="92" customHeight="1">
      <x:c r="A130" s="8" t="str">
        <x:v>P4-W2-013</x:v>
      </x:c>
      <x:c r="B130" s="9" t="n">
        <x:v>129</x:v>
      </x:c>
      <x:c r="C130" s="8" t="str">
        <x:v>Writing part 2</x:v>
      </x:c>
      <x:c r="D130" s="8" t="str">
        <x:v>rethink and regenerate the insight from sractch based on that subsection : 5.4 INCONSISTENCY AND NON-DETERMINISM Inconsistency is examined in 12 out of 24 studies and is a distinctive characteristic of AI-generated code. The same prompt can produce different outputs across runs, varying levels of…</x:v>
      </x:c>
      <x:c r="E130" s="8" t="str">
        <x:v>Redirection</x:v>
      </x:c>
      <x:c r="F130" s="8" t="str">
        <x:v>Directed delegation; Knowledge injection</x:v>
      </x:c>
      <x:c r="G130" s="8" t="str">
        <x:v>Directive</x:v>
      </x:c>
      <x:c r="H130" s="8" t="str">
        <x:v>argumentative judgment; genre/writing expertise</x:v>
      </x:c>
      <x:c r="I130" s="8" t="str">
        <x:v>Requests a fresh insight grounded in the supplied subsection after the prior clarification.</x:v>
      </x:c>
      <x:c r="J130" s="8" t="str">
        <x:v>AI rewrites the insight around generation-time variability.</x:v>
      </x:c>
      <x:c r="K130" s="8" t="str">
        <x:v>W2 p8 L37-p9 L5</x:v>
      </x:c>
      <x:c r="L130" s="8" t="str">
        <x:v>W2 p9 L7-p9 L19</x:v>
      </x:c>
      <x:c r="M130" s="8" t="str"/>
      <x:c r="N130" s="8" t="str">
        <x:v>Visible next AI response</x:v>
      </x:c>
      <x:c r="O130" s="8" t="str">
        <x:v>A fresh-insight revision is requested after co-author feedback. Generation variability does not establish all conventional programs execute deterministically.</x:v>
      </x:c>
      <x:c r="P130" s="9" t="n">
        <x:f>IF(OR(E130="Delegation",ISNUMBER(SEARCH("; Delegation; ","; "&amp;F130&amp;"; "))),1,0)</x:f>
        <x:v>0</x:v>
      </x:c>
      <x:c r="Q130" s="9" t="n">
        <x:f>IF(OR(E130="Directed delegation",ISNUMBER(SEARCH("; Directed delegation; ","; "&amp;F130&amp;"; "))),1,0)</x:f>
        <x:v>1</x:v>
      </x:c>
      <x:c r="R130" s="9" t="n">
        <x:f>IF(OR(E130="Evaluation",ISNUMBER(SEARCH("; Evaluation; ","; "&amp;F130&amp;"; "))),1,0)</x:f>
        <x:v>0</x:v>
      </x:c>
      <x:c r="S130" s="9" t="n">
        <x:f>IF(OR(E130="Correction/Challenge",ISNUMBER(SEARCH("; Correction/Challenge; ","; "&amp;F130&amp;"; "))),1,0)</x:f>
        <x:v>0</x:v>
      </x:c>
      <x:c r="T130" s="9" t="n">
        <x:f>IF(OR(E130="Redirection",ISNUMBER(SEARCH("; Redirection; ","; "&amp;F130&amp;"; "))),1,0)</x:f>
        <x:v>1</x:v>
      </x:c>
      <x:c r="U130" s="9" t="n">
        <x:f>IF(OR(E130="Knowledge injection",ISNUMBER(SEARCH("; Knowledge injection; ","; "&amp;F130&amp;"; "))),1,0)</x:f>
        <x:v>1</x:v>
      </x:c>
      <x:c r="V130" s="9" t="n">
        <x:f>IF(OR(E130="Selection/Rejection",ISNUMBER(SEARCH("; Selection/Rejection; ","; "&amp;F130&amp;"; "))),1,0)</x:f>
        <x:v>0</x:v>
      </x:c>
      <x:c r="W130" s="9" t="n">
        <x:f>IF(OR(E130="Deliberation",ISNUMBER(SEARCH("; Deliberation; ","; "&amp;F130&amp;"; "))),1,0)</x:f>
        <x:v>0</x:v>
      </x:c>
      <x:c r="X130" s="9" t="n">
        <x:f>IF(ISNUMBER(SEARCH("; domain correction; ","; "&amp;H130&amp;"; ")),1,0)</x:f>
        <x:v>0</x:v>
      </x:c>
      <x:c r="Y130" s="9" t="n">
        <x:f>IF(ISNUMBER(SEARCH("; conceptual discrimination; ","; "&amp;H130&amp;"; ")),1,0)</x:f>
        <x:v>0</x:v>
      </x:c>
      <x:c r="Z130" s="9" t="n">
        <x:f>IF(ISNUMBER(SEARCH("; evidence judgment; ","; "&amp;H130&amp;"; ")),1,0)</x:f>
        <x:v>0</x:v>
      </x:c>
      <x:c r="AA130" s="9" t="n">
        <x:f>IF(ISNUMBER(SEARCH("; methodological judgment; ","; "&amp;H130&amp;"; ")),1,0)</x:f>
        <x:v>0</x:v>
      </x:c>
      <x:c r="AB130" s="9" t="n">
        <x:f>IF(ISNUMBER(SEARCH("; argumentative judgment; ","; "&amp;H130&amp;"; ")),1,0)</x:f>
        <x:v>1</x:v>
      </x:c>
      <x:c r="AC130" s="9" t="n">
        <x:f>IF(ISNUMBER(SEARCH("; genre/writing expertise; ","; "&amp;H130&amp;"; ")),1,0)</x:f>
        <x:v>1</x:v>
      </x:c>
      <x:c r="AD130" s="9" t="n">
        <x:f>IF(ISNUMBER(SEARCH("; none; ","; "&amp;H130&amp;"; ")),1,0)</x:f>
        <x:v>0</x:v>
      </x:c>
    </x:row>
    <x:row r="131" ht="92" customHeight="1">
      <x:c r="A131" s="8" t="str">
        <x:v>P4-W2-014</x:v>
      </x:c>
      <x:c r="B131" s="9" t="n">
        <x:v>130</x:v>
      </x:c>
      <x:c r="C131" s="8" t="str">
        <x:v>Writing part 2</x:v>
      </x:c>
      <x:c r="D131" s="8" t="str">
        <x:v>I still do not like it. say along these lines: a human developer may have a largely consistent / DETERMINISMtic coding style and apprach, but when an AI model help in coding, it can have inconsistent coding style / apprach. and what issue this will cause?</x:v>
      </x:c>
      <x:c r="E131" s="8" t="str">
        <x:v>Correction/Challenge</x:v>
      </x:c>
      <x:c r="F131" s="8" t="str">
        <x:v>Redirection; Knowledge injection; Deliberation</x:v>
      </x:c>
      <x:c r="G131" s="8" t="str">
        <x:v>Critical</x:v>
      </x:c>
      <x:c r="H131" s="8" t="str">
        <x:v>conceptual discrimination; argumentative judgment; genre/writing expertise</x:v>
      </x:c>
      <x:c r="I131" s="8" t="str">
        <x:v>Rejects the proposed insight and supplies a human-style-versus-AI-style comparison, asking about practical consequences.</x:v>
      </x:c>
      <x:c r="J131" s="8" t="str">
        <x:v>AI frames variability in style/approach as a maintenance and integration concern.</x:v>
      </x:c>
      <x:c r="K131" s="8" t="str">
        <x:v>W2 p9 L20-p9 L21</x:v>
      </x:c>
      <x:c r="L131" s="8" t="str">
        <x:v>W2 p9 L22-p9 L35</x:v>
      </x:c>
      <x:c r="M131" s="8" t="str"/>
      <x:c r="N131" s="8" t="str">
        <x:v>Visible next AI response</x:v>
      </x:c>
      <x:c r="O131" s="8" t="str">
        <x:v>Consistency of human coding style is a proposed comparison, not an empirically established universal contrast. AI’s endorsement does not validate that premise.</x:v>
      </x:c>
      <x:c r="P131" s="9" t="n">
        <x:f>IF(OR(E131="Delegation",ISNUMBER(SEARCH("; Delegation; ","; "&amp;F131&amp;"; "))),1,0)</x:f>
        <x:v>0</x:v>
      </x:c>
      <x:c r="Q131" s="9" t="n">
        <x:f>IF(OR(E131="Directed delegation",ISNUMBER(SEARCH("; Directed delegation; ","; "&amp;F131&amp;"; "))),1,0)</x:f>
        <x:v>0</x:v>
      </x:c>
      <x:c r="R131" s="9" t="n">
        <x:f>IF(OR(E131="Evaluation",ISNUMBER(SEARCH("; Evaluation; ","; "&amp;F131&amp;"; "))),1,0)</x:f>
        <x:v>0</x:v>
      </x:c>
      <x:c r="S131" s="9" t="n">
        <x:f>IF(OR(E131="Correction/Challenge",ISNUMBER(SEARCH("; Correction/Challenge; ","; "&amp;F131&amp;"; "))),1,0)</x:f>
        <x:v>1</x:v>
      </x:c>
      <x:c r="T131" s="9" t="n">
        <x:f>IF(OR(E131="Redirection",ISNUMBER(SEARCH("; Redirection; ","; "&amp;F131&amp;"; "))),1,0)</x:f>
        <x:v>1</x:v>
      </x:c>
      <x:c r="U131" s="9" t="n">
        <x:f>IF(OR(E131="Knowledge injection",ISNUMBER(SEARCH("; Knowledge injection; ","; "&amp;F131&amp;"; "))),1,0)</x:f>
        <x:v>1</x:v>
      </x:c>
      <x:c r="V131" s="9" t="n">
        <x:f>IF(OR(E131="Selection/Rejection",ISNUMBER(SEARCH("; Selection/Rejection; ","; "&amp;F131&amp;"; "))),1,0)</x:f>
        <x:v>0</x:v>
      </x:c>
      <x:c r="W131" s="9" t="n">
        <x:f>IF(OR(E131="Deliberation",ISNUMBER(SEARCH("; Deliberation; ","; "&amp;F131&amp;"; "))),1,0)</x:f>
        <x:v>1</x:v>
      </x:c>
      <x:c r="X131" s="9" t="n">
        <x:f>IF(ISNUMBER(SEARCH("; domain correction; ","; "&amp;H131&amp;"; ")),1,0)</x:f>
        <x:v>0</x:v>
      </x:c>
      <x:c r="Y131" s="9" t="n">
        <x:f>IF(ISNUMBER(SEARCH("; conceptual discrimination; ","; "&amp;H131&amp;"; ")),1,0)</x:f>
        <x:v>1</x:v>
      </x:c>
      <x:c r="Z131" s="9" t="n">
        <x:f>IF(ISNUMBER(SEARCH("; evidence judgment; ","; "&amp;H131&amp;"; ")),1,0)</x:f>
        <x:v>0</x:v>
      </x:c>
      <x:c r="AA131" s="9" t="n">
        <x:f>IF(ISNUMBER(SEARCH("; methodological judgment; ","; "&amp;H131&amp;"; ")),1,0)</x:f>
        <x:v>0</x:v>
      </x:c>
      <x:c r="AB131" s="9" t="n">
        <x:f>IF(ISNUMBER(SEARCH("; argumentative judgment; ","; "&amp;H131&amp;"; ")),1,0)</x:f>
        <x:v>1</x:v>
      </x:c>
      <x:c r="AC131" s="9" t="n">
        <x:f>IF(ISNUMBER(SEARCH("; genre/writing expertise; ","; "&amp;H131&amp;"; ")),1,0)</x:f>
        <x:v>1</x:v>
      </x:c>
      <x:c r="AD131" s="9" t="n">
        <x:f>IF(ISNUMBER(SEARCH("; none; ","; "&amp;H131&amp;"; ")),1,0)</x:f>
        <x:v>0</x:v>
      </x:c>
    </x:row>
  </x:sheetData>
  <x:conditionalFormatting sqref="N2:N131">
    <x:cfRule type="containsText" dxfId="0" priority="1" operator="containsText" text="No substantive"/>
  </x:conditionalFormatting>
  <x:pageMargins left="0.7" right="0.7" top="0.75" bottom="0.75" header="0.3" footer="0.3"/>
  <x:tableParts count="1">
    <x:tablePart xmlns:r="http://schemas.openxmlformats.org/officeDocument/2006/relationships" r:id="R9f1b2480ce294ee1"/>
  </x:tableParts>
</x:worksheet>
</file>

<file path=xl/worksheets/sheet3.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7" hidden="0" customWidth="1"/>
    <x:col min="2" max="2" width="9" hidden="0" customWidth="1"/>
    <x:col min="3" max="3" width="27" hidden="0" customWidth="1"/>
    <x:col min="4" max="4" width="55" hidden="0" customWidth="1"/>
    <x:col min="5" max="5" width="165" hidden="0" customWidth="1"/>
    <x:col min="6" max="6" width="165" hidden="0" customWidth="1"/>
  </x:cols>
  <x:sheetData>
    <x:row r="1" ht="48" customHeight="1">
      <x:c r="A1" s="7" t="str">
        <x:v>Turn ID</x:v>
      </x:c>
      <x:c r="B1" s="7" t="str">
        <x:v>Sequence</x:v>
      </x:c>
      <x:c r="C1" s="7" t="str">
        <x:v>Prompt provenance</x:v>
      </x:c>
      <x:c r="D1" s="7" t="str">
        <x:v>Attachment / contextual material</x:v>
      </x:c>
      <x:c r="E1" s="7" t="str">
        <x:v>Full human prompt (part 1)</x:v>
      </x:c>
      <x:c r="F1" s="7" t="str">
        <x:v>Prompt continuation (part 2)</x:v>
      </x:c>
    </x:row>
    <x:row r="2" ht="57" customHeight="1">
      <x:c r="A2" s="8" t="str">
        <x:v>P4-PLAN-001</x:v>
      </x:c>
      <x:c r="B2" s="9" t="n">
        <x:v>1</x:v>
      </x:c>
      <x:c r="C2" s="8" t="str">
        <x:v>PLAN p2 L2-p2 L4; EXEC p3 L2-p3 L4</x:v>
      </x:c>
      <x:c r="D2" s="8" t="str"/>
      <x:c r="E2" s="8" t="str">
        <x:v>So you can look at the PDFs that I have uploaded in this project, several papers. For the PhD work of this student, AI for code generation, my idea
is to do an MLR, multi-vocal literature review on the topic. I want to, so three of the important things I want to extract is a research question in
this paper, each paper, independent variables, and dependent variables. Do you understand all this? 1st column is the paper</x:v>
      </x:c>
      <x:c r="F2" s="8" t="str"/>
    </x:row>
    <x:row r="3" ht="109" customHeight="1">
      <x:c r="A3" s="8" t="str">
        <x:v>P4-PLAN-002</x:v>
      </x:c>
      <x:c r="B3" s="9" t="n">
        <x:v>2</x:v>
      </x:c>
      <x:c r="C3" s="8" t="str">
        <x:v>PLAN p5 L18-p5 L21; EXEC p6 L18-p6 L21</x:v>
      </x:c>
      <x:c r="D3" s="8" t="str">
        <x:v>Literature Review-RQs and Metrics.docx CODECO~1.PDF
A quantitative analysis of quality and consistency in AI-generated code.pdf
A Survey on Code Generation with LLM-based Agents.pdf
Assessing the quality of GitHub copilot’s code generation.pdf
Characterizing Developers' Behaviors in LLM-Supported Software Development.pdf</x:v>
      </x:c>
      <x:c r="E3" s="8" t="str">
        <x:v>I like the table structure that you said. Now, I attach some of the PDFs, as your upload featue allows . There are in total 11 papers in my folder,
and I will give you the rest of them in the next prompt. I think not all of them are perhaps directly related, so, but some of them are. So for these
extra columns in theRQ column, put the exact wording of RQs in the paper. Do not change the tone. Use my style, but the extra columns that you
put evaluation method, the dataset and tasks are good, okay, and the study type. So, do the analysis and give me the table results.</x:v>
      </x:c>
      <x:c r="F3" s="8" t="str"/>
    </x:row>
    <x:row r="4" ht="135" customHeight="1">
      <x:c r="A4" s="8" t="str">
        <x:v>P4-PLAN-003</x:v>
      </x:c>
      <x:c r="B4" s="9" t="n">
        <x:v>3</x:v>
      </x:c>
      <x:c r="C4" s="8" t="str">
        <x:v>PLAN p7 L21-p7 L25; EXEC p8 L21-p8 L25</x:v>
      </x:c>
      <x:c r="D4" s="8" t="str">
        <x:v>How Software Engineers Engage with AI-A Pragmatic Workflow.pdf
Codemirage-Hallucinations in code generated by large language models.pdf
Comparative Study of AI Code Generation Tools-Quality Assessment and Performance Analysis.pdf
LLM hallucinations in practical code generation-Phenomena, mechanism, and mitigation.pdf
No need to lift a finger anymore-Assessing the quality of code generation by chatgpt.pdf
SWE-Bench+ Enhanced Coding Benchmark for LLMs.pdf</x:v>
      </x:c>
      <x:c r="E4" s="8" t="str">
        <x:v>"Context / background / mapping study: A Survey on Code Generation with LLM-based Agents" --- yes, I am aware that there are the so-called
secondary studies, and because our paper, our MLR, will be a secondary study, those will be related works. Do not include the secondary studies
in the table, okay? So when you generate it, do not include it. I will discuss it in another section in the paper. Now I give you the rest of the
papers. Again, check each of them to see if they really provide empirical data for our paper. If yes, include them in the table. If not, tell me and
then do not include them in the table.</x:v>
      </x:c>
      <x:c r="F4" s="8" t="str"/>
    </x:row>
    <x:row r="5" ht="70" customHeight="1">
      <x:c r="A5" s="8" t="str">
        <x:v>P4-PLAN-004</x:v>
      </x:c>
      <x:c r="B5" s="9" t="n">
        <x:v>4</x:v>
      </x:c>
      <x:c r="C5" s="8" t="str">
        <x:v>PLAN p11 L4-p11 L7; EXEC p12 L4-p12 L7</x:v>
      </x:c>
      <x:c r="D5" s="8" t="str"/>
      <x:c r="E5" s="8" t="str">
        <x:v>So as you know, the focus of the work is so we should only include the papers that kind of assess the impact of AI for code generation on code
quality, right? So I think some of them may not be strictly in this one. So assess each and every of them to make sure that all of them provide
empirical results on changing a number of independent variables and then assessing their impact on quality and developer productivity,
actually, and code quality. like this paper "SWE-Bench+: Enhanced Coding Benchmark for LLMs"</x:v>
      </x:c>
      <x:c r="F5" s="8" t="str"/>
    </x:row>
    <x:row r="6" ht="96" customHeight="1">
      <x:c r="A6" s="8" t="str">
        <x:v>P4-PLAN-005</x:v>
      </x:c>
      <x:c r="B6" s="9" t="n">
        <x:v>5</x:v>
      </x:c>
      <x:c r="C6" s="8" t="str">
        <x:v>PLAN p15 L1-p15 L6; EXEC p16 L1-p16 L6</x:v>
      </x:c>
      <x:c r="D6" s="8" t="str"/>
      <x:c r="E6" s="8" t="str">
        <x:v>so I exclude from my table the following two papers: SWE-Bench+: Enhanced Coding Benchmark for LLMs;
How Software Engineers Engage with AI: A Pragmatic Workflow
, do you think the others are all directly relevant? also I need one more column, so in the table. do not regenerate the table from scratch, just
give me a table with the paper titles and a column, like a very short summary and final evidence and findings from each paper about, again,
about the scope of my study, which is AI code generation and importance of certain determining factors in it in terms of and on code quality and
developer productivity.</x:v>
      </x:c>
      <x:c r="F6" s="8" t="str"/>
    </x:row>
    <x:row r="7" ht="83" customHeight="1">
      <x:c r="A7" s="8" t="str">
        <x:v>P4-PLAN-006</x:v>
      </x:c>
      <x:c r="B7" s="9" t="n">
        <x:v>6</x:v>
      </x:c>
      <x:c r="C7" s="8" t="str">
        <x:v>PLAN p16 L25-p16 L29; EXEC p17 L25-p17 L29</x:v>
      </x:c>
      <x:c r="D7" s="8" t="str"/>
      <x:c r="E7" s="8" t="str">
        <x:v>Okay, now I want to focus on the dependent variables. I believe I had asked you to extract them, all of them, okay? Although my focus is about
code quality metrics and developer productivity metrics, perhaps you can, so if there are, so please classify, okay? So for dependent variables, I
want three columns. Dependent variables specific to code quality, dependent variables specific to, if there are any in any given paper, specific to
developer productivity, and other, any other dependent variables that do not fall under those two categories. So give a table with two, yeah, with
only paper title and those three new columns.</x:v>
      </x:c>
      <x:c r="F7" s="8" t="str"/>
    </x:row>
    <x:row r="8" ht="48" customHeight="1">
      <x:c r="A8" s="8" t="str">
        <x:v>P4-PLAN-007</x:v>
      </x:c>
      <x:c r="B8" s="9" t="n">
        <x:v>7</x:v>
      </x:c>
      <x:c r="C8" s="8" t="str">
        <x:v>PLAN p18 L13-p18 L13</x:v>
      </x:c>
      <x:c r="D8" s="8" t="str"/>
      <x:c r="E8" s="8" t="str">
        <x:v>for SLR1, give a more catchy title instead of: Impact of AI Code Generation on Software Code Quality Metrics</x:v>
      </x:c>
      <x:c r="F8" s="8" t="str"/>
    </x:row>
    <x:row r="9" ht="57" customHeight="1">
      <x:c r="A9" s="8" t="str">
        <x:v>P4-PLAN-008</x:v>
      </x:c>
      <x:c r="B9" s="9" t="n">
        <x:v>8</x:v>
      </x:c>
      <x:c r="C9" s="8" t="str">
        <x:v>PLAN p19 L11-p19 L13</x:v>
      </x:c>
      <x:c r="D9" s="8" t="str"/>
      <x:c r="E9" s="8" t="str">
        <x:v>By the way, we are not doing game and I also want to say, well, the independent, this is still generic, like how AI code generation shapes quality.
How can we highlight, how can we include the like independent variables or I don't know, call them causation factors or something? also for
after ":", I want to say: Synthesis of Evidence?</x:v>
      </x:c>
      <x:c r="F9" s="8" t="str"/>
    </x:row>
    <x:row r="10" ht="48" customHeight="1">
      <x:c r="A10" s="8" t="str">
        <x:v>P4-PLAN-009</x:v>
      </x:c>
      <x:c r="B10" s="9" t="n">
        <x:v>9</x:v>
      </x:c>
      <x:c r="C10" s="8" t="str">
        <x:v>PLAN p20 L20-p20 L20</x:v>
      </x:c>
      <x:c r="D10" s="8" t="str"/>
      <x:c r="E10" s="8" t="str">
        <x:v>it is NOT Multivocal, it is just research literature</x:v>
      </x:c>
      <x:c r="F10" s="8" t="str"/>
    </x:row>
    <x:row r="11" ht="48" customHeight="1">
      <x:c r="A11" s="8" t="str">
        <x:v>P4-PLAN-010</x:v>
      </x:c>
      <x:c r="B11" s="9" t="n">
        <x:v>10</x:v>
      </x:c>
      <x:c r="C11" s="8" t="str">
        <x:v>PLAN p21 L20-p21 L21</x:v>
      </x:c>
      <x:c r="D11" s="8" t="str"/>
      <x:c r="E11" s="8" t="str">
        <x:v>I choose: Influencing Factors in AI Code Generation and Their Impact on Software Code Quality: A Synthesis of Empirical Evidence, give paper
structure</x:v>
      </x:c>
      <x:c r="F11" s="8" t="str"/>
    </x:row>
    <x:row r="12" ht="213" customHeight="1">
      <x:c r="A12" s="8" t="str">
        <x:v>P4-PLAN-011</x:v>
      </x:c>
      <x:c r="B12" s="9" t="n">
        <x:v>11</x:v>
      </x:c>
      <x:c r="C12" s="8" t="str">
        <x:v>PLAN p26 L23-p26 L37</x:v>
      </x:c>
      <x:c r="D12" s="8" t="str"/>
      <x:c r="E12" s="8" t="str">
        <x:v>* screening * final paper set Include **PRISMA dia**
I choose these RQs: RQ1 — Independent Variables Studied (Influencing Factors)
What independent variables have been investigated in empirical studies evaluating the impact of AI-based code generation on software code
quality?
RQ2 — Dependent Variables (Code Quality Metrics)
What dependent variables and software code quality metrics are used to evaluate AI-generated code?
RQ3 — Evaluation Methods
What empirical evaluation methods are used to assess the quality of AI-generated code?
RQ4 — Datasets and Programming Tasks
What datasets, benchmarks, and programming tasks are used to evaluate AI-generated code?
RQ5 — Reported Evidence (Impact on Code Quality)
What evidence do empirical studies report regarding the impact of AI-based code generation on software code quality?
RQ6 - SHORT PHRASE BELOW ON BELOW:
How AI-human collaobration shall be done to ensure higher-quality code? ----- Also, the SLR will be AI-assisted, as you have in the other chat
window, so you need to make that section more AI-assisted with close researcher inspection and oversight.</x:v>
      </x:c>
      <x:c r="F12" s="8" t="str"/>
    </x:row>
    <x:row r="13" ht="48" customHeight="1">
      <x:c r="A13" s="8" t="str">
        <x:v>P4-PLAN-012</x:v>
      </x:c>
      <x:c r="B13" s="9" t="n">
        <x:v>12</x:v>
      </x:c>
      <x:c r="C13" s="8" t="str">
        <x:v>PLAN p30 L6-p30 L7</x:v>
      </x:c>
      <x:c r="D13" s="8" t="str"/>
      <x:c r="E13" s="8" t="str">
        <x:v>### RQ3 — Evaluation Methods **What empirical evaluation methods are used to assess the quality of AI-generated code?**
make these more precise</x:v>
      </x:c>
      <x:c r="F13" s="8" t="str"/>
    </x:row>
    <x:row r="14" ht="96" customHeight="1">
      <x:c r="A14" s="8" t="str">
        <x:v>P4-PLAN-013</x:v>
      </x:c>
      <x:c r="B14" s="9" t="n">
        <x:v>13</x:v>
      </x:c>
      <x:c r="C14" s="8" t="str">
        <x:v>PLAN p31 L1-p31 L6</x:v>
      </x:c>
      <x:c r="D14" s="8" t="str"/>
      <x:c r="E14" s="8" t="str">
        <x:v>For RQ2, some of the extracted data and responses would be the following. How can we make the RQ3 itself more precise considering these? ----
Evaluation method
DevGPT mining; manual re-prompting; metric computation with Radon; comparative quantitative analysis
Manual code generation; execution/testing; unit-test-based correctness; efficiency comparison with canonical solutions
User study; screen recording; qualitative coding of activities; Markov activity transition modeling
Controlled experiment; repeated generations; JUnit testing; Checkstyle; descriptive statistics and Mann–Whitney U test</x:v>
      </x:c>
      <x:c r="F14" s="8" t="str"/>
    </x:row>
    <x:row r="15" ht="48" customHeight="1">
      <x:c r="A15" s="8" t="str">
        <x:v>P4-PLAN-014</x:v>
      </x:c>
      <x:c r="B15" s="9" t="n">
        <x:v>14</x:v>
      </x:c>
      <x:c r="C15" s="8" t="str">
        <x:v>PLAN p32 L19-p32 L19</x:v>
      </x:c>
      <x:c r="D15" s="8" t="str"/>
      <x:c r="E15" s="8" t="str">
        <x:v>I want to have a single result section in which I answer all the six RQs.</x:v>
      </x:c>
      <x:c r="F15" s="8" t="str"/>
    </x:row>
    <x:row r="16" ht="48" customHeight="1">
      <x:c r="A16" s="8" t="str">
        <x:v>P4-PLAN-015</x:v>
      </x:c>
      <x:c r="B16" s="9" t="n">
        <x:v>15</x:v>
      </x:c>
      <x:c r="C16" s="8" t="str">
        <x:v>PLAN p36 L19-p36 L20</x:v>
      </x:c>
      <x:c r="D16" s="8" t="str"/>
      <x:c r="E16" s="8" t="str">
        <x:v>RQ6 — AI–Human Collaboration Practices
Reward is to say that AI-human collaboration best practices to get higher quality code. Make it shortest.</x:v>
      </x:c>
      <x:c r="F16" s="8" t="str"/>
    </x:row>
    <x:row r="17" ht="48" customHeight="1">
      <x:c r="A17" s="8" t="str">
        <x:v>P4-EXEC-007</x:v>
      </x:c>
      <x:c r="B17" s="9" t="n">
        <x:v>16</x:v>
      </x:c>
      <x:c r="C17" s="8" t="str">
        <x:v>EXEC p19 L13-p19 L13</x:v>
      </x:c>
      <x:c r="D17" s="8" t="str"/>
      <x:c r="E17" s="8" t="str">
        <x:v>test case</x:v>
      </x:c>
      <x:c r="F17" s="8" t="str"/>
    </x:row>
    <x:row r="18" ht="122" customHeight="1">
      <x:c r="A18" s="8" t="str">
        <x:v>P4-EXEC-008</x:v>
      </x:c>
      <x:c r="B18" s="9" t="n">
        <x:v>17</x:v>
      </x:c>
      <x:c r="C18" s="8" t="str">
        <x:v>EXEC p19 L28-p19 L35</x:v>
      </x:c>
      <x:c r="D18" s="8" t="str"/>
      <x:c r="E18" s="8" t="str">
        <x:v>Okay. So you see that so far in my small paper pool, there are no papers on the developer productivity as deependent varaible. By the way, I'm
narrowing the scope from MLR to a regular SLR because I only want scientific papers. Now I want to use your agent deep research mode
(agentic) so that you can spend a few minutes to search in academic databases to expand my paper pool and gather ALL papers in this specific
area. No gray literature, only academic papers from academic databases. And your scope and search keywords should be the type of studies that
we have looked at, the paper that have only considered AI for code generation, and they have empirically measured: any form of independent
variable, you know, change of programming language or AI model type; or prompts variability and prompt engineering on these specific
dependent variables: code quality metrics (like the one that we have in our small pool already) or developer productivity and developer efficiency
and effectiveness, or even developer experience. did you exactly get the scope that I am looking for?</x:v>
      </x:c>
      <x:c r="F18" s="8" t="str"/>
    </x:row>
    <x:row r="19" ht="57" customHeight="1">
      <x:c r="A19" s="8" t="str">
        <x:v>P4-EXEC-009</x:v>
      </x:c>
      <x:c r="B19" s="9" t="n">
        <x:v>18</x:v>
      </x:c>
      <x:c r="C19" s="8" t="str">
        <x:v>EXEC p20 L36-p20 L38</x:v>
      </x:c>
      <x:c r="D19" s="8" t="str"/>
      <x:c r="E19" s="8" t="str">
        <x:v>Let's, okay, I have a feeling that I want to now to make these two different SLRs to make them focused, right? So let's do the, do you agree that
it's a good idea that in terms of dependent variables, I want to do one SLR on the dependent variable of code quality metrics, any metrics, and
then another SLR, SLR number two, on impacts of, you know, any factor of AI usage on developers' efficiency and experience.</x:v>
      </x:c>
      <x:c r="F19" s="8" t="str"/>
    </x:row>
    <x:row r="20" ht="96" customHeight="1">
      <x:c r="A20" s="8" t="str">
        <x:v>P4-EXEC-010</x:v>
      </x:c>
      <x:c r="B20" s="9" t="n">
        <x:v>19</x:v>
      </x:c>
      <x:c r="C20" s="8" t="str">
        <x:v>EXEC p24 L8-p24 L13</x:v>
      </x:c>
      <x:c r="D20" s="8" t="str"/>
      <x:c r="E20" s="8" t="str">
        <x:v>Okay, let's start from SLR 1. I want you to get ready and do the search for the pool of primary studies, okay? So searching and ensuring that we
don't miss anything is important. Take your time, you can take as much time as you want. I'm going to leave your process to run for 10 minutes,
20 minutes. And also, of course, in the paper, I'm going to report on the experience that you and I have had, so on the so-called AI-assisted SLR.
Because I, as the human, I am, as a human researcher, I am leading you. I'm managing you to do this SLR, okay? So search for primary studies
for SLR 1. So the things that I am searching for, or perhaps let's finalize the RQs for research for SLR 1 so that you and I know for what we are
going to gather while you are searching for those information.</x:v>
      </x:c>
      <x:c r="F20" s="8" t="str"/>
    </x:row>
    <x:row r="21" ht="48" customHeight="1">
      <x:c r="A21" s="8" t="str">
        <x:v>P4-EXEC-011</x:v>
      </x:c>
      <x:c r="B21" s="9" t="n">
        <x:v>20</x:v>
      </x:c>
      <x:c r="C21" s="8" t="str">
        <x:v>EXEC p24 L15-p24 L16</x:v>
      </x:c>
      <x:c r="D21" s="8" t="str"/>
      <x:c r="E21" s="8" t="str">
        <x:v>Okay, let's start from SLR 1. let's finalize the RQs for research for SLR 1 so that you and I know for what we are going to gather while you are
searching for those information.</x:v>
      </x:c>
      <x:c r="F21" s="8" t="str"/>
    </x:row>
    <x:row r="22" ht="96" customHeight="1">
      <x:c r="A22" s="8" t="str">
        <x:v>P4-EXEC-012</x:v>
      </x:c>
      <x:c r="B22" s="9" t="n">
        <x:v>21</x:v>
      </x:c>
      <x:c r="C22" s="8" t="str">
        <x:v>EXEC p27 L12-p27 L17</x:v>
      </x:c>
      <x:c r="D22" s="8" t="str"/>
      <x:c r="E22" s="8" t="str">
        <x:v>I want RQs be: RQ1 — Independent variables studied
RQ2 — dependent variables studied (Code quality metrics used)
RQ3 — Impact on code quality
RQ4 — Evaluation methods
RQ5 — Dataset / tasks
RQ6 — Empirical evidence provided in each study</x:v>
      </x:c>
      <x:c r="F22" s="8" t="str"/>
    </x:row>
    <x:row r="23" ht="57" customHeight="1">
      <x:c r="A23" s="8" t="str">
        <x:v>P4-EXEC-013</x:v>
      </x:c>
      <x:c r="B23" s="9" t="n">
        <x:v>22</x:v>
      </x:c>
      <x:c r="C23" s="8" t="str">
        <x:v>EXEC p29 L35-p29 L37</x:v>
      </x:c>
      <x:c r="D23" s="8" t="str"/>
      <x:c r="E23" s="8" t="str">
        <x:v>do these two have overlap? RQ3 — Impact on code quality
RQ3 — Impact on code quality
RQ6 — Empirical Evidence Provided</x:v>
      </x:c>
      <x:c r="F23" s="8" t="str"/>
    </x:row>
    <x:row r="24" ht="96" customHeight="1">
      <x:c r="A24" s="8" t="str">
        <x:v>P4-EXEC-014</x:v>
      </x:c>
      <x:c r="B24" s="9" t="n">
        <x:v>23</x:v>
      </x:c>
      <x:c r="C24" s="8" t="str">
        <x:v>EXEC p31 L16-p31 L21</x:v>
      </x:c>
      <x:c r="D24" s="8" t="str"/>
      <x:c r="E24" s="8" t="str">
        <x:v>In this set, RQ6 feels unnecessary because if we have the RQ2, we have the metrics, obviously they are going to report those quantitative values
for those metrics. So RQ6 is really the data of RQ2. So drop RQ6, and I want to keep the followings. RQ1 — Independent variables studied
RQ2 — Dependent variables (code quality metrics)
RQ3 — Evaluation methods
RQ4 — Datasets and programming tasks used
RQ5 — Reported evidence (impact on code quality)</x:v>
      </x:c>
      <x:c r="F24" s="8" t="str"/>
    </x:row>
    <x:row r="25" ht="83" customHeight="1">
      <x:c r="A25" s="8" t="str">
        <x:v>P4-EXEC-015</x:v>
      </x:c>
      <x:c r="B25" s="9" t="n">
        <x:v>24</x:v>
      </x:c>
      <x:c r="C25" s="8" t="str">
        <x:v>EXEC p33 L33-p33 L37</x:v>
      </x:c>
      <x:c r="D25" s="8" t="str"/>
      <x:c r="E25" s="8" t="str">
        <x:v>Okay, I think now you can get ready to start the SLR execution, right? So I want you to search, take your time, you can spend 20 or 30 minutes, as
much time as you want. I'm gonna leave it. And remember that in the paper, I'm gonna include a meta section about how I managed your work
to do AI-assisted SLR, okay? You have the five RQs, you know the scope, you know the inclusion-exclusion criteria. Tell them to me so that I verify
what you are gonna do, and then you can start your deep research agentic mode to search for academic papers in this area and extract findings
for all those five research questions.</x:v>
      </x:c>
      <x:c r="F25" s="8" t="str"/>
    </x:row>
    <x:row r="26" ht="48" customHeight="1">
      <x:c r="A26" s="8" t="str">
        <x:v>P4-EXEC-016</x:v>
      </x:c>
      <x:c r="B26" s="9" t="n">
        <x:v>25</x:v>
      </x:c>
      <x:c r="C26" s="8" t="str">
        <x:v>EXEC p36 L39-p36 L39</x:v>
      </x:c>
      <x:c r="D26" s="8" t="str"/>
      <x:c r="E26" s="8" t="str">
        <x:v>start</x:v>
      </x:c>
      <x:c r="F26" s="8" t="str"/>
    </x:row>
    <x:row r="27" ht="48" customHeight="1">
      <x:c r="A27" s="8" t="str">
        <x:v>P4-EXEC-017</x:v>
      </x:c>
      <x:c r="B27" s="9" t="n">
        <x:v>26</x:v>
      </x:c>
      <x:c r="C27" s="8" t="str">
        <x:v>EXEC p37 L2-p37 L2</x:v>
      </x:c>
      <x:c r="D27" s="8" t="str"/>
      <x:c r="E27" s="8" t="str">
        <x:v>so you got 24 citations (papers) in the pool, right?</x:v>
      </x:c>
      <x:c r="F27" s="8" t="str"/>
    </x:row>
    <x:row r="28" ht="96" customHeight="1">
      <x:c r="A28" s="8" t="str">
        <x:v>P4-EXEC-018</x:v>
      </x:c>
      <x:c r="B28" s="9" t="n">
        <x:v>27</x:v>
      </x:c>
      <x:c r="C28" s="8" t="str">
        <x:v>EXEC p39 L21-p39 L26</x:v>
      </x:c>
      <x:c r="D28" s="8" t="str">
        <x:v>Paper1-SLR1-AI usage Impact on Quality.docx
Is GitHub’s Copilot as Bad as Humans at Introducing Vulnerabilities in Code.pdf
AI Writes, We Analyze-The ChatGPT Python Code Saga.pdf</x:v>
      </x:c>
      <x:c r="E28" s="8" t="str">
        <x:v>so let's continue step by step because I need to do a careful oversight and inspection of your work. So I'm working on the paper Word file, okay?
look at the Word file attached. obviously, it's not ready yet . Now the paper Word file only has the structure and I'm shaping it as I progress. And I
will ask for your help to write it, okay? Just the structure is there. In your list of papers that you gave me, in the Word file that you generated, the
list of papers were there. For two of them, I saw that you were not able to access their PDF full text because they were behind paywall or
something. So I found and downloaded their PDFs; see them attached. You don't have to regenerate that table of classification yet, but just keep
these PDFs, because I'm going to ask you later when I give you a few more papers to regenerate that table, okay?</x:v>
      </x:c>
      <x:c r="F28" s="8" t="str"/>
    </x:row>
    <x:row r="29" ht="161" customHeight="1">
      <x:c r="A29" s="8" t="str">
        <x:v>P4-EXEC-019</x:v>
      </x:c>
      <x:c r="B29" s="9" t="n">
        <x:v>28</x:v>
      </x:c>
      <x:c r="C29" s="8" t="str">
        <x:v>EXEC p41 L23-p41 L33</x:v>
      </x:c>
      <x:c r="D29" s="8" t="str">
        <x:v>LLM hallucinations in practical code generation-Phenomena, mechanism, and mitigation.pdf
Studying the quality of source code generated by different ....pdf
Evaluating the code quality of ai-assisted code generation tools....pdf</x:v>
      </x:c>
      <x:c r="E29" s="8" t="str">
        <x:v>To oversee your SLR work, I have been doing my own Google Scholar search, and apparently, you have not found a number of papers, in your
search. I have found them, and I provide you with their PDFs. Check to see if they pass the inclusion criteria and whether they fit the scope of our
paper. I think they should. Again, don't regenerate that large classification table, but just keep these additional papers in your pool, if each of
them pass the inclusion test.
-----
Studying the quality of source code generated by different ai generative engines: An empirical evaluation
-----
Evaluating the code quality of ai-assisted code generation tools: An empirical study on github copilot, amazon codewhisperer, and chatgpt
-----
LLM hallucinations in practical code generation-Phenomena, mechanism, and mitigation
------------ Any issues in my activities so far?</x:v>
      </x:c>
      <x:c r="F29" s="8" t="str"/>
    </x:row>
    <x:row r="30" ht="330" customHeight="1">
      <x:c r="A30" s="8" t="str">
        <x:v>P4-EXEC-020</x:v>
      </x:c>
      <x:c r="B30" s="9" t="n">
        <x:v>29</x:v>
      </x:c>
      <x:c r="C30" s="8" t="str">
        <x:v>EXEC p45 L19-p45 L42</x:v>
      </x:c>
      <x:c r="D30" s="8" t="str"/>
      <x:c r="E30" s="8" t="str">
        <x:v>We also need to be careful about the number of papers in the pool so far. We both need to be in full synch. In the pool (Excel file) that I have, I
have 21 papers; I paste the list below. Check the list with the list in your memory, and tell me the outcome. Because either the list in your
memory is not up to date, or my list below is not up to date. Here are the papers that I have in my list. ------------- A Quantitative Analysis of Quality
and Consistency in AI-generated Code
AI Writes, We Analyze: The ChatGPT Python Code Saga
An Empirical Evaluation of GitHub Copilot’s Code Suggestions
Assessing and Analyzing the Correctness of GitHub Copilot’s Code Suggestions
Assessing the Quality of GitHub Copilot’s Code Generation
Choose Your Programming Copilot: A Comparison of Copilot vs Genetic Programming
Discrete Prompt Optimization Using Genetic Algorithm for Secure Python Code Generation
Do Prompt Patterns Affect Code Quality? A First Empirical Assessment of ChatGPT-Generated Code
Do Users Write More Insecure Code with AI Assistants?
Don’t Settle for the First! How Many Copilot Solutions Should a Developer Consider?
GitHub Copilot AI Pair Programmer: Asset or Liability?
Is GitHub’s Copilot as Bad as Humans at Introducing Vulnerabilities in Code?
LLM-Based Test-Driven Interactive Code Generation: User Study and Empirical Evaluation
No Need to Lift a Finger Anymore: Assessing Code Generation by ChatGPT
On the Robustness of Code Generation Techniques: Empirical Study on Copilot
Quality Assessment of ChatGPT Generated Code and their Use by Developers
Refining ChatGPT-Generated Code: Characterizing and Mitigating Code Quality Issues
Security Weaknesses of Copilot-Generated Code in GitHub Projects: An Empirical Study
Studying the quality of source code generated by different ai generative engines: An empirical evaluation
Evaluating the code quality of ai-assisted code generation tools: An empirical study on github copilot, amazon codewhisperer, and chatgpt
LLM hallucinations in practical code generation-Phenomena, mechanism, and mitigation</x:v>
      </x:c>
      <x:c r="F30" s="8" t="str"/>
    </x:row>
    <x:row r="31" ht="96" customHeight="1">
      <x:c r="A31" s="8" t="str">
        <x:v>P4-EXEC-021</x:v>
      </x:c>
      <x:c r="B31" s="9" t="n">
        <x:v>30</x:v>
      </x:c>
      <x:c r="C31" s="8" t="str">
        <x:v>EXEC p48 L22-p48 L26</x:v>
      </x:c>
      <x:c r="D31" s="8" t="str"/>
      <x:c r="E31" s="8" t="str">
        <x:v>| Stage | Papers | | --- | --- | | Initial search | 200–500 | | After screening | 30–60 | | Final SLR set | 15–30 | Your **21 candidate studies** are perfectly reasonable.
I do not want you to comment on whether the "size" of our pool of papers is reasonable or not. It's about precision. Here you have said initial
search between 200 and 500 papers, and after screening: 30–60 papers. I don't like ranges for those phases. I want "specific" counts and exact
precision. BTW, I looked in-depth into the paper "LLM-Based Test-Driven Interactive Code Generation: User Study and Empirical Evaluation", and
it is out of scope (I excluded it)</x:v>
      </x:c>
      <x:c r="F31" s="8" t="str"/>
    </x:row>
    <x:row r="32" ht="83" customHeight="1">
      <x:c r="A32" s="8" t="str">
        <x:v>P4-EXEC-022</x:v>
      </x:c>
      <x:c r="B32" s="9" t="n">
        <x:v>31</x:v>
      </x:c>
      <x:c r="C32" s="8" t="str">
        <x:v>EXEC p50 L11-p50 L13</x:v>
      </x:c>
      <x:c r="D32" s="8" t="str">
        <x:v>Refining ChatGPT-Generated Code-Characterizing and ....pdf
Assessing the Quality and Security of AI-Generated ....pdf
Assessing_the_Performance_of_AI-Generated_Code_A_Case_.pdf
Human-written vs. ai-generated code-A large-scale....pdf QUALIT~1.PDF</x:v>
      </x:c>
      <x:c r="E32" s="8" t="str">
        <x:v>During my manual searches in Google Scholar, I also came across these five candidate papers. I haven't looked inside them, but their titles at
least look possibly relevant. I want you to check them against our inclusion criteria and tell me whether we should addt hem to the pool or
exclude them.</x:v>
      </x:c>
      <x:c r="F32" s="8" t="str"/>
    </x:row>
    <x:row r="33" ht="48" customHeight="1">
      <x:c r="A33" s="8" t="str">
        <x:v>P4-EXEC-023</x:v>
      </x:c>
      <x:c r="B33" s="9" t="n">
        <x:v>32</x:v>
      </x:c>
      <x:c r="C33" s="8" t="str">
        <x:v>EXEC p53 L1-p53 L2</x:v>
      </x:c>
      <x:c r="D33" s="8" t="str"/>
      <x:c r="E33" s="8" t="str">
        <x:v>For those four that you suggested to include, Can you tell me, can you give a table of their independent and dependent variables? Because I
need to still verify if their independent variables are relevant to our scope.</x:v>
      </x:c>
      <x:c r="F33" s="8" t="str"/>
    </x:row>
    <x:row r="34" ht="57" customHeight="1">
      <x:c r="A34" s="8" t="str">
        <x:v>P4-EXEC-024</x:v>
      </x:c>
      <x:c r="B34" s="9" t="n">
        <x:v>33</x:v>
      </x:c>
      <x:c r="C34" s="8" t="str">
        <x:v>EXEC p54 L18-p54 L20</x:v>
      </x:c>
      <x:c r="D34" s="8" t="str"/>
      <x:c r="E34" s="8" t="str">
        <x:v>• Code author type (Human vs LLM) • AI model type (ChatGPT, DeepSeek-Coder, Qwen-Coder) • Programming language (Python vs Java)
For independent variables like that that you have extracted, are they explicitly mentioned as independent variables, I mean, in their RFQs? Do
they conduct such treatment and measure empirical data to differentiate or to analyze the variations of programming language, for example?</x:v>
      </x:c>
      <x:c r="F34" s="8" t="str"/>
    </x:row>
    <x:row r="35" ht="343" customHeight="1">
      <x:c r="A35" s="8" t="str">
        <x:v>P4-EXEC-025</x:v>
      </x:c>
      <x:c r="B35" s="9" t="n">
        <x:v>34</x:v>
      </x:c>
      <x:c r="C35" s="8" t="str">
        <x:v>EXEC p56 L33-p57 L14</x:v>
      </x:c>
      <x:c r="D35" s="8" t="str"/>
      <x:c r="E35" s="8" t="str">
        <x:v>So the current candidate paper pool has 24 papers, the following. Can you tell me which PDFs you have and which PDFs of them you don't have
so I provide to you?----------------- A Quantitative Analysis of Quality and Consistency in AI-generated Code
AI Writes, We Analyze: The ChatGPT Python Code Saga
An Empirical Evaluation of GitHub Copilot’s Code Suggestions
Assessing and Analyzing the Correctness of GitHub Copilot’s Code Suggestions
Assessing the Quality and Security of AI-Generated Code: A Quantitative Analysis
Assessing the Quality of GitHub Copilot’s Code Generation
Choose Your Programming Copilot: A Comparison of Copilot vs Genetic Programming
Discrete Prompt Optimization Using Genetic Algorithm for Secure Python Code Generation
Do Prompt Patterns Affect Code Quality? A First Empirical Assessment of ChatGPT-Generated Code
Do Users Write More Insecure Code with AI Assistants?
Don’t Settle for the First! How Many Copilot Solutions Should a Developer Consider?
Evaluating the code quality of ai-assisted code generation tools: An empirical study on github copilot, amazon codewhisperer, and chatgpt
GitHub Copilot AI Pair Programmer: Asset or Liability?
Human-written vs. ai-generated code: A large-scale study of defects, vulnerabilities, and complexity
Is GitHub’s Copilot as Bad as Humans at Introducing Vulnerabilities in Code?
LLM hallucinations in practical code generation-Phenomena, mechanism, and mitigation
No Need to Lift a Finger Anymore: Assessing Code Generation by ChatGPT
On the Robustness of Code Generation Techniques: Empirical Study on Copilot
Quality Assessment of ChatGPT Generated Code and their Use by Developers
Quality Assessment of ChatGPT Generated Code and their Use by Developers
Refining ChatGPT-Generated Code: Characterizing and Mitigating Code Quality Issues
Refining chatgpt-generated code: Characterizing and mitigating code quality issues
Security Weaknesses of Copilot-Generated Code in GitHub Projects: An Empirical Study
Studying the quality of source code generated by different ai generative engines: An empirical evaluation</x:v>
      </x:c>
      <x:c r="F35" s="8" t="str"/>
    </x:row>
    <x:row r="36" ht="213" customHeight="1">
      <x:c r="A36" s="8" t="str">
        <x:v>P4-EXEC-026</x:v>
      </x:c>
      <x:c r="B36" s="9" t="n">
        <x:v>35</x:v>
      </x:c>
      <x:c r="C36" s="8" t="str">
        <x:v>EXEC p58 L39-p58 L40</x:v>
      </x:c>
      <x:c r="D36" s="8" t="str">
        <x:v>Discrete Prompt Optimization Using Genetic Algorithm for Secure Python Code Generation.pdf DOPROM~1.PDF
Do Users Write More Insecure Code with AI Assistants.pdf
An Empirical Evaluation of GitHub Copilot’s Code Suggestions.pdf
Assessing and Analyzing the Correctness of GitHub Copilot’s Code Suggestions.pdf
Assessing the Quality and Security of AI-Generated ....pdf
Choose Your Programming Copilot-a Comparison of Copilot vs Genetic Programming.pdf
Security Weaknesses of Copilot-Generated Code in GitHub Projects-An Empirical St.pdf
Don’t Settle for the First-How Many Copilot Solutions Should a Developer Consider.pdf
GitHub Copilot AI Pair Programmer-Asset or Liability.pdf
On the Robustness of Code Generation Techniques- an Empirical Study on Copilot.pdf</x:v>
      </x:c>
      <x:c r="E36" s="8" t="str">
        <x:v>Okay, here are the PDFs that you said you don't have them. The pool size now should be 22, right? And also tell me if you have all the PDFs now
in your workspace.</x:v>
      </x:c>
      <x:c r="F36" s="8" t="str"/>
    </x:row>
    <x:row r="37" ht="57" customHeight="1">
      <x:c r="A37" s="8" t="str">
        <x:v>P4-EXEC-027</x:v>
      </x:c>
      <x:c r="B37" s="9" t="n">
        <x:v>36</x:v>
      </x:c>
      <x:c r="C37" s="8" t="str">
        <x:v>EXEC p60 L7-p60 L7</x:v>
      </x:c>
      <x:c r="D37" s="8" t="str">
        <x:v>Quality Assessment of ChatGPT Generated Code and their Use by Developers.pdf
Assessing the quality of GitHub copilot’s code generation.pdf</x:v>
      </x:c>
      <x:c r="E37" s="8" t="str">
        <x:v>and consider these two PDFs. all complete now?</x:v>
      </x:c>
      <x:c r="F37" s="8" t="str"/>
    </x:row>
    <x:row r="38" ht="57" customHeight="1">
      <x:c r="A38" s="8" t="str">
        <x:v>P4-EXEC-028</x:v>
      </x:c>
      <x:c r="B38" s="9" t="n">
        <x:v>37</x:v>
      </x:c>
      <x:c r="C38" s="8" t="str">
        <x:v>EXEC p61 L8-p61 L10</x:v>
      </x:c>
      <x:c r="D38" s="8" t="str"/>
      <x:c r="E38" s="8" t="str">
        <x:v>Now I want you to do, so we have 22 candidate papers. Now I want you to do the final test of inclusion-exclusion criteria on these 22. Just give
me a table showing whether each paper passes the inclusion crtieria, and also, whether the paper shall not meet the exclusion criteria to be
included, right? So do that and give me a table.</x:v>
      </x:c>
      <x:c r="F38" s="8" t="str"/>
    </x:row>
    <x:row r="39" ht="48" customHeight="1">
      <x:c r="A39" s="8" t="str">
        <x:v>P4-EXEC-029</x:v>
      </x:c>
      <x:c r="B39" s="9" t="n">
        <x:v>38</x:v>
      </x:c>
      <x:c r="C39" s="8" t="str">
        <x:v>EXEC p62 L32-p62 L32</x:v>
      </x:c>
      <x:c r="D39" s="8" t="str"/>
      <x:c r="E39" s="8" t="str">
        <x:v>generate the PRISMA flow numbers</x:v>
      </x:c>
      <x:c r="F39" s="8" t="str"/>
    </x:row>
    <x:row r="40" ht="187" customHeight="1">
      <x:c r="A40" s="8" t="str">
        <x:v>P4-EXEC-030</x:v>
      </x:c>
      <x:c r="B40" s="9" t="n">
        <x:v>39</x:v>
      </x:c>
      <x:c r="C40" s="8" t="str">
        <x:v>EXEC p64 L10-p64 L22</x:v>
      </x:c>
      <x:c r="D40" s="8" t="str"/>
      <x:c r="E40" s="8" t="str">
        <x:v>Okay, we (you and I) have the 22 papers PDFs and also the list of them. We are both fully synch'ed. Now we are ready to re-extract the data and
evidence from the papers, since our pool has changed sine the initial raw version of the pool. For each paper, I want the following items.
Generate / synthesize a table with these columns:
Publication year
RQs in the paper (verbatim if present; otherwise objective statement)
RQ1-Independent variables studied (Influencing Factors)
RQ2-Dependent variables (code-quality metrics)
RQ3-Types of Evaluation Methods
RQ4-Datasets and Programming Tasks
RQ5-Reported Empirical Evidence (Impact on Code Quality)
RQ6: Reported AI–Human Collaboration Best Practices (if any)
Note that compared to our initial round of data extraction, I have only a new RQ: RQ6: Reported AI–Human Collaboration Best Practices (if any in
a given paper), any best practices for AI-human collaboration to get the highest quality code</x:v>
      </x:c>
      <x:c r="F40" s="8" t="str"/>
    </x:row>
    <x:row r="41" ht="96" customHeight="1">
      <x:c r="A41" s="8" t="str">
        <x:v>P4-EXEC-031</x:v>
      </x:c>
      <x:c r="B41" s="9" t="n">
        <x:v>40</x:v>
      </x:c>
      <x:c r="C41" s="8" t="str">
        <x:v>EXEC p68 L9-p68 L14</x:v>
      </x:c>
      <x:c r="D41" s="8" t="str"/>
      <x:c r="E41" s="8" t="str">
        <x:v>I now ask for a refinement. Do not regenerate the entire table, but for the column of list of RQs in each paper, I want to know whether the RQs
were explicitly mentioned in the paper or whether you synthesized them by looking at the objective of the paper. Because for some of them, I
can see that the wording of RQs are not in full sentences. give me that column of RQs plus the paper title. So two columns in the table that you
will generate. Just in the RQ column, say whether it was explicitly mentioned or whether you synthesized them, worded them yourself based on
the paper. Note, you don't have to go to the internet to search for papers, because I have given you all the PDFs of the papers in the workspace.
No need to search on the internet for anything.</x:v>
      </x:c>
      <x:c r="F41" s="8" t="str"/>
    </x:row>
    <x:row r="42" ht="57" customHeight="1">
      <x:c r="A42" s="8" t="str">
        <x:v>P4-EXEC-032</x:v>
      </x:c>
      <x:c r="B42" s="9" t="n">
        <x:v>41</x:v>
      </x:c>
      <x:c r="C42" s="8" t="str">
        <x:v>EXEC p69 L23-p69 L25</x:v>
      </x:c>
      <x:c r="D42" s="8" t="str"/>
      <x:c r="E42" s="8" t="str">
        <x:v>Generate a table: column number one =the list of papers, column number two = list of RQs in each paper. Make sure the RQs have proper
sentences, okay? For RQs of each paper in the table, I don't want short phrases, I want proper question sentences as appeared in the papers. Do
not hallucinate, just give the exact wording of the question sentence form.</x:v>
      </x:c>
      <x:c r="F42" s="8" t="str"/>
    </x:row>
    <x:row r="43" ht="122" customHeight="1">
      <x:c r="A43" s="8" t="str">
        <x:v>P4-EXEC-033</x:v>
      </x:c>
      <x:c r="B43" s="9" t="n">
        <x:v>42</x:v>
      </x:c>
      <x:c r="C43" s="8" t="str">
        <x:v>EXEC p71 L6-p71 L13</x:v>
      </x:c>
      <x:c r="D43" s="8" t="str">
        <x:v>Pool of Primary Studies and Extracted Data.xlsx</x:v>
      </x:c>
      <x:c r="E43" s="8" t="str">
        <x:v>OK, now we want to start doing the synthesis of evidence, for the study's research questions RQ1..6. in terms of the pool of primary studies, you
should have them in your memory and context files and the PDF files in your context. verify that. And I also give you the Excel file that I have,
and it's pretty much what you had given. I've just done some cleanup of writing. It's important that in column 1, I have added P1 until P22. those
are the primary key or identifiers of primary studies. So when we are going to generate text for the paper, our SLR paper, we need to explicitly
refer to these IDs. for example, when we will say certain and certain paper have proposed, for example, certain independent variables, then we
need to refer to those primary studies, using IDs: P1 to P22. So make sure you don't make any error and any mistakes. So do you fully
understand what I said and do you fully understand the Excel file? And do you have the PDFs? Don't do any searches on the internet for the
papers, because I gave you all the PDFs already.</x:v>
      </x:c>
      <x:c r="F43" s="8" t="str"/>
    </x:row>
    <x:row r="44" ht="83" customHeight="1">
      <x:c r="A44" s="8" t="str">
        <x:v>P4-EXEC-034</x:v>
      </x:c>
      <x:c r="B44" s="9" t="n">
        <x:v>43</x:v>
      </x:c>
      <x:c r="C44" s="8" t="str">
        <x:v>EXEC p72 L38-p73 L2</x:v>
      </x:c>
      <x:c r="D44" s="8" t="str"/>
      <x:c r="E44" s="8" t="str">
        <x:v>to add to 4.2.4 Prompt Engineering , Give me a paragraph like in a meta level related to my last prompt. For example, I told you to be ready for
the data extraction and synthesis of evidence, and I told you not to do internet searches, and I ensured that you fully understand what we
agreed on. Is there a name for this kind of, let's say, synchronization check between human and AI in the prompt engineering best practices? Say
that the researchers found by experience that before doing any form of major analysis, they have to clarify with the AI engine yourself about
those kind of things. Don't do extra research just to check if they have the PDF and all of that. So give me a paragraph.</x:v>
      </x:c>
      <x:c r="F44" s="8" t="str"/>
    </x:row>
    <x:row r="45" ht="48" customHeight="1">
      <x:c r="A45" s="8" t="str">
        <x:v>P4-EXEC-035</x:v>
      </x:c>
      <x:c r="B45" s="9" t="n">
        <x:v>44</x:v>
      </x:c>
      <x:c r="C45" s="8" t="str">
        <x:v>EXEC p73 L18-p73 L18</x:v>
      </x:c>
      <x:c r="D45" s="8" t="str"/>
      <x:c r="E45" s="8" t="str">
        <x:v>Is there a name for the above heuristic? Is there any established term?</x:v>
      </x:c>
      <x:c r="F45" s="8" t="str"/>
    </x:row>
    <x:row r="46" ht="48" customHeight="1">
      <x:c r="A46" s="8" t="str">
        <x:v>P4-EXEC-036</x:v>
      </x:c>
      <x:c r="B46" s="9" t="n">
        <x:v>45</x:v>
      </x:c>
      <x:c r="C46" s="8" t="str">
        <x:v>EXEC p74 L15-p74 L16</x:v>
      </x:c>
      <x:c r="D46" s="8" t="str"/>
      <x:c r="E46" s="8" t="str">
        <x:v>give a short paragraph and refer to the above four and say that what we did followed the above heuristics and principles that are more broadly
established in the AI community.</x:v>
      </x:c>
      <x:c r="F46" s="8" t="str"/>
    </x:row>
    <x:row r="47" ht="343" customHeight="1">
      <x:c r="A47" s="8" t="str">
        <x:v>P4-EXEC-037</x:v>
      </x:c>
      <x:c r="B47" s="9" t="n">
        <x:v>46</x:v>
      </x:c>
      <x:c r="C47" s="8" t="str">
        <x:v>EXEC p74 L24-p74 L49</x:v>
      </x:c>
      <x:c r="D47" s="8" t="str"/>
      <x:c r="E47" s="8" t="str">
        <x:v>give 5.1 RQ1: Independent Variables Studies (Influencing Factors). cite ~ 10 of the papers: P1-P22. do not hullicinate. read from paper PDFs if
needed (you have them, do not search for them on internet). hints:
What independent variables have been investigated in empirical studies evaluating the impact of AI-based code generation on software code
quality?
Present the taxonomy of influencing factors.
Example categories:
• Prompt-related factors
• prompt length
• prompt specificity
• iterative prompting
Model-related factors
• model type
• model version
• temperature settings
• Task-related factors
• programming problem complexity
• algorithm difficulty
• Programming-language factors
• Python
• Java
• C/C++
• Interaction factors
• human correction
• multi-round prompting
Include a summary table:</x:v>
      </x:c>
      <x:c r="F47" s="8" t="str">
        <x:v>| Factor Category | Example Variables | Number of Studies |</x:v>
      </x:c>
    </x:row>
    <x:row r="48" ht="48" customHeight="1">
      <x:c r="A48" s="8" t="str">
        <x:v>P4-EXEC-038</x:v>
      </x:c>
      <x:c r="B48" s="9" t="n">
        <x:v>47</x:v>
      </x:c>
      <x:c r="C48" s="8" t="str">
        <x:v>EXEC p76 L4-p76 L4</x:v>
      </x:c>
      <x:c r="D48" s="8" t="str"/>
      <x:c r="E48" s="8" t="str">
        <x:v>rephase "freshness of tasks" to make it understable</x:v>
      </x:c>
      <x:c r="F48" s="8" t="str"/>
    </x:row>
    <x:row r="49" ht="48" customHeight="1">
      <x:c r="A49" s="8" t="str">
        <x:v>P4-EXEC-039</x:v>
      </x:c>
      <x:c r="B49" s="9" t="n">
        <x:v>48</x:v>
      </x:c>
      <x:c r="C49" s="8" t="str">
        <x:v>EXEC p76 L19-p76 L20</x:v>
      </x:c>
      <x:c r="D49" s="8" t="str"/>
      <x:c r="E49" s="8" t="str">
        <x:v>BTW, also use past tense for discussing papers, e.g., P1 "studied" consistency across different versions of ChatGPT. and what is task age in text
above?</x:v>
      </x:c>
      <x:c r="F49" s="8" t="str"/>
    </x:row>
    <x:row r="50" ht="83" customHeight="1">
      <x:c r="A50" s="8" t="str">
        <x:v>P4-EXEC-040</x:v>
      </x:c>
      <x:c r="B50" s="9" t="n">
        <x:v>49</x:v>
      </x:c>
      <x:c r="C50" s="8" t="str">
        <x:v>EXEC p77 L9-p77 L13</x:v>
      </x:c>
      <x:c r="D50" s="8" t="str">
        <x:v>Pool of Primary Studies and Extracted Data.xlsx</x:v>
      </x:c>
      <x:c r="E50" s="8" t="str">
        <x:v>So it turns out that in our data extraction somewhere either of us made a mistake and we missed, we lost two of the papers. I found them and I
have not put them in the Excel file. So now the number of papers is 24, not 22. You can, so I've adjusted the numbers in the Excel sheet. They are
in row 8 and 9. You can see P8 and P9. For those two, you need to extract columns for research questions 5 and 6 because we don't have those
data. So only regenerate that table with all the columns for only two rows, okay? P8 and P9. Just give me that, not the others. And you have their
PDF, right? In your memory.</x:v>
      </x:c>
      <x:c r="F50" s="8" t="str"/>
    </x:row>
    <x:row r="51" ht="48" customHeight="1">
      <x:c r="A51" s="8" t="str">
        <x:v>P4-EXEC-041</x:v>
      </x:c>
      <x:c r="B51" s="9" t="n">
        <x:v>50</x:v>
      </x:c>
      <x:c r="C51" s="8" t="str">
        <x:v>EXEC p77 L47-p77 L47</x:v>
      </x:c>
      <x:c r="D51" s="8" t="str"/>
      <x:c r="E51" s="8" t="str">
        <x:v>clarify this phase that you gave above (provide more details): P4 does the same at larger scale</x:v>
      </x:c>
      <x:c r="F51" s="8" t="str"/>
    </x:row>
    <x:row r="52" ht="48" customHeight="1">
      <x:c r="A52" s="8" t="str">
        <x:v>P4-EXEC-042</x:v>
      </x:c>
      <x:c r="B52" s="9" t="n">
        <x:v>51</x:v>
      </x:c>
      <x:c r="C52" s="8" t="str">
        <x:v>EXEC p78 L16-p78 L16</x:v>
      </x:c>
      <x:c r="D52" s="8" t="str"/>
      <x:c r="E52" s="8" t="str">
        <x:v>do the same for: P19 distinguished between Python and Java code mined from DevGPT</x:v>
      </x:c>
      <x:c r="F52" s="8" t="str"/>
    </x:row>
    <x:row r="53" ht="48" customHeight="1">
      <x:c r="A53" s="8" t="str">
        <x:v>P4-EXEC-043</x:v>
      </x:c>
      <x:c r="B53" s="9" t="n">
        <x:v>52</x:v>
      </x:c>
      <x:c r="C53" s="8" t="str">
        <x:v>EXEC p78 L34-p78 L34</x:v>
      </x:c>
      <x:c r="D53" s="8" t="str"/>
      <x:c r="E53" s="8" t="str">
        <x:v>when you said "using static-analysis feedback" in Interaction factors, what did you mean?</x:v>
      </x:c>
      <x:c r="F53" s="8" t="str"/>
    </x:row>
    <x:row r="54" ht="48" customHeight="1">
      <x:c r="A54" s="8" t="str">
        <x:v>P4-EXEC-044</x:v>
      </x:c>
      <x:c r="B54" s="9" t="n">
        <x:v>53</x:v>
      </x:c>
      <x:c r="C54" s="8" t="str">
        <x:v>EXEC p79 L38-p79 L38</x:v>
      </x:c>
      <x:c r="D54" s="8" t="str"/>
      <x:c r="E54" s="8" t="str">
        <x:v>and what you meant by: using Retrieval-Augmented Generation (RAG)-based mitigation during code generation ?</x:v>
      </x:c>
      <x:c r="F54" s="8" t="str"/>
    </x:row>
    <x:row r="55" ht="57" customHeight="1">
      <x:c r="A55" s="8" t="str">
        <x:v>P4-EXEC-045</x:v>
      </x:c>
      <x:c r="B55" s="9" t="n">
        <x:v>54</x:v>
      </x:c>
      <x:c r="C55" s="8" t="str">
        <x:v>EXEC p81 L14-p81 L16</x:v>
      </x:c>
      <x:c r="D55" s="8" t="str"/>
      <x:c r="E55" s="8" t="str">
        <x:v>epxnad these phrases a bit (max 2 fold in length) to make them more informative: P13 examined whether developers should inspect one or
several Copilot suggestions; P19 evaluated single-round versus multi-round fixing; P22 studied repair prompts with static-analysis and runtime
feedback; P23 compared different Copilot Chat fixing prompt styles; and P18 introduced RAG-based mitigation in repository-level generation.</x:v>
      </x:c>
      <x:c r="F55" s="8" t="str"/>
    </x:row>
    <x:row r="56" ht="48" customHeight="1">
      <x:c r="A56" s="8" t="str">
        <x:v>P4-EXEC-046</x:v>
      </x:c>
      <x:c r="B56" s="9" t="n">
        <x:v>55</x:v>
      </x:c>
      <x:c r="C56" s="8" t="str">
        <x:v>EXEC p81 L27-p81 L28</x:v>
      </x:c>
      <x:c r="D56" s="8" t="str"/>
      <x:c r="E56" s="8" t="str">
        <x:v>Since our number of studies went up by two, update this table. Also, give me a paragraph referencing to this table and discussing the insights
that we understand from it.</x:v>
      </x:c>
      <x:c r="F56" s="8" t="str"/>
    </x:row>
    <x:row r="57" ht="57" customHeight="1">
      <x:c r="A57" s="8" t="str">
        <x:v>P4-EXEC-047</x:v>
      </x:c>
      <x:c r="B57" s="9" t="n">
        <x:v>56</x:v>
      </x:c>
      <x:c r="C57" s="8" t="str">
        <x:v>EXEC p82 L30-p82 L30</x:v>
      </x:c>
      <x:c r="D57" s="8" t="str">
        <x:v>AI-driven Software Development Source Code Quality-MSc thesis.pdf
AI-Driven Code Quality Assessment and Enhancement-MSc.pdf</x:v>
      </x:c>
      <x:c r="E57" s="8" t="str">
        <x:v>I found these two other candidate sources. do they pass the inclusion crtieria of the SLR?</x:v>
      </x:c>
      <x:c r="F57" s="8" t="str"/>
    </x:row>
    <x:row r="58" ht="48" customHeight="1">
      <x:c r="A58" s="8" t="str">
        <x:v>P4-EXEC-048</x:v>
      </x:c>
      <x:c r="B58" s="9" t="n">
        <x:v>57</x:v>
      </x:c>
      <x:c r="C58" s="8" t="str">
        <x:v>EXEC p83 L26-p83 L26</x:v>
      </x:c>
      <x:c r="D58" s="8" t="str"/>
      <x:c r="E58" s="8" t="str">
        <x:v>well, these are reviewed by several profs, thus technically peer review. consider that particular rule pass</x:v>
      </x:c>
      <x:c r="F58" s="8" t="str"/>
    </x:row>
    <x:row r="59" ht="48" customHeight="1">
      <x:c r="A59" s="8" t="str">
        <x:v>P4-W1-001</x:v>
      </x:c>
      <x:c r="B59" s="9" t="n">
        <x:v>58</x:v>
      </x:c>
      <x:c r="C59" s="8" t="str">
        <x:v>W1 p3 L4-p3 L4</x:v>
      </x:c>
      <x:c r="D59" s="8" t="str">
        <x:v>Paper1-SLR1-AI coding impact on Quality.docx</x:v>
      </x:c>
      <x:c r="E59" s="8" t="str">
        <x:v>-- latest paper is attached. do a review until begin of sec 5. I know rthat we still have to write 4.3</x:v>
      </x:c>
      <x:c r="F59" s="8" t="str"/>
    </x:row>
    <x:row r="60" ht="48" customHeight="1">
      <x:c r="A60" s="8" t="str">
        <x:v>P4-W1-002</x:v>
      </x:c>
      <x:c r="B60" s="9" t="n">
        <x:v>59</x:v>
      </x:c>
      <x:c r="C60" s="8" t="str">
        <x:v>W1 p8 L11-p8 L11</x:v>
      </x:c>
      <x:c r="D60" s="8" t="str">
        <x:v>Referenced screenshot/figure; image contents are not human prompt prose.</x:v>
      </x:c>
      <x:c r="E60" s="8" t="str">
        <x:v>have you got the TOC right? see attached</x:v>
      </x:c>
      <x:c r="F60" s="8" t="str"/>
    </x:row>
    <x:row r="61" ht="48" customHeight="1">
      <x:c r="A61" s="8" t="str">
        <x:v>P4-W1-003</x:v>
      </x:c>
      <x:c r="B61" s="9" t="n">
        <x:v>60</x:v>
      </x:c>
      <x:c r="C61" s="8" t="str">
        <x:v>W1 p12 L16-p12 L16</x:v>
      </x:c>
      <x:c r="D61" s="8" t="str">
        <x:v>Paper1-SLR1-AI coding impact on Quality.docx</x:v>
      </x:c>
      <x:c r="E61" s="8" t="str">
        <x:v>I did some text moving from sec 3 to sec 4, review this version. is it all good until 4.3?</x:v>
      </x:c>
      <x:c r="F61" s="8" t="str"/>
    </x:row>
    <x:row r="62" ht="200" customHeight="1">
      <x:c r="A62" s="8" t="str">
        <x:v>P4-W1-004</x:v>
      </x:c>
      <x:c r="B62" s="9" t="n">
        <x:v>61</x:v>
      </x:c>
      <x:c r="C62" s="8" t="str">
        <x:v>W1 p15 L23-p15 L36</x:v>
      </x:c>
      <x:c r="D62" s="8" t="str"/>
      <x:c r="E62" s="8" t="str">
        <x:v>give 4.3.1 Search Strategy
The literature search was conducted across major digital libraries:
• IEEE Xplore
• ACM Digital Library
• Scopus
• Web of Science
• ScienceDirect
Example search terms:
("AI code generation" OR "LLM code generation" OR
"ChatGPT code generation" OR "GitHub Copilot" OR
"AI-generated code")
AND
("code quality" OR "software quality" OR "correctness" OR "complexity")
The search focused on empirical studies evaluating AI-generated code quality.</x:v>
      </x:c>
      <x:c r="F62" s="8" t="str"/>
    </x:row>
    <x:row r="63" ht="161" customHeight="1">
      <x:c r="A63" s="8" t="str">
        <x:v>P4-W1-005</x:v>
      </x:c>
      <x:c r="B63" s="9" t="n">
        <x:v>62</x:v>
      </x:c>
      <x:c r="C63" s="8" t="str">
        <x:v>W1 p16 L16-p16 L26</x:v>
      </x:c>
      <x:c r="D63" s="8" t="str"/>
      <x:c r="E63" s="8" t="str">
        <x:v>say that AI assisted in paper search, ersearcher did review of the selected pool and see appendix A.2- Interaction with and prompting to the
GenAI during the Paper Search Phase 36
Searching for the related sources 36
GenAI was not able to access full-text of a number of papers during the initial search 36
Human researchers provided to the GenAI the full-text PDF files of the papers which the GenAI was not able to access 37
Human researchers closely monitoring the pool of papers kept by researchers and in GenAI memory to ensure consistency 37
Human researchers reminding the GenAI to be exact and precise in discussing number of papers38
Human researchers finding additional candidate papers and asking the GenAI to add them to the papers pool 38
Human researchers insisting on the GenAI to assure highest quality of data extractions 39
Human researchers ensuring that the GenAI has the PDF of all papers, for proper data extraction39
Doing a final application of inclusion/exclusion criteria, based on full-text of papers 40</x:v>
      </x:c>
      <x:c r="F63" s="8" t="str"/>
    </x:row>
    <x:row r="64" ht="109" customHeight="1">
      <x:c r="A64" s="8" t="str">
        <x:v>P4-W1-006</x:v>
      </x:c>
      <x:c r="B64" s="9" t="n">
        <x:v>63</x:v>
      </x:c>
      <x:c r="C64" s="8" t="str">
        <x:v>W1 p17 L17-p17 L23</x:v>
      </x:c>
      <x:c r="D64" s="8" t="str"/>
      <x:c r="E64" s="8" t="str">
        <x:v>give 4.3.2 Study Selection Process
The study selection process consisted of three stages:
1. Identification
2. Screening
3. Eligibility assessment
4. Final inclusion
The process followed the PRISMA framework for systematic reviews, stats and details are shown in the following sections.</x:v>
      </x:c>
      <x:c r="F64" s="8" t="str"/>
    </x:row>
    <x:row r="65" ht="48" customHeight="1">
      <x:c r="A65" s="8" t="str">
        <x:v>P4-W1-007</x:v>
      </x:c>
      <x:c r="B65" s="9" t="n">
        <x:v>64</x:v>
      </x:c>
      <x:c r="C65" s="8" t="str">
        <x:v>W1 p17 L46-p17 L46</x:v>
      </x:c>
      <x:c r="D65" s="8" t="str"/>
      <x:c r="E65" s="8" t="str">
        <x:v>cut 50%</x:v>
      </x:c>
      <x:c r="F65" s="8" t="str"/>
    </x:row>
    <x:row r="66" ht="161" customHeight="1">
      <x:c r="A66" s="8" t="str">
        <x:v>P4-W1-008</x:v>
      </x:c>
      <x:c r="B66" s="9" t="n">
        <x:v>65</x:v>
      </x:c>
      <x:c r="C66" s="8" t="str">
        <x:v>W1 p18 L12-p18 L22</x:v>
      </x:c>
      <x:c r="D66" s="8" t="str"/>
      <x:c r="E66" s="8" t="str">
        <x:v>give 4.3.3 Screening of the Candidate Papers
AI tools were used to assist with parts of the literature screening and analysis process.
AI assistance included:
• summarizing papers
• identifying potential variables
• supporting initial categorization
However:
• All screening decisions were performed or verified by researchers.
• AI-generated outputs were carefully inspected.
• Final inclusion decisions were made manually.
This hybrid workflow improves efficiency while maintaining research rigor and validity.</x:v>
      </x:c>
      <x:c r="F66" s="8" t="str"/>
    </x:row>
    <x:row r="67" ht="161" customHeight="1">
      <x:c r="A67" s="8" t="str">
        <x:v>P4-W1-009</x:v>
      </x:c>
      <x:c r="B67" s="9" t="n">
        <x:v>66</x:v>
      </x:c>
      <x:c r="C67" s="8" t="str">
        <x:v>W1 p18 L31-p18 L41</x:v>
      </x:c>
      <x:c r="D67" s="8" t="str"/>
      <x:c r="E67" s="8" t="str">
        <x:v>4.3.4 Inclusion and Exclusion Criteria
Inclusion criteria: Papers were included if they:
• present empirical evaluation of AI-based code generation
• assess software code quality
• report experimental or benchmark results
• are published in peer-reviewed venues.
Exclusion criteria: Papers were excluded if they:
• are surveys or literature reviews
• do not evaluate code quality
• focus only on model architecture without evaluation
• are non-English publications.</x:v>
      </x:c>
      <x:c r="F67" s="8" t="str"/>
    </x:row>
    <x:row r="68" ht="48" customHeight="1">
      <x:c r="A68" s="8" t="str">
        <x:v>P4-W1-010</x:v>
      </x:c>
      <x:c r="B68" s="9" t="n">
        <x:v>67</x:v>
      </x:c>
      <x:c r="C68" s="8" t="str">
        <x:v>W1 p19 L11-p19 L11</x:v>
      </x:c>
      <x:c r="D68" s="8" t="str"/>
      <x:c r="E68" s="8" t="str">
        <x:v>4.3.5 PRISMA process and statistics</x:v>
      </x:c>
      <x:c r="F68" s="8" t="str"/>
    </x:row>
    <x:row r="69" ht="148" customHeight="1">
      <x:c r="A69" s="8" t="str">
        <x:v>P4-W1-011</x:v>
      </x:c>
      <x:c r="B69" s="9" t="n">
        <x:v>68</x:v>
      </x:c>
      <x:c r="C69" s="8" t="str">
        <x:v>W1 p19 L24-p20 L6</x:v>
      </x:c>
      <x:c r="D69" s="8" t="str"/>
      <x:c r="E69" s="8" t="str">
        <x:v>4.3.6 Overview of Selected Primary Studies
Pool of all the 24 studies studied in the SLR
We will use the P1 … P24 label to refer to the primary studies, listed in
Before answering the RQs, briefly summarize the dataset of papers.
Typical items:
• number of included papers
• publication years
• venues
• AI tools studied (ChatGPT, Copilot, Codex, etc.)
The final dataset consists of N empirical studies published between YEAR–YEAR. refer to discuss the historgram</x:v>
      </x:c>
      <x:c r="F69" s="8" t="str"/>
    </x:row>
    <x:row r="70" ht="161" customHeight="1">
      <x:c r="A70" s="8" t="str">
        <x:v>P4-W1-012</x:v>
      </x:c>
      <x:c r="B70" s="9" t="n">
        <x:v>69</x:v>
      </x:c>
      <x:c r="C70" s="8" t="str">
        <x:v>W1 p20 L20-p20 L30</x:v>
      </x:c>
      <x:c r="D70" s="8" t="str"/>
      <x:c r="E70" s="8" t="str">
        <x:v>4.3.7 Data Extraction
For each included paper, the following information was extracted:
• research questions
• independent variables
• dependent variables
• evaluation methods
• datasets and benchmarks
• programming tasks
• empirical findings
Data extraction was AI-assisted but manually validated by the researchers.
See append A.3-Interaction with and prompting to the GenAI during the Data-Extraction Phase</x:v>
      </x:c>
      <x:c r="F70" s="8" t="str"/>
    </x:row>
    <x:row r="71" ht="48" customHeight="1">
      <x:c r="A71" s="8" t="str">
        <x:v>P4-W1-013</x:v>
      </x:c>
      <x:c r="B71" s="9" t="n">
        <x:v>70</x:v>
      </x:c>
      <x:c r="C71" s="8" t="str">
        <x:v>W1 p20 L45-p21 L1</x:v>
      </x:c>
      <x:c r="D71" s="8" t="str"/>
      <x:c r="E71" s="8" t="str">
        <x:v>* research questions * independent variables * dependent variables * evaluation methods * datasets and benchmarks * programming tasks * empirical findings
make them unbulleted, and say that they refer to our RQs</x:v>
      </x:c>
      <x:c r="F71" s="8" t="str"/>
    </x:row>
    <x:row r="72" ht="148" customHeight="1">
      <x:c r="A72" s="8" t="str">
        <x:v>P4-W1-014</x:v>
      </x:c>
      <x:c r="B72" s="9" t="n">
        <x:v>71</x:v>
      </x:c>
      <x:c r="C72" s="8" t="str">
        <x:v>W1 p21 L12-p21 L21</x:v>
      </x:c>
      <x:c r="D72" s="8" t="str">
        <x:v>Synthesizing Evidence in Software Engineering Research.pdf</x:v>
      </x:c>
      <x:c r="E72" s="8" t="str">
        <x:v>4.3.8 Data Analysis and Evidence Synthesis
Used Cruzes and Dybå: Synthesizing evidence in SE research [17]
The extracted data were analyzed using qualitative synthesis.
synthesis of qualitative and quantitative evidence
A formal meta-analysis was not feasible due to the heterogeneity of the primary studies in terms of evaluation methods, datasets, tasks, and
reported outcome measures. As noted in prior work on evidence synthesis in software engineering, such heterogeneity limits the applicability of
statistical aggregation and instead necessitates narrative and thematic synthesis approaches. Therefore, this study adopts a pattern-based
synthesis to identify recurring trends and insights across studies.
The synthesis aimed to identify patterns and trends in empirical evidence regarding the impact of AI-based code generation on software code
quality.</x:v>
      </x:c>
      <x:c r="F72" s="8" t="str"/>
    </x:row>
    <x:row r="73" ht="48" customHeight="1">
      <x:c r="A73" s="8" t="str">
        <x:v>P4-W1-015</x:v>
      </x:c>
      <x:c r="B73" s="9" t="n">
        <x:v>72</x:v>
      </x:c>
      <x:c r="C73" s="8" t="str">
        <x:v>W1 p22 L1-p22 L2</x:v>
      </x:c>
      <x:c r="D73" s="8" t="str"/>
      <x:c r="E73" s="8" t="str">
        <x:v>give intro text of 5 Results and Analysis
This section presents the findings of the review by answering the study’s RQs. First, we provide …</x:v>
      </x:c>
      <x:c r="F73" s="8" t="str"/>
    </x:row>
    <x:row r="74" ht="48" customHeight="1">
      <x:c r="A74" s="8" t="str">
        <x:v>P4-W1-016</x:v>
      </x:c>
      <x:c r="B74" s="9" t="n">
        <x:v>73</x:v>
      </x:c>
      <x:c r="C74" s="8" t="str">
        <x:v>W1 p22 L16-p22 L16</x:v>
      </x:c>
      <x:c r="D74" s="8" t="str">
        <x:v>Referenced screenshot/figure; image contents are not human prompt prose.</x:v>
      </x:c>
      <x:c r="E74" s="8" t="str">
        <x:v>for sec 5.2, explain and refer ot this fig</x:v>
      </x:c>
      <x:c r="F74" s="8" t="str"/>
    </x:row>
    <x:row r="75" ht="343" customHeight="1">
      <x:c r="A75" s="8" t="str">
        <x:v>P4-W1-017</x:v>
      </x:c>
      <x:c r="B75" s="9" t="n">
        <x:v>74</x:v>
      </x:c>
      <x:c r="C75" s="8" t="str">
        <x:v>W1 p23 L1-p23 L36</x:v>
      </x:c>
      <x:c r="D75" s="8" t="str"/>
      <x:c r="E75" s="8" t="str">
        <x:v>5.1 Characterizing Conventional versus AI-Assisted Development and their Code Quality and Defect Implications --------- I have this... shorten it ----
----
To clearly frame the scope of this study and address the fragmented understanding of code quality in AI-assisted development, it is necessary to
establish a unified conceptual context that distinguishes how defects arise in conventional versus AI-assisted software engineering. Existing
studies examine isolated aspects of code quality, often without a common perspective on how human, AI, and interaction factors jointly
influence outcomes.
To address this gap, Figure X presents a conceptual context diagram that contrasts conventional and AI-assisted software engineering and
highlights the potential sources and pathways of code quality issues and defect introduction. This diagram is developed based on our review of
the academic literature, complemented by gray literature and practitioner sources, synthesizing current knowledge into a coherent framework
that guides the subsequent systematic literature review.
Figure 6 presents the conceptual context of this study by contrasting conventional software engineering with AI-assisted software engineering
and highlighting the potential sources and pathways of code quality issues and defect introduction.
In conventional software engineering, software engineers translate requirements into source code based on their knowledge, experience, and
development practices. In this setting, code quality is primarily determined by human-related factors such as developer expertise, cognitive
limitations, and adherence to best practices. Defects are introduced due to human errors during requirements specification, design,
implementation, and integration activities. These errors may stem from misunderstandings of requirements, flawed design decisions, or
implementation mistakes.
In AI-assisted software engineering, the development process shifts from direct code authoring to a human–AI collaborative workflow.
Developers formulate prompts and provide supporting software engineering artifacts (e.g., requirements, partial code, comments, test cases, or
design descriptions) to guide AI systems. The AI then generates code, which developers review, refine, and integrate into the system. As a result,
code quality is influenced not only by human expertise but also by AI capabilities and the quality of the interaction between them.
This paradigm introduces additional and distinct pathways for defect injection. First, defects may still originate from human-related sources, but
in expanded forms. Beyond traditional programming errors, developers may introduce defects through inadequate, ambiguous, or imprecise
requirements, poorly structured prompts, or incomplete supporting artifacts provided to the AI. These issues can misguide the AI model and
propagate errors into the generated code.</x:v>
      </x:c>
      <x:c r="F75" s="8" t="str">
        <x:v>Second, defects may originate from AI-related sources. AI systems may generate incorrect, inconsistent, or insecure code due to limitations in
training data, lack of contextual understanding, or hallucinations. These defects are often systematic and may differ in nature from traditional
human programming errors.
Third, the interaction between human and AI introduces compound defect mechanisms. Misalignment between human intent and AI-generated
outputs can lead to subtle errors, especially when developers over-rely on AI suggestions or fail to thoroughly validate them. The review and
integration stage thus becomes a critical point where defects may either be mitigated or inadvertently accepted.
Consequently, code quality in AI-assisted software engineering emerges as a function of three interrelated dimensions: (i) human factors, (ii) AI
system characteristics, and (iii) human–AI interaction dynamics. This differs fundamentally from conventional software engineering, where
quality is predominantly shaped by human factors alone.
This conceptualization provides the foundation for this study. It guides the systematic literature review by structuring how influencing factors on
code quality are identified, categorized, and analyzed across primary studies.</x:v>
      </x:c>
    </x:row>
    <x:row r="76" ht="48" customHeight="1">
      <x:c r="A76" s="8" t="str">
        <x:v>P4-W1-018</x:v>
      </x:c>
      <x:c r="B76" s="9" t="n">
        <x:v>75</x:v>
      </x:c>
      <x:c r="C76" s="8" t="str">
        <x:v>W1 p24 L5-p24 L5</x:v>
      </x:c>
      <x:c r="D76" s="8" t="str">
        <x:v>Paper1-SLR1-AI coding impact on Quality.docx</x:v>
      </x:c>
      <x:c r="E76" s="8" t="str">
        <x:v>latest draft is attached. give 6.1 Implications of the Findings</x:v>
      </x:c>
      <x:c r="F76" s="8" t="str"/>
    </x:row>
    <x:row r="77" ht="83" customHeight="1">
      <x:c r="A77" s="8" t="str">
        <x:v>P4-W1-019</x:v>
      </x:c>
      <x:c r="B77" s="9" t="n">
        <x:v>76</x:v>
      </x:c>
      <x:c r="C77" s="8" t="str">
        <x:v>W1 p24 L36-p24 L40</x:v>
      </x:c>
      <x:c r="D77" s="8" t="str"/>
      <x:c r="E77" s="8" t="str">
        <x:v>6.2 Limitations and Threats to Validity
Given the empirical nature of this research, the findings should be interpreted in light of several limitations and potential threats to validity. Like
any empirical study, the investigation reported in Section 4 is subject to constraints related to context, methodology, and data sources. In the
following, we discuss these issues using four commonly adopted categories of validity threats [70]—internal validity, construct validity,
conclusion validity, and external validity—and outline steps we have taken to mitigate them where possible.</x:v>
      </x:c>
      <x:c r="F77" s="8" t="str"/>
    </x:row>
    <x:row r="78" ht="48" customHeight="1">
      <x:c r="A78" s="8" t="str">
        <x:v>P4-W1-020</x:v>
      </x:c>
      <x:c r="B78" s="9" t="n">
        <x:v>77</x:v>
      </x:c>
      <x:c r="C78" s="8" t="str">
        <x:v>W1 p25 L20-p25 L20</x:v>
      </x:c>
      <x:c r="D78" s="8" t="str"/>
      <x:c r="E78" s="8" t="str">
        <x:v>7 Conclusions and Future Work</x:v>
      </x:c>
      <x:c r="F78" s="8" t="str"/>
    </x:row>
    <x:row r="79" ht="48" customHeight="1">
      <x:c r="A79" s="8" t="str">
        <x:v>P4-W1-021</x:v>
      </x:c>
      <x:c r="B79" s="9" t="n">
        <x:v>78</x:v>
      </x:c>
      <x:c r="C79" s="8" t="str">
        <x:v>W1 p25 L44-p25 L45</x:v>
      </x:c>
      <x:c r="D79" s="8" t="str"/>
      <x:c r="E79" s="8" t="str">
        <x:v>standardized benchmarks and evaluation metrics
well, we saw in the reivew that a few such common benchmarks are starting to appear, so make that phrase more fair / precise</x:v>
      </x:c>
      <x:c r="F79" s="8" t="str"/>
    </x:row>
    <x:row r="80" ht="343" customHeight="1">
      <x:c r="A80" s="8" t="str">
        <x:v>P4-W1-022</x:v>
      </x:c>
      <x:c r="B80" s="9" t="n">
        <x:v>79</x:v>
      </x:c>
      <x:c r="C80" s="8" t="str">
        <x:v>W1 p26 L12-p26 L44</x:v>
      </x:c>
      <x:c r="D80" s="8" t="str"/>
      <x:c r="E80" s="8" t="str">
        <x:v>1 Introduction
IDEAs:
Background: Rise of AI code generation tools (Copilot, ChatGPT, Codex, etc.)
Increasing use in software development workflows
Potential benefits (dev productivity).
Problem Statement: Concerns about quality of AI-generated code
Existing studies provide fragmented evidence
Different studies evaluate different factors and metrics.
Industrial reports such as [1] also highlight the magnitude of the quality issue of AI-generated code by stating that “Despite widespread
adoption, 96% of developers don't fully trust AI-generated code—yet less than half consistently verify the output“.
Emergence of many tools such as Sonar AI Code Assurance and Codacy demonstrate that the issue of quality in AI- generated code has become
a serious problem in the industry.
Homepage of the Codacy tool mentions “Trusted by 15,000+ organizations” (including NASA) and “200,000+ developers worldwide”.
The Codacy tool website also mentions that: “AI tools introduce new vulnerabilities”; “Generated code bypasses standard review processes”; and
“Traditional tools cannot detect AI-specific patterns”.
Another tool by a vendor named CodeScene offers “AI Guardrails for AI-assisted coding” and explains it as: “An AI assistant can generate code
faster than ever but without guardrails, it also generates technical debt and other code quality issues. Set quality standards for AI code with
CodeScene's automated process”.
Research Gap: Lack of synthesized knowledge about influencing factors
Limited understanding of which factors affect code quality.
Overarching Research goal: in discussions with our industry partners, we are observing that any company using AI-assisted code development,
is seeing code-quality issues and challenges when it comes to benefitting from AI in code generation and are proactively exploring ways to
enable their software developers to generate better quality code which using AI assistance. The authors believe that AI-assisted code
development is predicted to be even prevalent in near and long-term future, findings heuristics and approaches to get higher quality .
Overarching Research Question: What factors influencing the quality of AI-generated source code have been empirically investigated in the</x:v>
      </x:c>
      <x:c r="F80" s="8" t="str">
        <x:v>literature, and what evidence has been reported regarding their impact across different evaluation contexts? It will later be broken into several
RQs.
It is important to note that this study focuses on factors that have been empirically investigated in the existing literature. While other factors
may potentially influence the quality of AI-generated code, they may not yet have been systematically studied. Identifying the factors examined
so far also enables the identification of research gaps and underexplored areas, which may guide future empirical investigations.
contributions:
• xxx
Structure of the papers: The remainder of this paper is organized as follows.</x:v>
      </x:c>
    </x:row>
    <x:row r="81" ht="96" customHeight="1">
      <x:c r="A81" s="8" t="str">
        <x:v>P4-W1-023</x:v>
      </x:c>
      <x:c r="B81" s="9" t="n">
        <x:v>80</x:v>
      </x:c>
      <x:c r="C81" s="8" t="str">
        <x:v>W1 p27 L39-p27 L44</x:v>
      </x:c>
      <x:c r="D81" s="8" t="str"/>
      <x:c r="E81" s="8" t="str">
        <x:v>give structured Abstract:
Context: text
Objective: text
Method: text
Results: text
Conclusion: text</x:v>
      </x:c>
      <x:c r="F81" s="8" t="str"/>
    </x:row>
    <x:row r="82" ht="48" customHeight="1">
      <x:c r="A82" s="8" t="str">
        <x:v>P4-W1-024</x:v>
      </x:c>
      <x:c r="B82" s="9" t="n">
        <x:v>81</x:v>
      </x:c>
      <x:c r="C82" s="8" t="str">
        <x:v>W1 p28 L15-p28 L15</x:v>
      </x:c>
      <x:c r="D82" s="8" t="str"/>
      <x:c r="E82" s="8" t="str">
        <x:v>give 6 keywords</x:v>
      </x:c>
      <x:c r="F82" s="8" t="str"/>
    </x:row>
    <x:row r="83" ht="48" customHeight="1">
      <x:c r="A83" s="8" t="str">
        <x:v>P4-W1-025</x:v>
      </x:c>
      <x:c r="B83" s="9" t="n">
        <x:v>82</x:v>
      </x:c>
      <x:c r="C83" s="8" t="str">
        <x:v>W1 p28 L24-p28 L24</x:v>
      </x:c>
      <x:c r="D83" s="8" t="str"/>
      <x:c r="E83" s="8" t="str">
        <x:v>; separated</x:v>
      </x:c>
      <x:c r="F83" s="8" t="str"/>
    </x:row>
    <x:row r="84" ht="48" customHeight="1">
      <x:c r="A84" s="8" t="str">
        <x:v>P4-W1-026</x:v>
      </x:c>
      <x:c r="B84" s="9" t="n">
        <x:v>83</x:v>
      </x:c>
      <x:c r="C84" s="8" t="str">
        <x:v>W1 p28 L29-p28 L29</x:v>
      </x:c>
      <x:c r="D84" s="8" t="str">
        <x:v>Paper1-SLR1-AI coding impact on Quality.docx</x:v>
      </x:c>
      <x:c r="E84" s="8" t="str">
        <x:v>review</x:v>
      </x:c>
      <x:c r="F84" s="8" t="str"/>
    </x:row>
    <x:row r="85" ht="48" customHeight="1">
      <x:c r="A85" s="8" t="str">
        <x:v>P4-W1-027</x:v>
      </x:c>
      <x:c r="B85" s="9" t="n">
        <x:v>84</x:v>
      </x:c>
      <x:c r="C85" s="8" t="str">
        <x:v>W1 p31 L38-p31 L38</x:v>
      </x:c>
      <x:c r="D85" s="8" t="str"/>
      <x:c r="E85" s="8" t="str">
        <x:v>based on contents, can the paper title be more preicse?</x:v>
      </x:c>
      <x:c r="F85" s="8" t="str"/>
    </x:row>
    <x:row r="86" ht="48" customHeight="1">
      <x:c r="A86" s="8" t="str">
        <x:v>P4-W1-028</x:v>
      </x:c>
      <x:c r="B86" s="9" t="n">
        <x:v>85</x:v>
      </x:c>
      <x:c r="C86" s="8" t="str">
        <x:v>W1 p33 L21-p33 L22</x:v>
      </x:c>
      <x:c r="D86" s="8" t="str">
        <x:v>Paper1-SLR1-AI coding impact on Quality.docx</x:v>
      </x:c>
      <x:c r="E86" s="8" t="str">
        <x:v>You this version, for any major issues for improvement, tell me exactly where and what takes to fix and go one by one. So we fix them one by
one.</x:v>
      </x:c>
      <x:c r="F86" s="8" t="str"/>
    </x:row>
    <x:row r="87" ht="48" customHeight="1">
      <x:c r="A87" s="8" t="str">
        <x:v>P4-W1-029</x:v>
      </x:c>
      <x:c r="B87" s="9" t="n">
        <x:v>86</x:v>
      </x:c>
      <x:c r="C87" s="8" t="str">
        <x:v>W1 p34 L15-p34 L15</x:v>
      </x:c>
      <x:c r="D87" s="8" t="str"/>
      <x:c r="E87" s="8" t="str">
        <x:v>done</x:v>
      </x:c>
      <x:c r="F87" s="8" t="str"/>
    </x:row>
    <x:row r="88" ht="48" customHeight="1">
      <x:c r="A88" s="8" t="str">
        <x:v>P4-W1-030</x:v>
      </x:c>
      <x:c r="B88" s="9" t="n">
        <x:v>87</x:v>
      </x:c>
      <x:c r="C88" s="8" t="str">
        <x:v>W1 p35 L30-p35 L30</x:v>
      </x:c>
      <x:c r="D88" s="8" t="str"/>
      <x:c r="E88" s="8" t="str">
        <x:v>done</x:v>
      </x:c>
      <x:c r="F88" s="8" t="str"/>
    </x:row>
    <x:row r="89" ht="48" customHeight="1">
      <x:c r="A89" s="8" t="str">
        <x:v>P4-W1-031</x:v>
      </x:c>
      <x:c r="B89" s="9" t="n">
        <x:v>88</x:v>
      </x:c>
      <x:c r="C89" s="8" t="str">
        <x:v>W1 p36 L34-p36 L34</x:v>
      </x:c>
      <x:c r="D89" s="8" t="str"/>
      <x:c r="E89" s="8" t="str">
        <x:v>done</x:v>
      </x:c>
      <x:c r="F89" s="8" t="str"/>
    </x:row>
    <x:row r="90" ht="48" customHeight="1">
      <x:c r="A90" s="8" t="str">
        <x:v>P4-W1-032</x:v>
      </x:c>
      <x:c r="B90" s="9" t="n">
        <x:v>89</x:v>
      </x:c>
      <x:c r="C90" s="8" t="str">
        <x:v>W1 p38 L20-p38 L20</x:v>
      </x:c>
      <x:c r="D90" s="8" t="str"/>
      <x:c r="E90" s="8" t="str">
        <x:v>done</x:v>
      </x:c>
      <x:c r="F90" s="8" t="str"/>
    </x:row>
    <x:row r="91" ht="48" customHeight="1">
      <x:c r="A91" s="8" t="str">
        <x:v>P4-W1-033</x:v>
      </x:c>
      <x:c r="B91" s="9" t="n">
        <x:v>90</x:v>
      </x:c>
      <x:c r="C91" s="8" t="str">
        <x:v>W1 p40 L18-p40 L18</x:v>
      </x:c>
      <x:c r="D91" s="8" t="str"/>
      <x:c r="E91" s="8" t="str">
        <x:v>done</x:v>
      </x:c>
      <x:c r="F91" s="8" t="str"/>
    </x:row>
    <x:row r="92" ht="48" customHeight="1">
      <x:c r="A92" s="8" t="str">
        <x:v>P4-W1-034</x:v>
      </x:c>
      <x:c r="B92" s="9" t="n">
        <x:v>91</x:v>
      </x:c>
      <x:c r="C92" s="8" t="str">
        <x:v>W1 p41 L36-p41 L36</x:v>
      </x:c>
      <x:c r="D92" s="8" t="str"/>
      <x:c r="E92" s="8" t="str">
        <x:v>We want to submit a short version of this to IEEE software. Give me a short but catchy title for that.</x:v>
      </x:c>
      <x:c r="F92" s="8" t="str"/>
    </x:row>
    <x:row r="93" ht="48" customHeight="1">
      <x:c r="A93" s="8" t="str">
        <x:v>P4-W1-035</x:v>
      </x:c>
      <x:c r="B93" s="9" t="n">
        <x:v>92</x:v>
      </x:c>
      <x:c r="C93" s="8" t="str">
        <x:v>W1 p42 L36-p42 L37</x:v>
      </x:c>
      <x:c r="D93" s="8" t="str"/>
      <x:c r="E93" s="8" t="str">
        <x:v>A lot of IEEE software paper starts with what we know about. see https://www.google.com/search?q=ieee+software+%22what+we+know%22 . Is
that a good idea for this paper?</x:v>
      </x:c>
      <x:c r="F93" s="8" t="str"/>
    </x:row>
    <x:row r="94" ht="57" customHeight="1">
      <x:c r="A94" s="8" t="str">
        <x:v>P4-W1-036</x:v>
      </x:c>
      <x:c r="B94" s="9" t="n">
        <x:v>93</x:v>
      </x:c>
      <x:c r="C94" s="8" t="str">
        <x:v>W1 p44 L18-p44 L20</x:v>
      </x:c>
      <x:c r="D94" s="8" t="str"/>
      <x:c r="E94" s="8" t="str">
        <x:v>And now you'll tell me the minimal set of contents to put in the IEEE software, as you know, it has strict length limitations. I'm right now putting
the full paper on a preprint website, and I'm gonna refer from the short IEEE software paper to the long full technical paper, which itself will be a
featured journal paper.</x:v>
      </x:c>
      <x:c r="F94" s="8" t="str"/>
    </x:row>
    <x:row r="95" ht="48" customHeight="1">
      <x:c r="A95" s="8" t="str">
        <x:v>P4-W1-037</x:v>
      </x:c>
      <x:c r="B95" s="9" t="n">
        <x:v>94</x:v>
      </x:c>
      <x:c r="C95" s="8" t="str">
        <x:v>W1 p47 L21-p47 L21</x:v>
      </x:c>
      <x:c r="D95" s="8" t="str"/>
      <x:c r="E95" s="8" t="str">
        <x:v>Before the result, we should talk about the, like the very briefly about the research method, which is the AI-assisted SLR.</x:v>
      </x:c>
      <x:c r="F95" s="8" t="str"/>
    </x:row>
    <x:row r="96" ht="48" customHeight="1">
      <x:c r="A96" s="8" t="str">
        <x:v>P4-W1-038</x:v>
      </x:c>
      <x:c r="B96" s="9" t="n">
        <x:v>95</x:v>
      </x:c>
      <x:c r="C96" s="8" t="str">
        <x:v>W1 p48 L35-p48 L35</x:v>
      </x:c>
      <x:c r="D96" s="8" t="str"/>
      <x:c r="E96" s="8" t="str">
        <x:v>ensure / remember citing "Synthesizing evidence in software engineering research," in that metho section too.</x:v>
      </x:c>
      <x:c r="F96" s="8" t="str"/>
    </x:row>
    <x:row r="97" ht="48" customHeight="1">
      <x:c r="A97" s="8" t="str">
        <x:v>P4-W1-039</x:v>
      </x:c>
      <x:c r="B97" s="9" t="n">
        <x:v>96</x:v>
      </x:c>
      <x:c r="C97" s="8" t="str">
        <x:v>W1 p49 L9-p49 L10</x:v>
      </x:c>
      <x:c r="D97" s="8" t="str"/>
      <x:c r="E97" s="8" t="str">
        <x:v>Remember in the method section to also refer the readers to the full technical report that I'll just give me the placeholder that I will include the
citation.</x:v>
      </x:c>
      <x:c r="F97" s="8" t="str"/>
    </x:row>
    <x:row r="98" ht="48" customHeight="1">
      <x:c r="A98" s="8" t="str">
        <x:v>P4-W1-040</x:v>
      </x:c>
      <x:c r="B98" s="9" t="n">
        <x:v>97</x:v>
      </x:c>
      <x:c r="C98" s="8" t="str">
        <x:v>W1 p49 L35-p49 L35</x:v>
      </x:c>
      <x:c r="D98" s="8" t="str"/>
      <x:c r="E98" s="8" t="str">
        <x:v>also, I want to include a simpler version of the large table of Appendix B- Pool of all the 22 studies studied in the SLR in this short paper too</x:v>
      </x:c>
      <x:c r="F98" s="8" t="str"/>
    </x:row>
    <x:row r="99" ht="48" customHeight="1">
      <x:c r="A99" s="8" t="str">
        <x:v>P4-W1-041</x:v>
      </x:c>
      <x:c r="B99" s="9" t="n">
        <x:v>98</x:v>
      </x:c>
      <x:c r="C99" s="8" t="str">
        <x:v>W1 p51 L28-p51 L28</x:v>
      </x:c>
      <x:c r="D99" s="8" t="str"/>
      <x:c r="E99" s="8" t="str">
        <x:v>paper titles should be in the table</x:v>
      </x:c>
      <x:c r="F99" s="8" t="str"/>
    </x:row>
    <x:row r="100" ht="57" customHeight="1">
      <x:c r="A100" s="8" t="str">
        <x:v>P4-W1-042</x:v>
      </x:c>
      <x:c r="B100" s="9" t="n">
        <x:v>99</x:v>
      </x:c>
      <x:c r="C100" s="8" t="str">
        <x:v>W1 p52 L43-p52 L45</x:v>
      </x:c>
      <x:c r="D100" s="8" t="str"/>
      <x:c r="E100" s="8" t="str">
        <x:v>because we need to provide the citations in that case. I think I'd rather not to put the full citations, but to put the full paper title so that people
can just Google and find those papers. Also, the two most important things for us in the papers is impacting factors and quality attributes. So
instead of the AI tool, put the impacting factors, and I think there's no need for PI and P numbers.</x:v>
      </x:c>
      <x:c r="F100" s="8" t="str"/>
    </x:row>
    <x:row r="101" ht="48" customHeight="1">
      <x:c r="A101" s="8" t="str">
        <x:v>P4-W1-043</x:v>
      </x:c>
      <x:c r="B101" s="9" t="n">
        <x:v>100</x:v>
      </x:c>
      <x:c r="C101" s="8" t="str">
        <x:v>W1 p55 L1-p55 L1</x:v>
      </x:c>
      <x:c r="D101" s="8" t="str"/>
      <x:c r="E101" s="8" t="str">
        <x:v>So now give me the latest paper structure</x:v>
      </x:c>
      <x:c r="F101" s="8" t="str"/>
    </x:row>
    <x:row r="102" ht="48" customHeight="1">
      <x:c r="A102" s="8" t="str">
        <x:v>P4-W1-044</x:v>
      </x:c>
      <x:c r="B102" s="9" t="n">
        <x:v>101</x:v>
      </x:c>
      <x:c r="C102" s="8" t="str">
        <x:v>W1 p57 L41-p57 L41</x:v>
      </x:c>
      <x:c r="D102" s="8" t="str"/>
      <x:c r="E102" s="8" t="str">
        <x:v>give sec 1</x:v>
      </x:c>
      <x:c r="F102" s="8" t="str"/>
    </x:row>
    <x:row r="103" ht="48" customHeight="1">
      <x:c r="A103" s="8" t="str">
        <x:v>P4-W1-045</x:v>
      </x:c>
      <x:c r="B103" s="9" t="n">
        <x:v>102</x:v>
      </x:c>
      <x:c r="C103" s="8" t="str">
        <x:v>W1 p58 L4-p58 L5</x:v>
      </x:c>
      <x:c r="D103" s="8" t="str"/>
      <x:c r="E103" s="8" t="str">
        <x:v>Give section one, provide minimal references in line inside the text directly, and use those from my fullware paper of it. Don't use any addition
from somewhere else, just use those ones.</x:v>
      </x:c>
      <x:c r="F103" s="8" t="str"/>
    </x:row>
    <x:row r="104" ht="48" customHeight="1">
      <x:c r="A104" s="8" t="str">
        <x:v>P4-W1-046</x:v>
      </x:c>
      <x:c r="B104" s="9" t="n">
        <x:v>103</x:v>
      </x:c>
      <x:c r="C104" s="8" t="str">
        <x:v>W1 p58 L29-p58 L29</x:v>
      </x:c>
      <x:c r="D104" s="8" t="str"/>
      <x:c r="E104" s="8" t="str">
        <x:v>At the end of each text that you give, you need to give me the references of those citations so I can include them.</x:v>
      </x:c>
      <x:c r="F104" s="8" t="str"/>
    </x:row>
    <x:row r="105" ht="48" customHeight="1">
      <x:c r="A105" s="8" t="str">
        <x:v>P4-W1-047</x:v>
      </x:c>
      <x:c r="B105" s="9" t="n">
        <x:v>104</x:v>
      </x:c>
      <x:c r="C105" s="8" t="str">
        <x:v>W1 p59 L10-p59 L11</x:v>
      </x:c>
      <x:c r="D105" s="8" t="str"/>
      <x:c r="E105" s="8" t="str">
        <x:v>give 2 HOW WE SYNTHESIZED THE EVIDENCE. ensuere poinint the reader to: Full methodological details, dataset, and extended analysis are
available in [YY].</x:v>
      </x:c>
      <x:c r="F105" s="8" t="str"/>
    </x:row>
    <x:row r="106" ht="48" customHeight="1">
      <x:c r="A106" s="8" t="str">
        <x:v>P4-W1-048</x:v>
      </x:c>
      <x:c r="B106" s="9" t="n">
        <x:v>105</x:v>
      </x:c>
      <x:c r="C106" s="8" t="str">
        <x:v>W1 p59 L25-p59 L25</x:v>
      </x:c>
      <x:c r="D106" s="8" t="str"/>
      <x:c r="E106" s="8" t="str">
        <x:v>give 3 OVERVIEW OF THE EVIDENCE BASE. in the table of papers, I want to have all the 24 papers, not a subset.</x:v>
      </x:c>
      <x:c r="F106" s="8" t="str"/>
    </x:row>
    <x:row r="107" ht="70" customHeight="1">
      <x:c r="A107" s="8" t="str">
        <x:v>P4-W1-049</x:v>
      </x:c>
      <x:c r="B107" s="9" t="n">
        <x:v>106</x:v>
      </x:c>
      <x:c r="C107" s="8" t="str">
        <x:v>W1 p60 L46-p60 L49</x:v>
      </x:c>
      <x:c r="D107" s="8" t="str"/>
      <x:c r="E107" s="8" t="str">
        <x:v>Give a few sentences that to save space on this paper, we do not provide the full bibliometric detail of each of the papers, but the paper titles
have been shown in full in the table. I also have a feeling that you have hallucinated, because in the years we have 2024 and 2025 even, but in
the table that you give about, I cannot see that, so you need to just make sure that 22 and make sure that it's all there, and that the paper titles
should be their full paper titles, not, do not shorten them or anything. regen sec 3</x:v>
      </x:c>
      <x:c r="F107" s="8" t="str"/>
    </x:row>
    <x:row r="108" ht="48" customHeight="1">
      <x:c r="A108" s="8" t="str">
        <x:v>P4-W1-050</x:v>
      </x:c>
      <x:c r="B108" s="9" t="n">
        <x:v>107</x:v>
      </x:c>
      <x:c r="C108" s="8" t="str">
        <x:v>W1 p62 L5-p62 L5</x:v>
      </x:c>
      <x:c r="D108" s="8" t="str"/>
      <x:c r="E108" s="8" t="str">
        <x:v>what does merged vs non-merged usage mean?</x:v>
      </x:c>
      <x:c r="F108" s="8" t="str"/>
    </x:row>
    <x:row r="109" ht="122" customHeight="1">
      <x:c r="A109" s="8" t="str">
        <x:v>P4-W1-051</x:v>
      </x:c>
      <x:c r="B109" s="9" t="n">
        <x:v>108</x:v>
      </x:c>
      <x:c r="C109" s="8" t="str">
        <x:v>W1 p63 L13-p63 L20</x:v>
      </x:c>
      <x:c r="D109" s="8" t="str"/>
      <x:c r="E109" s="8" t="str">
        <x:v>give 4 WHAT INFLUENCES AI-GENERATED CODE QUALITY?
Content:
• prompt quality ⭐
• task complexity
• developer expertise
• AI model capability
• input/context quality
👉 Keep insight-driven, not taxonomy-heavy</x:v>
      </x:c>
      <x:c r="F109" s="8" t="str"/>
    </x:row>
    <x:row r="110" ht="57" customHeight="1">
      <x:c r="A110" s="8" t="str">
        <x:v>P4-W1-052</x:v>
      </x:c>
      <x:c r="B110" s="9" t="n">
        <x:v>109</x:v>
      </x:c>
      <x:c r="C110" s="8" t="str">
        <x:v>W1 p64 L18-p64 L20</x:v>
      </x:c>
      <x:c r="D110" s="8" t="str"/>
      <x:c r="E110" s="8" t="str">
        <x:v>This section is one of the main parts, so expand it by 50%. And when you say prompt quality matters most, I guess we have to be careful. Do you
mean by, because it's mentioned in more number of studies, so we have to clarify where do we get the most, and does it statistically, is this, has
it been supported statistically, like to be the most impact?</x:v>
      </x:c>
      <x:c r="F110" s="8" t="str"/>
    </x:row>
    <x:row r="111" ht="57" customHeight="1">
      <x:c r="A111" s="8" t="str">
        <x:v>P4-W1-053</x:v>
      </x:c>
      <x:c r="B111" s="9" t="n">
        <x:v>110</x:v>
      </x:c>
      <x:c r="C111" s="8" t="str">
        <x:v>W1 p66 L1-p66 L3</x:v>
      </x:c>
      <x:c r="D111" s="8" t="str"/>
      <x:c r="E111" s="8" t="str">
        <x:v>It's maybe nicer to say, you know, each factor was studied in X number of papers in the pool. If in each of those subsections you mention the
number and the ratio out of 24%, the ratio percentage, I guess that will be more convincing. and I like phrases such as "Developer Expertise Still
Matters", keep them</x:v>
      </x:c>
      <x:c r="F111" s="8" t="str"/>
    </x:row>
    <x:row r="112" ht="48" customHeight="1">
      <x:c r="A112" s="8" t="str">
        <x:v>P4-W1-054</x:v>
      </x:c>
      <x:c r="B112" s="9" t="n">
        <x:v>111</x:v>
      </x:c>
      <x:c r="C112" s="8" t="str">
        <x:v>W1 p67 L36-p67 L36</x:v>
      </x:c>
      <x:c r="D112" s="8" t="str">
        <x:v>Pool of Primary Studies and Extracted Data.xlsx</x:v>
      </x:c>
      <x:c r="E112" s="8" t="str">
        <x:v>I give you the extracted data sheet, so now you should have the exact count and everything, so regenerate.</x:v>
      </x:c>
      <x:c r="F112" s="8" t="str"/>
    </x:row>
    <x:row r="113" ht="109" customHeight="1">
      <x:c r="A113" s="8" t="str">
        <x:v>P4-W1-055</x:v>
      </x:c>
      <x:c r="B113" s="9" t="n">
        <x:v>112</x:v>
      </x:c>
      <x:c r="C113" s="8" t="str">
        <x:v>W1 p69 L21-p69 L27</x:v>
      </x:c>
      <x:c r="D113" s="8" t="str"/>
      <x:c r="E113" s="8" t="str">
        <x:v>5 WHAT QUALITY ISSUES OCCUR?
Content:
• correctness variability
• security vulnerabilities
• maintainability / complexity issues
• inconsistency
👉 Emphasize variability + risks</x:v>
      </x:c>
      <x:c r="F113" s="8" t="str"/>
    </x:row>
    <x:row r="114" ht="48" customHeight="1">
      <x:c r="A114" s="8" t="str">
        <x:v>P4-W1-056</x:v>
      </x:c>
      <x:c r="B114" s="9" t="n">
        <x:v>113</x:v>
      </x:c>
      <x:c r="C114" s="8" t="str">
        <x:v>W1 p71 L10-p71 L11</x:v>
      </x:c>
      <x:c r="D114" s="8" t="str"/>
      <x:c r="E114" s="8" t="str">
        <x:v>In the part that you talk about non-determinism, say that efforts are also being made to study and decrease non-determinism of AI in coding,
such as the following paper. https://dl.acm.org/doi/10.1145/3697010</x:v>
      </x:c>
      <x:c r="F114" s="8" t="str"/>
    </x:row>
    <x:row r="115" ht="96" customHeight="1">
      <x:c r="A115" s="8" t="str">
        <x:v>P4-W1-057</x:v>
      </x:c>
      <x:c r="B115" s="9" t="n">
        <x:v>114</x:v>
      </x:c>
      <x:c r="C115" s="8" t="str">
        <x:v>W1 p71 L31-p71 L36</x:v>
      </x:c>
      <x:c r="D115" s="8" t="str">
        <x:v>Referenced screenshot/figure; image contents are not human prompt prose.</x:v>
      </x:c>
      <x:c r="E115" s="8" t="str">
        <x:v>6 WHERE DO DEFECTS COME FROM?
Your strongest conceptual contribution:
• human-related sources (prompts, requirements)
• AI-related sources (hallucinations, limitations)
• interaction misalignment ⭐
I will put my figure there, so refer to it and discuss it a little bit.</x:v>
      </x:c>
      <x:c r="F115" s="8" t="str"/>
    </x:row>
    <x:row r="116" ht="48" customHeight="1">
      <x:c r="A116" s="8" t="str">
        <x:v>P4-W1-058</x:v>
      </x:c>
      <x:c r="B116" s="9" t="n">
        <x:v>115</x:v>
      </x:c>
      <x:c r="C116" s="8" t="str">
        <x:v>W1 p73 L3-p73 L4</x:v>
      </x:c>
      <x:c r="D116" s="8" t="str"/>
      <x:c r="E116" s="8" t="str">
        <x:v>Thinking to include another section after section 6. Remember in the full version we had positive and negative evidences. Shall we include such a
small section?</x:v>
      </x:c>
      <x:c r="F116" s="8" t="str"/>
    </x:row>
    <x:row r="117" ht="48" customHeight="1">
      <x:c r="A117" s="8" t="str">
        <x:v>P4-W1-059</x:v>
      </x:c>
      <x:c r="B117" s="9" t="n">
        <x:v>116</x:v>
      </x:c>
      <x:c r="C117" s="8" t="str">
        <x:v>W1 p74 L41-p74 L41</x:v>
      </x:c>
      <x:c r="D117" s="8" t="str"/>
      <x:c r="E117" s="8" t="str">
        <x:v>do it</x:v>
      </x:c>
      <x:c r="F117" s="8" t="str"/>
    </x:row>
    <x:row r="118" ht="48" customHeight="1">
      <x:c r="A118" s="8" t="str">
        <x:v>P4-W2-001</x:v>
      </x:c>
      <x:c r="B118" s="9" t="n">
        <x:v>117</x:v>
      </x:c>
      <x:c r="C118" s="8" t="str">
        <x:v>W2 p2 L4-p2 L5</x:v>
      </x:c>
      <x:c r="D118" s="8" t="str">
        <x:v>IEEE SW paper.docx</x:v>
      </x:c>
      <x:c r="E118" s="8" t="str">
        <x:v>Review the paper until end of section 6. I've got in the table of studies the 24 papers. I've added the column of P1 until P24, and I want we use
those as refer to some example papers in sections 4, 5, and 6. Can you do that?</x:v>
      </x:c>
      <x:c r="F118" s="8" t="str"/>
    </x:row>
    <x:row r="119" ht="48" customHeight="1">
      <x:c r="A119" s="8" t="str">
        <x:v>P4-W2-002</x:v>
      </x:c>
      <x:c r="B119" s="9" t="n">
        <x:v>118</x:v>
      </x:c>
      <x:c r="C119" s="8" t="str">
        <x:v>W2 p2 L8-p2 L8</x:v>
      </x:c>
      <x:c r="D119" s="8" t="str">
        <x:v>Pool of Primary Studies and Extracted Data.xlsx Paper1-SLR1-AI coding impact on Quality.docx</x:v>
      </x:c>
      <x:c r="E119" s="8" t="str">
        <x:v>I also give you the full paper plus extracted data that we worked on in the other chat box. So use all this data to do my request above.</x:v>
      </x:c>
      <x:c r="F119" s="8" t="str"/>
    </x:row>
    <x:row r="120" ht="48" customHeight="1">
      <x:c r="A120" s="8" t="str">
        <x:v>P4-W2-003</x:v>
      </x:c>
      <x:c r="B120" s="9" t="n">
        <x:v>119</x:v>
      </x:c>
      <x:c r="C120" s="8" t="str">
        <x:v>W2 p2 L14-p2 L14</x:v>
      </x:c>
      <x:c r="D120" s="8" t="str"/>
      <x:c r="E120" s="8" t="str">
        <x:v>I do not want them in a separate file, just give me section 4 text first. ieee sofrware paper I want</x:v>
      </x:c>
      <x:c r="F120" s="8" t="str"/>
    </x:row>
    <x:row r="121" ht="83" customHeight="1">
      <x:c r="A121" s="8" t="str">
        <x:v>P4-W2-004</x:v>
      </x:c>
      <x:c r="B121" s="9" t="n">
        <x:v>120</x:v>
      </x:c>
      <x:c r="C121" s="8" t="str">
        <x:v>W2 p3 L9-p3 L13</x:v>
      </x:c>
      <x:c r="D121" s="8" t="str"/>
      <x:c r="E121" s="8" t="str">
        <x:v>regenerate below, by adding a few example Pi paper numbers ---------- 4.5 INPUT CONTEXT AND SUPPORTING INFORMATION
Input context and supporting artifacts are considered in 14 out of 24 studies. Providing richer context—such as partial code, comments, or
structured specifications—generally improves output quality.
Conversely, incomplete or poorly structured inputs can degrade results. This highlights that AI-generated code quality depends not only on the
model, but also on the quality of the information provided to it.</x:v>
      </x:c>
      <x:c r="F121" s="8" t="str"/>
    </x:row>
    <x:row r="122" ht="343" customHeight="1">
      <x:c r="A122" s="8" t="str">
        <x:v>P4-W2-005</x:v>
      </x:c>
      <x:c r="B122" s="9" t="n">
        <x:v>121</x:v>
      </x:c>
      <x:c r="C122" s="8" t="str">
        <x:v>W2 p3 L25-p4 L4</x:v>
      </x:c>
      <x:c r="D122" s="8" t="str"/>
      <x:c r="E122" s="8" t="str">
        <x:v>regenerate below, by adding a few example Pi paper numbers ----------5.1 CORRECTNESS VARIABILITY IS THE MOST REPORTED ISSUE
Correctness is the most widely evaluated quality attribute, examined in 21 out of 24 studies. Across these studies, a consistent pattern emerges:
AI-generated code can often produce correct solutions for simple or well-defined tasks, but correctness becomes highly variable as task
complexity increases.
Some studies report relatively high correctness rates under controlled conditions, while others highlight frequent logical errors, incomplete
implementations, or failure to meet requirements. In particular, correctness tends to degrade for: multi-step reasoning tasks; domain-specific
problems; and novel or less common programming scenarios.
💡Insight: The key takeaway is not that AI-generated code is inherently incorrect, but that its correctness is highly context-dependent and non-
deterministic.
5.2 SECURITY VULNERABILITIES REMAIN A SIGNIFICANT CONCERN
Security is examined in 14 out of 24 studies, making it one of the most critical and frequently reported risk areas. Across these studies, AI-
generated code has been shown to: introduce known vulnerability patterns, replicate insecure coding practices, and generate code that appears
correct but is insecure. Several studies highlight that AI systems may reproduce vulnerabilities present in training data or fail to apply secure
coding principles. Additionally, developers may not always recognize these issues, especially when the generated code appears plausible.
💡Insight: This creates a systematic risk: insecure code can be introduced without obvious warning, particularly when developers over-trust AI
outputs.
5.3 MAINTAINABILITY AND COMPLEXITY ISSUES
Maintainability and complexity-related attributes are examined in 16 out of 24 studies. The findings suggest that even when AI-generated code is
functionally correct, it may still suffer from structural quality issues. Common problems include: unnecessarily complex implementations, lack of
modularity, poor readability or documentation, and code smells and maintainability concerns.
💡Insight: In some cases, AI-generated solutions are more verbose or less optimized than human-written alternatives. These issues can increase
technical debt and reduce long-term maintainability, even if the code initially works as intended.
5.4 INCONSISTENCY AND NON-DETERMINISM
Inconsistency is examined in 12 out of 24 studies, and is a distinctive characteristic of AI-generated code. The same prompt can produce:
different outputs across runs, varying levels of correctness, inconsistent coding styles or structures. This non-deterministic behavior makes it</x:v>
      </x:c>
      <x:c r="F122" s="8" t="str">
        <x:v>difficult to rely on AI outputs as stable solutions. It also complicates debugging and reproducibility, particularly in collaborative or production
environments.
💡Insight: Unlike traditional programming, where identical inputs produce identical outputs, AI-generated code introduces inherent variability
into the development process.
At the same time, recent research has begun to address this challenge. Efforts are being made to better understand and reduce non-
determinism in AI-based code generation, including techniques for improving output stability and reproducibility (e.g., [5]). These approaches
highlight that non-determinism is not only a limitation but also an active area of research and improvement.
5.5 SYNTHESIS OF QUALITY ISSUES
When put together together, these findings indicate that AI-generated code is characterized by high variability across multiple quality
dimensions, rather than uniformly good or bad performance.
Correctness is the most studied dimension, but is highly context-dependent. Security represents a critical and often under-detected risk.
Maintainability issues can introduce long-term costs. Inconsistency reflects a fundamental shift toward probabilistic code generation.</x:v>
      </x:c>
    </x:row>
    <x:row r="123" ht="48" customHeight="1">
      <x:c r="A123" s="8" t="str">
        <x:v>P4-W2-006</x:v>
      </x:c>
      <x:c r="B123" s="9" t="n">
        <x:v>122</x:v>
      </x:c>
      <x:c r="C123" s="8" t="str">
        <x:v>W2 p5 L3-p5 L4</x:v>
      </x:c>
      <x:c r="D123" s="8" t="str">
        <x:v>IEEE SW paper.docx</x:v>
      </x:c>
      <x:c r="E123" s="8" t="str">
        <x:v>see the latest draft. I am Thinking to include another section after section 6. Remember in the full version we had positive and negative
evidences. give me that</x:v>
      </x:c>
      <x:c r="F123" s="8" t="str"/>
    </x:row>
    <x:row r="124" ht="122" customHeight="1">
      <x:c r="A124" s="8" t="str">
        <x:v>P4-W2-007</x:v>
      </x:c>
      <x:c r="B124" s="9" t="n">
        <x:v>123</x:v>
      </x:c>
      <x:c r="C124" s="8" t="str">
        <x:v>W2 p5 L35-p5 L42</x:v>
      </x:c>
      <x:c r="D124" s="8" t="str"/>
      <x:c r="E124" s="8" t="str">
        <x:v>we are running out of space, so instead, give me the section 7: KEY TAKEAWAYS FOR PRACTITIONERS... and include stuff from the avbove stuff.
allso
Bullet list (must be clear and actionable):
• Always validate AI-generated code
• Invest in prompt quality
• Use AI for low-risk tasks first
• Combine AI with testing tools
• Avoid over-reliance</x:v>
      </x:c>
      <x:c r="F124" s="8" t="str"/>
    </x:row>
    <x:row r="125" ht="48" customHeight="1">
      <x:c r="A125" s="8" t="str">
        <x:v>P4-W2-008</x:v>
      </x:c>
      <x:c r="B125" s="9" t="n">
        <x:v>124</x:v>
      </x:c>
      <x:c r="C125" s="8" t="str">
        <x:v>W2 p6 L27-p6 L28</x:v>
      </x:c>
      <x:c r="D125" s="8" t="str"/>
      <x:c r="E125" s="8" t="str">
        <x:v>We need to make these takeaways traceable to primary study or the evidences that we have synthesized. Can you include some TI numbers or
another form of evidence tracking and traceability?</x:v>
      </x:c>
      <x:c r="F125" s="8" t="str"/>
    </x:row>
    <x:row r="126" ht="96" customHeight="1">
      <x:c r="A126" s="8" t="str">
        <x:v>P4-W2-009</x:v>
      </x:c>
      <x:c r="B126" s="9" t="n">
        <x:v>125</x:v>
      </x:c>
      <x:c r="C126" s="8" t="str">
        <x:v>W2 p7 L13-p7 L18</x:v>
      </x:c>
      <x:c r="D126" s="8" t="str"/>
      <x:c r="E126" s="8" t="str">
        <x:v>give 8 LOOKING AHEAD
Short (~10%)
Include:
• emerging benchmarks (balanced tone)
• need for better practices
• importance of human–AI collaboration</x:v>
      </x:c>
      <x:c r="F126" s="8" t="str"/>
    </x:row>
    <x:row r="127" ht="48" customHeight="1">
      <x:c r="A127" s="8" t="str">
        <x:v>P4-W2-010</x:v>
      </x:c>
      <x:c r="B127" s="9" t="n">
        <x:v>126</x:v>
      </x:c>
      <x:c r="C127" s="8" t="str">
        <x:v>W2 p7 L35-p7 L36</x:v>
      </x:c>
      <x:c r="D127" s="8" t="str"/>
      <x:c r="E127" s="8" t="str">
        <x:v>give Abstract:
Keywords: separarte by ,</x:v>
      </x:c>
      <x:c r="F127" s="8" t="str"/>
    </x:row>
    <x:row r="128" ht="48" customHeight="1">
      <x:c r="A128" s="8" t="str">
        <x:v>P4-W2-011</x:v>
      </x:c>
      <x:c r="B128" s="9" t="n">
        <x:v>127</x:v>
      </x:c>
      <x:c r="C128" s="8" t="str">
        <x:v>W2 p8 L7-p8 L7</x:v>
      </x:c>
      <x:c r="D128" s="8" t="str"/>
      <x:c r="E128" s="8" t="str">
        <x:v>give 100-word Abstract</x:v>
      </x:c>
      <x:c r="F128" s="8" t="str"/>
    </x:row>
    <x:row r="129" ht="70" customHeight="1">
      <x:c r="A129" s="8" t="str">
        <x:v>P4-W2-012</x:v>
      </x:c>
      <x:c r="B129" s="9" t="n">
        <x:v>128</x:v>
      </x:c>
      <x:c r="C129" s="8" t="str">
        <x:v>W2 p8 L17-p8 L20</x:v>
      </x:c>
      <x:c r="D129" s="8" t="str">
        <x:v>Includes quoted co-author feedback.</x:v>
      </x:c>
      <x:c r="E129" s="8" t="str">
        <x:v>we have this insight "💡Insight: Unlike traditional programming, where identical inputs produce identical outputs, AI-generated code introduces
inherent variability into the development process." . my co-author said: I am not sure if I understand this.. AI code-generation tools are yes non-
deterministic but once the code is generated, it is not different that a human-written code.. I think I understnad what it is meant here, but we
have to make it clear. refvise the phrasw</x:v>
      </x:c>
      <x:c r="F129" s="8" t="str"/>
    </x:row>
    <x:row r="130" ht="135" customHeight="1">
      <x:c r="A130" s="8" t="str">
        <x:v>P4-W2-013</x:v>
      </x:c>
      <x:c r="B130" s="9" t="n">
        <x:v>129</x:v>
      </x:c>
      <x:c r="C130" s="8" t="str">
        <x:v>W2 p8 L37-p9 L5</x:v>
      </x:c>
      <x:c r="D130" s="8" t="str"/>
      <x:c r="E130" s="8" t="str">
        <x:v>rethink and regenerate the insight from sractch based on that subsection : 5.4 INCONSISTENCY AND NON-DETERMINISM
Inconsistency is examined in 12 out of 24 studies and is a distinctive characteristic of AI-generated code. The same prompt can produce different
outputs across runs, varying levels of correctness, and inconsistent coding styles or structures (e.g., P4, P11, P18).
This non-deterministic behavior makes it difficult to rely on AI outputs as stable solutions and complicates debugging and reproducibility (e.g.,
P7, P23). Unlike traditional programming, where identical inputs produce identical outputs, AI-generated code introduces inherent variability
into the development process.
At the same time, recent research has begun to address this challenge. Efforts are being made to better understand and reduce non-
determinism in AI-based code generation, including techniques for improving output stability and reproducibility (e.g., [7]). These approaches
highlight that non-determinism is not only a limitation but also an active area of research and improvement.</x:v>
      </x:c>
      <x:c r="F130" s="8" t="str"/>
    </x:row>
    <x:row r="131" ht="48" customHeight="1">
      <x:c r="A131" s="8" t="str">
        <x:v>P4-W2-014</x:v>
      </x:c>
      <x:c r="B131" s="9" t="n">
        <x:v>130</x:v>
      </x:c>
      <x:c r="C131" s="8" t="str">
        <x:v>W2 p9 L20-p9 L21</x:v>
      </x:c>
      <x:c r="D131" s="8" t="str"/>
      <x:c r="E131" s="8" t="str">
        <x:v>I still do not like it. say along these lines: a human developer may have a largely consistent / DETERMINISMtic coding style and apprach, but
when an AI model help in coding, it can have inconsistent coding style / apprach. and what issue this will cause?</x:v>
      </x:c>
      <x:c r="F131" s="8" t="str"/>
    </x:row>
  </x:sheetData>
  <x:pageMargins left="0.7" right="0.7" top="0.75" bottom="0.75" header="0.3" footer="0.3"/>
  <x:tableParts count="1">
    <x:tablePart xmlns:r="http://schemas.openxmlformats.org/officeDocument/2006/relationships" r:id="R3c995c24e8a04cd3"/>
  </x:tableParts>
</x:worksheet>
</file>

<file path=xl/worksheets/sheet4.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0" hidden="0" customWidth="1"/>
    <x:col min="2" max="2" width="20" hidden="0" customWidth="1"/>
    <x:col min="3" max="3" width="15" hidden="0" customWidth="1"/>
    <x:col min="4" max="4" width="23" hidden="0" customWidth="1"/>
    <x:col min="5" max="5" width="34" hidden="0" customWidth="1"/>
    <x:col min="6" max="6" width="32" hidden="0" customWidth="1"/>
  </x:cols>
  <x:sheetData>
    <x:row r="1" ht="48" customHeight="1">
      <x:c r="A1" s="7" t="str">
        <x:v>Source occurrence ID</x:v>
      </x:c>
      <x:c r="B1" s="7" t="str">
        <x:v>Coded turn ID</x:v>
      </x:c>
      <x:c r="C1" s="7" t="str">
        <x:v>Unique sequence</x:v>
      </x:c>
      <x:c r="D1" s="7" t="str">
        <x:v>Document phase</x:v>
      </x:c>
      <x:c r="E1" s="7" t="str">
        <x:v>Message-block provenance</x:v>
      </x:c>
      <x:c r="F1" s="7" t="str">
        <x:v>Export status</x:v>
      </x:c>
    </x:row>
    <x:row r="2" ht="34" customHeight="1">
      <x:c r="A2" s="8" t="str">
        <x:v>P4-PLAN-001</x:v>
      </x:c>
      <x:c r="B2" s="8" t="str">
        <x:v>P4-PLAN-001</x:v>
      </x:c>
      <x:c r="C2" s="9" t="n">
        <x:v>1</x:v>
      </x:c>
      <x:c r="D2" s="8" t="str">
        <x:v>SLR planning</x:v>
      </x:c>
      <x:c r="E2" s="8" t="str">
        <x:v>PLAN p2 L2-p2 L5</x:v>
      </x:c>
      <x:c r="F2" s="8" t="str">
        <x:v>Canonical occurrence</x:v>
      </x:c>
    </x:row>
    <x:row r="3" ht="34" customHeight="1">
      <x:c r="A3" s="8" t="str">
        <x:v>P4-PLAN-002</x:v>
      </x:c>
      <x:c r="B3" s="8" t="str">
        <x:v>P4-PLAN-002</x:v>
      </x:c>
      <x:c r="C3" s="9" t="n">
        <x:v>2</x:v>
      </x:c>
      <x:c r="D3" s="8" t="str">
        <x:v>SLR planning</x:v>
      </x:c>
      <x:c r="E3" s="8" t="str">
        <x:v>PLAN p5 L8-p5 L22</x:v>
      </x:c>
      <x:c r="F3" s="8" t="str">
        <x:v>Canonical occurrence</x:v>
      </x:c>
    </x:row>
    <x:row r="4" ht="34" customHeight="1">
      <x:c r="A4" s="8" t="str">
        <x:v>P4-PLAN-003</x:v>
      </x:c>
      <x:c r="B4" s="8" t="str">
        <x:v>P4-PLAN-003</x:v>
      </x:c>
      <x:c r="C4" s="9" t="n">
        <x:v>3</x:v>
      </x:c>
      <x:c r="D4" s="8" t="str">
        <x:v>SLR planning</x:v>
      </x:c>
      <x:c r="E4" s="8" t="str">
        <x:v>PLAN p7 L9-p7 L26</x:v>
      </x:c>
      <x:c r="F4" s="8" t="str">
        <x:v>Canonical occurrence</x:v>
      </x:c>
    </x:row>
    <x:row r="5" ht="34" customHeight="1">
      <x:c r="A5" s="8" t="str">
        <x:v>P4-PLAN-004</x:v>
      </x:c>
      <x:c r="B5" s="8" t="str">
        <x:v>P4-PLAN-004</x:v>
      </x:c>
      <x:c r="C5" s="9" t="n">
        <x:v>4</x:v>
      </x:c>
      <x:c r="D5" s="8" t="str">
        <x:v>SLR planning</x:v>
      </x:c>
      <x:c r="E5" s="8" t="str">
        <x:v>PLAN p11 L4-p11 L8</x:v>
      </x:c>
      <x:c r="F5" s="8" t="str">
        <x:v>Canonical occurrence</x:v>
      </x:c>
    </x:row>
    <x:row r="6" ht="34" customHeight="1">
      <x:c r="A6" s="8" t="str">
        <x:v>P4-PLAN-005</x:v>
      </x:c>
      <x:c r="B6" s="8" t="str">
        <x:v>P4-PLAN-005</x:v>
      </x:c>
      <x:c r="C6" s="9" t="n">
        <x:v>5</x:v>
      </x:c>
      <x:c r="D6" s="8" t="str">
        <x:v>SLR planning</x:v>
      </x:c>
      <x:c r="E6" s="8" t="str">
        <x:v>PLAN p15 L1-p15 L7</x:v>
      </x:c>
      <x:c r="F6" s="8" t="str">
        <x:v>Canonical occurrence</x:v>
      </x:c>
    </x:row>
    <x:row r="7" ht="34" customHeight="1">
      <x:c r="A7" s="8" t="str">
        <x:v>P4-PLAN-006</x:v>
      </x:c>
      <x:c r="B7" s="8" t="str">
        <x:v>P4-PLAN-006</x:v>
      </x:c>
      <x:c r="C7" s="9" t="n">
        <x:v>6</x:v>
      </x:c>
      <x:c r="D7" s="8" t="str">
        <x:v>SLR planning</x:v>
      </x:c>
      <x:c r="E7" s="8" t="str">
        <x:v>PLAN p16 L25-p16 L30</x:v>
      </x:c>
      <x:c r="F7" s="8" t="str">
        <x:v>Canonical occurrence</x:v>
      </x:c>
    </x:row>
    <x:row r="8" ht="34" customHeight="1">
      <x:c r="A8" s="8" t="str">
        <x:v>P4-PLAN-007</x:v>
      </x:c>
      <x:c r="B8" s="8" t="str">
        <x:v>P4-PLAN-007</x:v>
      </x:c>
      <x:c r="C8" s="9" t="n">
        <x:v>7</x:v>
      </x:c>
      <x:c r="D8" s="8" t="str">
        <x:v>SLR planning</x:v>
      </x:c>
      <x:c r="E8" s="8" t="str">
        <x:v>PLAN p18 L13-p18 L13</x:v>
      </x:c>
      <x:c r="F8" s="8" t="str">
        <x:v>Canonical occurrence</x:v>
      </x:c>
    </x:row>
    <x:row r="9" ht="34" customHeight="1">
      <x:c r="A9" s="8" t="str">
        <x:v>P4-PLAN-008</x:v>
      </x:c>
      <x:c r="B9" s="8" t="str">
        <x:v>P4-PLAN-008</x:v>
      </x:c>
      <x:c r="C9" s="9" t="n">
        <x:v>8</x:v>
      </x:c>
      <x:c r="D9" s="8" t="str">
        <x:v>SLR planning</x:v>
      </x:c>
      <x:c r="E9" s="8" t="str">
        <x:v>PLAN p19 L11-p19 L14</x:v>
      </x:c>
      <x:c r="F9" s="8" t="str">
        <x:v>Canonical occurrence</x:v>
      </x:c>
    </x:row>
    <x:row r="10" ht="34" customHeight="1">
      <x:c r="A10" s="8" t="str">
        <x:v>P4-PLAN-009</x:v>
      </x:c>
      <x:c r="B10" s="8" t="str">
        <x:v>P4-PLAN-009</x:v>
      </x:c>
      <x:c r="C10" s="9" t="n">
        <x:v>9</x:v>
      </x:c>
      <x:c r="D10" s="8" t="str">
        <x:v>SLR planning</x:v>
      </x:c>
      <x:c r="E10" s="8" t="str">
        <x:v>PLAN p20 L20-p20 L20</x:v>
      </x:c>
      <x:c r="F10" s="8" t="str">
        <x:v>Canonical occurrence</x:v>
      </x:c>
    </x:row>
    <x:row r="11" ht="34" customHeight="1">
      <x:c r="A11" s="8" t="str">
        <x:v>P4-PLAN-010</x:v>
      </x:c>
      <x:c r="B11" s="8" t="str">
        <x:v>P4-PLAN-010</x:v>
      </x:c>
      <x:c r="C11" s="9" t="n">
        <x:v>10</x:v>
      </x:c>
      <x:c r="D11" s="8" t="str">
        <x:v>SLR planning</x:v>
      </x:c>
      <x:c r="E11" s="8" t="str">
        <x:v>PLAN p21 L20-p21 L21</x:v>
      </x:c>
      <x:c r="F11" s="8" t="str">
        <x:v>Canonical occurrence</x:v>
      </x:c>
    </x:row>
    <x:row r="12" ht="34" customHeight="1">
      <x:c r="A12" s="8" t="str">
        <x:v>P4-PLAN-011</x:v>
      </x:c>
      <x:c r="B12" s="8" t="str">
        <x:v>P4-PLAN-011</x:v>
      </x:c>
      <x:c r="C12" s="9" t="n">
        <x:v>11</x:v>
      </x:c>
      <x:c r="D12" s="8" t="str">
        <x:v>SLR planning</x:v>
      </x:c>
      <x:c r="E12" s="8" t="str">
        <x:v>PLAN p26 L23-p26 L38</x:v>
      </x:c>
      <x:c r="F12" s="8" t="str">
        <x:v>Canonical occurrence</x:v>
      </x:c>
    </x:row>
    <x:row r="13" ht="34" customHeight="1">
      <x:c r="A13" s="8" t="str">
        <x:v>P4-PLAN-012</x:v>
      </x:c>
      <x:c r="B13" s="8" t="str">
        <x:v>P4-PLAN-012</x:v>
      </x:c>
      <x:c r="C13" s="9" t="n">
        <x:v>12</x:v>
      </x:c>
      <x:c r="D13" s="8" t="str">
        <x:v>SLR planning</x:v>
      </x:c>
      <x:c r="E13" s="8" t="str">
        <x:v>PLAN p30 L6-p30 L7</x:v>
      </x:c>
      <x:c r="F13" s="8" t="str">
        <x:v>Canonical occurrence</x:v>
      </x:c>
    </x:row>
    <x:row r="14" ht="34" customHeight="1">
      <x:c r="A14" s="8" t="str">
        <x:v>P4-PLAN-013</x:v>
      </x:c>
      <x:c r="B14" s="8" t="str">
        <x:v>P4-PLAN-013</x:v>
      </x:c>
      <x:c r="C14" s="9" t="n">
        <x:v>13</x:v>
      </x:c>
      <x:c r="D14" s="8" t="str">
        <x:v>SLR planning</x:v>
      </x:c>
      <x:c r="E14" s="8" t="str">
        <x:v>PLAN p31 L1-p31 L7</x:v>
      </x:c>
      <x:c r="F14" s="8" t="str">
        <x:v>Canonical occurrence</x:v>
      </x:c>
    </x:row>
    <x:row r="15" ht="34" customHeight="1">
      <x:c r="A15" s="8" t="str">
        <x:v>P4-PLAN-014</x:v>
      </x:c>
      <x:c r="B15" s="8" t="str">
        <x:v>P4-PLAN-014</x:v>
      </x:c>
      <x:c r="C15" s="9" t="n">
        <x:v>14</x:v>
      </x:c>
      <x:c r="D15" s="8" t="str">
        <x:v>SLR planning</x:v>
      </x:c>
      <x:c r="E15" s="8" t="str">
        <x:v>PLAN p32 L19-p32 L19</x:v>
      </x:c>
      <x:c r="F15" s="8" t="str">
        <x:v>Canonical occurrence</x:v>
      </x:c>
    </x:row>
    <x:row r="16" ht="34" customHeight="1">
      <x:c r="A16" s="8" t="str">
        <x:v>P4-PLAN-015</x:v>
      </x:c>
      <x:c r="B16" s="8" t="str">
        <x:v>P4-PLAN-015</x:v>
      </x:c>
      <x:c r="C16" s="9" t="n">
        <x:v>15</x:v>
      </x:c>
      <x:c r="D16" s="8" t="str">
        <x:v>SLR planning</x:v>
      </x:c>
      <x:c r="E16" s="8" t="str">
        <x:v>PLAN p36 L19-p36 L20</x:v>
      </x:c>
      <x:c r="F16" s="8" t="str">
        <x:v>Canonical occurrence</x:v>
      </x:c>
    </x:row>
    <x:row r="17" ht="34" customHeight="1">
      <x:c r="A17" s="8" t="str">
        <x:v>P4-EXEC-001</x:v>
      </x:c>
      <x:c r="B17" s="8" t="str">
        <x:v>P4-PLAN-001</x:v>
      </x:c>
      <x:c r="C17" s="9" t="n">
        <x:v>1</x:v>
      </x:c>
      <x:c r="D17" s="8" t="str">
        <x:v>SLR execution</x:v>
      </x:c>
      <x:c r="E17" s="8" t="str">
        <x:v>EXEC p3 L2-p3 L5</x:v>
      </x:c>
      <x:c r="F17" s="8" t="str">
        <x:v>Shared history duplicate</x:v>
      </x:c>
    </x:row>
    <x:row r="18" ht="34" customHeight="1">
      <x:c r="A18" s="8" t="str">
        <x:v>P4-EXEC-002</x:v>
      </x:c>
      <x:c r="B18" s="8" t="str">
        <x:v>P4-PLAN-002</x:v>
      </x:c>
      <x:c r="C18" s="9" t="n">
        <x:v>2</x:v>
      </x:c>
      <x:c r="D18" s="8" t="str">
        <x:v>SLR execution</x:v>
      </x:c>
      <x:c r="E18" s="8" t="str">
        <x:v>EXEC p6 L8-p6 L22</x:v>
      </x:c>
      <x:c r="F18" s="8" t="str">
        <x:v>Shared history duplicate</x:v>
      </x:c>
    </x:row>
    <x:row r="19" ht="34" customHeight="1">
      <x:c r="A19" s="8" t="str">
        <x:v>P4-EXEC-003</x:v>
      </x:c>
      <x:c r="B19" s="8" t="str">
        <x:v>P4-PLAN-003</x:v>
      </x:c>
      <x:c r="C19" s="9" t="n">
        <x:v>3</x:v>
      </x:c>
      <x:c r="D19" s="8" t="str">
        <x:v>SLR execution</x:v>
      </x:c>
      <x:c r="E19" s="8" t="str">
        <x:v>EXEC p8 L9-p8 L26</x:v>
      </x:c>
      <x:c r="F19" s="8" t="str">
        <x:v>Shared history duplicate</x:v>
      </x:c>
    </x:row>
    <x:row r="20" ht="34" customHeight="1">
      <x:c r="A20" s="8" t="str">
        <x:v>P4-EXEC-004</x:v>
      </x:c>
      <x:c r="B20" s="8" t="str">
        <x:v>P4-PLAN-004</x:v>
      </x:c>
      <x:c r="C20" s="9" t="n">
        <x:v>4</x:v>
      </x:c>
      <x:c r="D20" s="8" t="str">
        <x:v>SLR execution</x:v>
      </x:c>
      <x:c r="E20" s="8" t="str">
        <x:v>EXEC p12 L4-p12 L8</x:v>
      </x:c>
      <x:c r="F20" s="8" t="str">
        <x:v>Shared history duplicate</x:v>
      </x:c>
    </x:row>
    <x:row r="21" ht="34" customHeight="1">
      <x:c r="A21" s="8" t="str">
        <x:v>P4-EXEC-005</x:v>
      </x:c>
      <x:c r="B21" s="8" t="str">
        <x:v>P4-PLAN-005</x:v>
      </x:c>
      <x:c r="C21" s="9" t="n">
        <x:v>5</x:v>
      </x:c>
      <x:c r="D21" s="8" t="str">
        <x:v>SLR execution</x:v>
      </x:c>
      <x:c r="E21" s="8" t="str">
        <x:v>EXEC p16 L1-p16 L7</x:v>
      </x:c>
      <x:c r="F21" s="8" t="str">
        <x:v>Shared history duplicate</x:v>
      </x:c>
    </x:row>
    <x:row r="22" ht="34" customHeight="1">
      <x:c r="A22" s="8" t="str">
        <x:v>P4-EXEC-006</x:v>
      </x:c>
      <x:c r="B22" s="8" t="str">
        <x:v>P4-PLAN-006</x:v>
      </x:c>
      <x:c r="C22" s="9" t="n">
        <x:v>6</x:v>
      </x:c>
      <x:c r="D22" s="8" t="str">
        <x:v>SLR execution</x:v>
      </x:c>
      <x:c r="E22" s="8" t="str">
        <x:v>EXEC p17 L25-p17 L30</x:v>
      </x:c>
      <x:c r="F22" s="8" t="str">
        <x:v>Shared history duplicate</x:v>
      </x:c>
    </x:row>
    <x:row r="23" ht="34" customHeight="1">
      <x:c r="A23" s="8" t="str">
        <x:v>P4-EXEC-007</x:v>
      </x:c>
      <x:c r="B23" s="8" t="str">
        <x:v>P4-EXEC-007</x:v>
      </x:c>
      <x:c r="C23" s="9" t="n">
        <x:v>16</x:v>
      </x:c>
      <x:c r="D23" s="8" t="str">
        <x:v>SLR execution</x:v>
      </x:c>
      <x:c r="E23" s="8" t="str">
        <x:v>EXEC p19 L13-p19 L13</x:v>
      </x:c>
      <x:c r="F23" s="8" t="str">
        <x:v>Canonical occurrence</x:v>
      </x:c>
    </x:row>
    <x:row r="24" ht="34" customHeight="1">
      <x:c r="A24" s="8" t="str">
        <x:v>P4-EXEC-008</x:v>
      </x:c>
      <x:c r="B24" s="8" t="str">
        <x:v>P4-EXEC-008</x:v>
      </x:c>
      <x:c r="C24" s="9" t="n">
        <x:v>17</x:v>
      </x:c>
      <x:c r="D24" s="8" t="str">
        <x:v>SLR execution</x:v>
      </x:c>
      <x:c r="E24" s="8" t="str">
        <x:v>EXEC p19 L28-p19 L36</x:v>
      </x:c>
      <x:c r="F24" s="8" t="str">
        <x:v>Canonical occurrence</x:v>
      </x:c>
    </x:row>
    <x:row r="25" ht="34" customHeight="1">
      <x:c r="A25" s="8" t="str">
        <x:v>P4-EXEC-009</x:v>
      </x:c>
      <x:c r="B25" s="8" t="str">
        <x:v>P4-EXEC-009</x:v>
      </x:c>
      <x:c r="C25" s="9" t="n">
        <x:v>18</x:v>
      </x:c>
      <x:c r="D25" s="8" t="str">
        <x:v>SLR execution</x:v>
      </x:c>
      <x:c r="E25" s="8" t="str">
        <x:v>EXEC p20 L36-p20 L39</x:v>
      </x:c>
      <x:c r="F25" s="8" t="str">
        <x:v>Canonical occurrence</x:v>
      </x:c>
    </x:row>
    <x:row r="26" ht="34" customHeight="1">
      <x:c r="A26" s="8" t="str">
        <x:v>P4-EXEC-010</x:v>
      </x:c>
      <x:c r="B26" s="8" t="str">
        <x:v>P4-EXEC-010</x:v>
      </x:c>
      <x:c r="C26" s="9" t="n">
        <x:v>19</x:v>
      </x:c>
      <x:c r="D26" s="8" t="str">
        <x:v>SLR execution</x:v>
      </x:c>
      <x:c r="E26" s="8" t="str">
        <x:v>EXEC p24 L8-p24 L14</x:v>
      </x:c>
      <x:c r="F26" s="8" t="str">
        <x:v>Canonical occurrence</x:v>
      </x:c>
    </x:row>
    <x:row r="27" ht="34" customHeight="1">
      <x:c r="A27" s="8" t="str">
        <x:v>P4-EXEC-011</x:v>
      </x:c>
      <x:c r="B27" s="8" t="str">
        <x:v>P4-EXEC-011</x:v>
      </x:c>
      <x:c r="C27" s="9" t="n">
        <x:v>20</x:v>
      </x:c>
      <x:c r="D27" s="8" t="str">
        <x:v>SLR execution</x:v>
      </x:c>
      <x:c r="E27" s="8" t="str">
        <x:v>EXEC p24 L15-p24 L16</x:v>
      </x:c>
      <x:c r="F27" s="8" t="str">
        <x:v>Canonical occurrence</x:v>
      </x:c>
    </x:row>
    <x:row r="28" ht="34" customHeight="1">
      <x:c r="A28" s="8" t="str">
        <x:v>P4-EXEC-012</x:v>
      </x:c>
      <x:c r="B28" s="8" t="str">
        <x:v>P4-EXEC-012</x:v>
      </x:c>
      <x:c r="C28" s="9" t="n">
        <x:v>21</x:v>
      </x:c>
      <x:c r="D28" s="8" t="str">
        <x:v>SLR execution</x:v>
      </x:c>
      <x:c r="E28" s="8" t="str">
        <x:v>EXEC p27 L12-p27 L17</x:v>
      </x:c>
      <x:c r="F28" s="8" t="str">
        <x:v>Canonical occurrence</x:v>
      </x:c>
    </x:row>
    <x:row r="29" ht="34" customHeight="1">
      <x:c r="A29" s="8" t="str">
        <x:v>P4-EXEC-013</x:v>
      </x:c>
      <x:c r="B29" s="8" t="str">
        <x:v>P4-EXEC-013</x:v>
      </x:c>
      <x:c r="C29" s="9" t="n">
        <x:v>22</x:v>
      </x:c>
      <x:c r="D29" s="8" t="str">
        <x:v>SLR execution</x:v>
      </x:c>
      <x:c r="E29" s="8" t="str">
        <x:v>EXEC p29 L35-p29 L37</x:v>
      </x:c>
      <x:c r="F29" s="8" t="str">
        <x:v>Canonical occurrence</x:v>
      </x:c>
    </x:row>
    <x:row r="30" ht="34" customHeight="1">
      <x:c r="A30" s="8" t="str">
        <x:v>P4-EXEC-014</x:v>
      </x:c>
      <x:c r="B30" s="8" t="str">
        <x:v>P4-EXEC-014</x:v>
      </x:c>
      <x:c r="C30" s="9" t="n">
        <x:v>23</x:v>
      </x:c>
      <x:c r="D30" s="8" t="str">
        <x:v>SLR execution</x:v>
      </x:c>
      <x:c r="E30" s="8" t="str">
        <x:v>EXEC p31 L16-p31 L22</x:v>
      </x:c>
      <x:c r="F30" s="8" t="str">
        <x:v>Canonical occurrence</x:v>
      </x:c>
    </x:row>
    <x:row r="31" ht="34" customHeight="1">
      <x:c r="A31" s="8" t="str">
        <x:v>P4-EXEC-015</x:v>
      </x:c>
      <x:c r="B31" s="8" t="str">
        <x:v>P4-EXEC-015</x:v>
      </x:c>
      <x:c r="C31" s="9" t="n">
        <x:v>24</x:v>
      </x:c>
      <x:c r="D31" s="8" t="str">
        <x:v>SLR execution</x:v>
      </x:c>
      <x:c r="E31" s="8" t="str">
        <x:v>EXEC p33 L33-p33 L38</x:v>
      </x:c>
      <x:c r="F31" s="8" t="str">
        <x:v>Canonical occurrence</x:v>
      </x:c>
    </x:row>
    <x:row r="32" ht="34" customHeight="1">
      <x:c r="A32" s="8" t="str">
        <x:v>P4-EXEC-016</x:v>
      </x:c>
      <x:c r="B32" s="8" t="str">
        <x:v>P4-EXEC-016</x:v>
      </x:c>
      <x:c r="C32" s="9" t="n">
        <x:v>25</x:v>
      </x:c>
      <x:c r="D32" s="8" t="str">
        <x:v>SLR execution</x:v>
      </x:c>
      <x:c r="E32" s="8" t="str">
        <x:v>EXEC p36 L39-p36 L39</x:v>
      </x:c>
      <x:c r="F32" s="8" t="str">
        <x:v>Canonical occurrence</x:v>
      </x:c>
    </x:row>
    <x:row r="33" ht="34" customHeight="1">
      <x:c r="A33" s="8" t="str">
        <x:v>P4-EXEC-017</x:v>
      </x:c>
      <x:c r="B33" s="8" t="str">
        <x:v>P4-EXEC-017</x:v>
      </x:c>
      <x:c r="C33" s="9" t="n">
        <x:v>26</x:v>
      </x:c>
      <x:c r="D33" s="8" t="str">
        <x:v>SLR execution</x:v>
      </x:c>
      <x:c r="E33" s="8" t="str">
        <x:v>EXEC p37 L2-p37 L2</x:v>
      </x:c>
      <x:c r="F33" s="8" t="str">
        <x:v>Canonical occurrence</x:v>
      </x:c>
    </x:row>
    <x:row r="34" ht="34" customHeight="1">
      <x:c r="A34" s="8" t="str">
        <x:v>P4-EXEC-018</x:v>
      </x:c>
      <x:c r="B34" s="8" t="str">
        <x:v>P4-EXEC-018</x:v>
      </x:c>
      <x:c r="C34" s="9" t="n">
        <x:v>27</x:v>
      </x:c>
      <x:c r="D34" s="8" t="str">
        <x:v>SLR execution</x:v>
      </x:c>
      <x:c r="E34" s="8" t="str">
        <x:v>EXEC p39 L15-p39 L27</x:v>
      </x:c>
      <x:c r="F34" s="8" t="str">
        <x:v>Canonical occurrence</x:v>
      </x:c>
    </x:row>
    <x:row r="35" ht="34" customHeight="1">
      <x:c r="A35" s="8" t="str">
        <x:v>P4-EXEC-019</x:v>
      </x:c>
      <x:c r="B35" s="8" t="str">
        <x:v>P4-EXEC-019</x:v>
      </x:c>
      <x:c r="C35" s="9" t="n">
        <x:v>28</x:v>
      </x:c>
      <x:c r="D35" s="8" t="str">
        <x:v>SLR execution</x:v>
      </x:c>
      <x:c r="E35" s="8" t="str">
        <x:v>EXEC p41 L17-p41 L34</x:v>
      </x:c>
      <x:c r="F35" s="8" t="str">
        <x:v>Canonical occurrence</x:v>
      </x:c>
    </x:row>
    <x:row r="36" ht="34" customHeight="1">
      <x:c r="A36" s="8" t="str">
        <x:v>P4-EXEC-020</x:v>
      </x:c>
      <x:c r="B36" s="8" t="str">
        <x:v>P4-EXEC-020</x:v>
      </x:c>
      <x:c r="C36" s="9" t="n">
        <x:v>29</x:v>
      </x:c>
      <x:c r="D36" s="8" t="str">
        <x:v>SLR execution</x:v>
      </x:c>
      <x:c r="E36" s="8" t="str">
        <x:v>EXEC p45 L19-p45 L43</x:v>
      </x:c>
      <x:c r="F36" s="8" t="str">
        <x:v>Canonical occurrence</x:v>
      </x:c>
    </x:row>
    <x:row r="37" ht="34" customHeight="1">
      <x:c r="A37" s="8" t="str">
        <x:v>P4-EXEC-021</x:v>
      </x:c>
      <x:c r="B37" s="8" t="str">
        <x:v>P4-EXEC-021</x:v>
      </x:c>
      <x:c r="C37" s="9" t="n">
        <x:v>30</x:v>
      </x:c>
      <x:c r="D37" s="8" t="str">
        <x:v>SLR execution</x:v>
      </x:c>
      <x:c r="E37" s="8" t="str">
        <x:v>EXEC p48 L22-p48 L27</x:v>
      </x:c>
      <x:c r="F37" s="8" t="str">
        <x:v>Canonical occurrence</x:v>
      </x:c>
    </x:row>
    <x:row r="38" ht="34" customHeight="1">
      <x:c r="A38" s="8" t="str">
        <x:v>P4-EXEC-022</x:v>
      </x:c>
      <x:c r="B38" s="8" t="str">
        <x:v>P4-EXEC-022</x:v>
      </x:c>
      <x:c r="C38" s="9" t="n">
        <x:v>31</x:v>
      </x:c>
      <x:c r="D38" s="8" t="str">
        <x:v>SLR execution</x:v>
      </x:c>
      <x:c r="E38" s="8" t="str">
        <x:v>EXEC p50 L3-p50 L13</x:v>
      </x:c>
      <x:c r="F38" s="8" t="str">
        <x:v>Canonical occurrence</x:v>
      </x:c>
    </x:row>
    <x:row r="39" ht="34" customHeight="1">
      <x:c r="A39" s="8" t="str">
        <x:v>P4-EXEC-023</x:v>
      </x:c>
      <x:c r="B39" s="8" t="str">
        <x:v>P4-EXEC-023</x:v>
      </x:c>
      <x:c r="C39" s="9" t="n">
        <x:v>32</x:v>
      </x:c>
      <x:c r="D39" s="8" t="str">
        <x:v>SLR execution</x:v>
      </x:c>
      <x:c r="E39" s="8" t="str">
        <x:v>EXEC p53 L1-p53 L2</x:v>
      </x:c>
      <x:c r="F39" s="8" t="str">
        <x:v>Canonical occurrence</x:v>
      </x:c>
    </x:row>
    <x:row r="40" ht="34" customHeight="1">
      <x:c r="A40" s="8" t="str">
        <x:v>P4-EXEC-024</x:v>
      </x:c>
      <x:c r="B40" s="8" t="str">
        <x:v>P4-EXEC-024</x:v>
      </x:c>
      <x:c r="C40" s="9" t="n">
        <x:v>33</x:v>
      </x:c>
      <x:c r="D40" s="8" t="str">
        <x:v>SLR execution</x:v>
      </x:c>
      <x:c r="E40" s="8" t="str">
        <x:v>EXEC p54 L18-p54 L20</x:v>
      </x:c>
      <x:c r="F40" s="8" t="str">
        <x:v>Canonical occurrence</x:v>
      </x:c>
    </x:row>
    <x:row r="41" ht="34" customHeight="1">
      <x:c r="A41" s="8" t="str">
        <x:v>P4-EXEC-025</x:v>
      </x:c>
      <x:c r="B41" s="8" t="str">
        <x:v>P4-EXEC-025</x:v>
      </x:c>
      <x:c r="C41" s="9" t="n">
        <x:v>34</x:v>
      </x:c>
      <x:c r="D41" s="8" t="str">
        <x:v>SLR execution</x:v>
      </x:c>
      <x:c r="E41" s="8" t="str">
        <x:v>EXEC p56 L33-p57 L15</x:v>
      </x:c>
      <x:c r="F41" s="8" t="str">
        <x:v>Canonical occurrence</x:v>
      </x:c>
    </x:row>
    <x:row r="42" ht="34" customHeight="1">
      <x:c r="A42" s="8" t="str">
        <x:v>P4-EXEC-026</x:v>
      </x:c>
      <x:c r="B42" s="8" t="str">
        <x:v>P4-EXEC-026</x:v>
      </x:c>
      <x:c r="C42" s="9" t="n">
        <x:v>35</x:v>
      </x:c>
      <x:c r="D42" s="8" t="str">
        <x:v>SLR execution</x:v>
      </x:c>
      <x:c r="E42" s="8" t="str">
        <x:v>EXEC p58 L19-p58 L40</x:v>
      </x:c>
      <x:c r="F42" s="8" t="str">
        <x:v>Canonical occurrence</x:v>
      </x:c>
    </x:row>
    <x:row r="43" ht="34" customHeight="1">
      <x:c r="A43" s="8" t="str">
        <x:v>P4-EXEC-027</x:v>
      </x:c>
      <x:c r="B43" s="8" t="str">
        <x:v>P4-EXEC-027</x:v>
      </x:c>
      <x:c r="C43" s="9" t="n">
        <x:v>36</x:v>
      </x:c>
      <x:c r="D43" s="8" t="str">
        <x:v>SLR execution</x:v>
      </x:c>
      <x:c r="E43" s="8" t="str">
        <x:v>EXEC p60 L3-p60 L7</x:v>
      </x:c>
      <x:c r="F43" s="8" t="str">
        <x:v>Canonical occurrence</x:v>
      </x:c>
    </x:row>
    <x:row r="44" ht="34" customHeight="1">
      <x:c r="A44" s="8" t="str">
        <x:v>P4-EXEC-028</x:v>
      </x:c>
      <x:c r="B44" s="8" t="str">
        <x:v>P4-EXEC-028</x:v>
      </x:c>
      <x:c r="C44" s="9" t="n">
        <x:v>37</x:v>
      </x:c>
      <x:c r="D44" s="8" t="str">
        <x:v>SLR execution</x:v>
      </x:c>
      <x:c r="E44" s="8" t="str">
        <x:v>EXEC p61 L8-p61 L11</x:v>
      </x:c>
      <x:c r="F44" s="8" t="str">
        <x:v>Canonical occurrence</x:v>
      </x:c>
    </x:row>
    <x:row r="45" ht="34" customHeight="1">
      <x:c r="A45" s="8" t="str">
        <x:v>P4-EXEC-029</x:v>
      </x:c>
      <x:c r="B45" s="8" t="str">
        <x:v>P4-EXEC-029</x:v>
      </x:c>
      <x:c r="C45" s="9" t="n">
        <x:v>38</x:v>
      </x:c>
      <x:c r="D45" s="8" t="str">
        <x:v>SLR execution</x:v>
      </x:c>
      <x:c r="E45" s="8" t="str">
        <x:v>EXEC p62 L32-p62 L32</x:v>
      </x:c>
      <x:c r="F45" s="8" t="str">
        <x:v>Canonical occurrence</x:v>
      </x:c>
    </x:row>
    <x:row r="46" ht="34" customHeight="1">
      <x:c r="A46" s="8" t="str">
        <x:v>P4-EXEC-030</x:v>
      </x:c>
      <x:c r="B46" s="8" t="str">
        <x:v>P4-EXEC-030</x:v>
      </x:c>
      <x:c r="C46" s="9" t="n">
        <x:v>39</x:v>
      </x:c>
      <x:c r="D46" s="8" t="str">
        <x:v>SLR execution</x:v>
      </x:c>
      <x:c r="E46" s="8" t="str">
        <x:v>EXEC p64 L10-p64 L23</x:v>
      </x:c>
      <x:c r="F46" s="8" t="str">
        <x:v>Canonical occurrence</x:v>
      </x:c>
    </x:row>
    <x:row r="47" ht="34" customHeight="1">
      <x:c r="A47" s="8" t="str">
        <x:v>P4-EXEC-031</x:v>
      </x:c>
      <x:c r="B47" s="8" t="str">
        <x:v>P4-EXEC-031</x:v>
      </x:c>
      <x:c r="C47" s="9" t="n">
        <x:v>40</x:v>
      </x:c>
      <x:c r="D47" s="8" t="str">
        <x:v>SLR execution</x:v>
      </x:c>
      <x:c r="E47" s="8" t="str">
        <x:v>EXEC p68 L9-p68 L15</x:v>
      </x:c>
      <x:c r="F47" s="8" t="str">
        <x:v>Canonical occurrence</x:v>
      </x:c>
    </x:row>
    <x:row r="48" ht="34" customHeight="1">
      <x:c r="A48" s="8" t="str">
        <x:v>P4-EXEC-032</x:v>
      </x:c>
      <x:c r="B48" s="8" t="str">
        <x:v>P4-EXEC-032</x:v>
      </x:c>
      <x:c r="C48" s="9" t="n">
        <x:v>41</x:v>
      </x:c>
      <x:c r="D48" s="8" t="str">
        <x:v>SLR execution</x:v>
      </x:c>
      <x:c r="E48" s="8" t="str">
        <x:v>EXEC p69 L23-p69 L26</x:v>
      </x:c>
      <x:c r="F48" s="8" t="str">
        <x:v>Canonical occurrence</x:v>
      </x:c>
    </x:row>
    <x:row r="49" ht="34" customHeight="1">
      <x:c r="A49" s="8" t="str">
        <x:v>P4-EXEC-033</x:v>
      </x:c>
      <x:c r="B49" s="8" t="str">
        <x:v>P4-EXEC-033</x:v>
      </x:c>
      <x:c r="C49" s="9" t="n">
        <x:v>42</x:v>
      </x:c>
      <x:c r="D49" s="8" t="str">
        <x:v>SLR execution</x:v>
      </x:c>
      <x:c r="E49" s="8" t="str">
        <x:v>EXEC p71 L4-p71 L14</x:v>
      </x:c>
      <x:c r="F49" s="8" t="str">
        <x:v>Canonical occurrence</x:v>
      </x:c>
    </x:row>
    <x:row r="50" ht="34" customHeight="1">
      <x:c r="A50" s="8" t="str">
        <x:v>P4-EXEC-034</x:v>
      </x:c>
      <x:c r="B50" s="8" t="str">
        <x:v>P4-EXEC-034</x:v>
      </x:c>
      <x:c r="C50" s="9" t="n">
        <x:v>43</x:v>
      </x:c>
      <x:c r="D50" s="8" t="str">
        <x:v>SLR execution</x:v>
      </x:c>
      <x:c r="E50" s="8" t="str">
        <x:v>EXEC p72 L38-p73 L3</x:v>
      </x:c>
      <x:c r="F50" s="8" t="str">
        <x:v>Canonical occurrence</x:v>
      </x:c>
    </x:row>
    <x:row r="51" ht="34" customHeight="1">
      <x:c r="A51" s="8" t="str">
        <x:v>P4-EXEC-035</x:v>
      </x:c>
      <x:c r="B51" s="8" t="str">
        <x:v>P4-EXEC-035</x:v>
      </x:c>
      <x:c r="C51" s="9" t="n">
        <x:v>44</x:v>
      </x:c>
      <x:c r="D51" s="8" t="str">
        <x:v>SLR execution</x:v>
      </x:c>
      <x:c r="E51" s="8" t="str">
        <x:v>EXEC p73 L18-p73 L18</x:v>
      </x:c>
      <x:c r="F51" s="8" t="str">
        <x:v>Canonical occurrence</x:v>
      </x:c>
    </x:row>
    <x:row r="52" ht="34" customHeight="1">
      <x:c r="A52" s="8" t="str">
        <x:v>P4-EXEC-036</x:v>
      </x:c>
      <x:c r="B52" s="8" t="str">
        <x:v>P4-EXEC-036</x:v>
      </x:c>
      <x:c r="C52" s="9" t="n">
        <x:v>45</x:v>
      </x:c>
      <x:c r="D52" s="8" t="str">
        <x:v>SLR execution</x:v>
      </x:c>
      <x:c r="E52" s="8" t="str">
        <x:v>EXEC p74 L15-p74 L16</x:v>
      </x:c>
      <x:c r="F52" s="8" t="str">
        <x:v>Canonical occurrence</x:v>
      </x:c>
    </x:row>
    <x:row r="53" ht="34" customHeight="1">
      <x:c r="A53" s="8" t="str">
        <x:v>P4-EXEC-037</x:v>
      </x:c>
      <x:c r="B53" s="8" t="str">
        <x:v>P4-EXEC-037</x:v>
      </x:c>
      <x:c r="C53" s="9" t="n">
        <x:v>46</x:v>
      </x:c>
      <x:c r="D53" s="8" t="str">
        <x:v>SLR execution</x:v>
      </x:c>
      <x:c r="E53" s="8" t="str">
        <x:v>EXEC p74 L24-p74 L50</x:v>
      </x:c>
      <x:c r="F53" s="8" t="str">
        <x:v>Canonical occurrence</x:v>
      </x:c>
    </x:row>
    <x:row r="54" ht="34" customHeight="1">
      <x:c r="A54" s="8" t="str">
        <x:v>P4-EXEC-038</x:v>
      </x:c>
      <x:c r="B54" s="8" t="str">
        <x:v>P4-EXEC-038</x:v>
      </x:c>
      <x:c r="C54" s="9" t="n">
        <x:v>47</x:v>
      </x:c>
      <x:c r="D54" s="8" t="str">
        <x:v>SLR execution</x:v>
      </x:c>
      <x:c r="E54" s="8" t="str">
        <x:v>EXEC p76 L4-p76 L4</x:v>
      </x:c>
      <x:c r="F54" s="8" t="str">
        <x:v>Canonical occurrence</x:v>
      </x:c>
    </x:row>
    <x:row r="55" ht="34" customHeight="1">
      <x:c r="A55" s="8" t="str">
        <x:v>P4-EXEC-039</x:v>
      </x:c>
      <x:c r="B55" s="8" t="str">
        <x:v>P4-EXEC-039</x:v>
      </x:c>
      <x:c r="C55" s="9" t="n">
        <x:v>48</x:v>
      </x:c>
      <x:c r="D55" s="8" t="str">
        <x:v>SLR execution</x:v>
      </x:c>
      <x:c r="E55" s="8" t="str">
        <x:v>EXEC p76 L19-p76 L20</x:v>
      </x:c>
      <x:c r="F55" s="8" t="str">
        <x:v>Canonical occurrence</x:v>
      </x:c>
    </x:row>
    <x:row r="56" ht="34" customHeight="1">
      <x:c r="A56" s="8" t="str">
        <x:v>P4-EXEC-040</x:v>
      </x:c>
      <x:c r="B56" s="8" t="str">
        <x:v>P4-EXEC-040</x:v>
      </x:c>
      <x:c r="C56" s="9" t="n">
        <x:v>49</x:v>
      </x:c>
      <x:c r="D56" s="8" t="str">
        <x:v>SLR execution</x:v>
      </x:c>
      <x:c r="E56" s="8" t="str">
        <x:v>EXEC p77 L7-p77 L14</x:v>
      </x:c>
      <x:c r="F56" s="8" t="str">
        <x:v>Canonical occurrence</x:v>
      </x:c>
    </x:row>
    <x:row r="57" ht="34" customHeight="1">
      <x:c r="A57" s="8" t="str">
        <x:v>P4-EXEC-041</x:v>
      </x:c>
      <x:c r="B57" s="8" t="str">
        <x:v>P4-EXEC-041</x:v>
      </x:c>
      <x:c r="C57" s="9" t="n">
        <x:v>50</x:v>
      </x:c>
      <x:c r="D57" s="8" t="str">
        <x:v>SLR execution</x:v>
      </x:c>
      <x:c r="E57" s="8" t="str">
        <x:v>EXEC p77 L47-p77 L47</x:v>
      </x:c>
      <x:c r="F57" s="8" t="str">
        <x:v>Canonical occurrence</x:v>
      </x:c>
    </x:row>
    <x:row r="58" ht="34" customHeight="1">
      <x:c r="A58" s="8" t="str">
        <x:v>P4-EXEC-042</x:v>
      </x:c>
      <x:c r="B58" s="8" t="str">
        <x:v>P4-EXEC-042</x:v>
      </x:c>
      <x:c r="C58" s="9" t="n">
        <x:v>51</x:v>
      </x:c>
      <x:c r="D58" s="8" t="str">
        <x:v>SLR execution</x:v>
      </x:c>
      <x:c r="E58" s="8" t="str">
        <x:v>EXEC p78 L16-p78 L16</x:v>
      </x:c>
      <x:c r="F58" s="8" t="str">
        <x:v>Canonical occurrence</x:v>
      </x:c>
    </x:row>
    <x:row r="59" ht="34" customHeight="1">
      <x:c r="A59" s="8" t="str">
        <x:v>P4-EXEC-043</x:v>
      </x:c>
      <x:c r="B59" s="8" t="str">
        <x:v>P4-EXEC-043</x:v>
      </x:c>
      <x:c r="C59" s="9" t="n">
        <x:v>52</x:v>
      </x:c>
      <x:c r="D59" s="8" t="str">
        <x:v>SLR execution</x:v>
      </x:c>
      <x:c r="E59" s="8" t="str">
        <x:v>EXEC p78 L34-p78 L34</x:v>
      </x:c>
      <x:c r="F59" s="8" t="str">
        <x:v>Canonical occurrence</x:v>
      </x:c>
    </x:row>
    <x:row r="60" ht="34" customHeight="1">
      <x:c r="A60" s="8" t="str">
        <x:v>P4-EXEC-044</x:v>
      </x:c>
      <x:c r="B60" s="8" t="str">
        <x:v>P4-EXEC-044</x:v>
      </x:c>
      <x:c r="C60" s="9" t="n">
        <x:v>53</x:v>
      </x:c>
      <x:c r="D60" s="8" t="str">
        <x:v>SLR execution</x:v>
      </x:c>
      <x:c r="E60" s="8" t="str">
        <x:v>EXEC p79 L38-p79 L38</x:v>
      </x:c>
      <x:c r="F60" s="8" t="str">
        <x:v>Canonical occurrence</x:v>
      </x:c>
    </x:row>
    <x:row r="61" ht="34" customHeight="1">
      <x:c r="A61" s="8" t="str">
        <x:v>P4-EXEC-045</x:v>
      </x:c>
      <x:c r="B61" s="8" t="str">
        <x:v>P4-EXEC-045</x:v>
      </x:c>
      <x:c r="C61" s="9" t="n">
        <x:v>54</x:v>
      </x:c>
      <x:c r="D61" s="8" t="str">
        <x:v>SLR execution</x:v>
      </x:c>
      <x:c r="E61" s="8" t="str">
        <x:v>EXEC p81 L14-p81 L17</x:v>
      </x:c>
      <x:c r="F61" s="8" t="str">
        <x:v>Canonical occurrence</x:v>
      </x:c>
    </x:row>
    <x:row r="62" ht="34" customHeight="1">
      <x:c r="A62" s="8" t="str">
        <x:v>P4-EXEC-046</x:v>
      </x:c>
      <x:c r="B62" s="8" t="str">
        <x:v>P4-EXEC-046</x:v>
      </x:c>
      <x:c r="C62" s="9" t="n">
        <x:v>55</x:v>
      </x:c>
      <x:c r="D62" s="8" t="str">
        <x:v>SLR execution</x:v>
      </x:c>
      <x:c r="E62" s="8" t="str">
        <x:v>EXEC p81 L27-p81 L28</x:v>
      </x:c>
      <x:c r="F62" s="8" t="str">
        <x:v>Canonical occurrence</x:v>
      </x:c>
    </x:row>
    <x:row r="63" ht="34" customHeight="1">
      <x:c r="A63" s="8" t="str">
        <x:v>P4-EXEC-047</x:v>
      </x:c>
      <x:c r="B63" s="8" t="str">
        <x:v>P4-EXEC-047</x:v>
      </x:c>
      <x:c r="C63" s="9" t="n">
        <x:v>56</x:v>
      </x:c>
      <x:c r="D63" s="8" t="str">
        <x:v>SLR execution</x:v>
      </x:c>
      <x:c r="E63" s="8" t="str">
        <x:v>EXEC p82 L26-p82 L30</x:v>
      </x:c>
      <x:c r="F63" s="8" t="str">
        <x:v>Canonical occurrence</x:v>
      </x:c>
    </x:row>
    <x:row r="64" ht="34" customHeight="1">
      <x:c r="A64" s="8" t="str">
        <x:v>P4-EXEC-048</x:v>
      </x:c>
      <x:c r="B64" s="8" t="str">
        <x:v>P4-EXEC-048</x:v>
      </x:c>
      <x:c r="C64" s="9" t="n">
        <x:v>57</x:v>
      </x:c>
      <x:c r="D64" s="8" t="str">
        <x:v>SLR execution</x:v>
      </x:c>
      <x:c r="E64" s="8" t="str">
        <x:v>EXEC p83 L26-p83 L26</x:v>
      </x:c>
      <x:c r="F64" s="8" t="str">
        <x:v>Canonical occurrence</x:v>
      </x:c>
    </x:row>
    <x:row r="65" ht="34" customHeight="1">
      <x:c r="A65" s="8" t="str">
        <x:v>P4-W1-001</x:v>
      </x:c>
      <x:c r="B65" s="8" t="str">
        <x:v>P4-W1-001</x:v>
      </x:c>
      <x:c r="C65" s="9" t="n">
        <x:v>58</x:v>
      </x:c>
      <x:c r="D65" s="8" t="str">
        <x:v>Writing part 1</x:v>
      </x:c>
      <x:c r="E65" s="8" t="str">
        <x:v>W1 p3 L2-p3 L4</x:v>
      </x:c>
      <x:c r="F65" s="8" t="str">
        <x:v>Canonical occurrence</x:v>
      </x:c>
    </x:row>
    <x:row r="66" ht="34" customHeight="1">
      <x:c r="A66" s="8" t="str">
        <x:v>P4-W1-002</x:v>
      </x:c>
      <x:c r="B66" s="8" t="str">
        <x:v>P4-W1-002</x:v>
      </x:c>
      <x:c r="C66" s="9" t="n">
        <x:v>59</x:v>
      </x:c>
      <x:c r="D66" s="8" t="str">
        <x:v>Writing part 1</x:v>
      </x:c>
      <x:c r="E66" s="8" t="str">
        <x:v>W1 p8 L11-p8 L11</x:v>
      </x:c>
      <x:c r="F66" s="8" t="str">
        <x:v>Canonical occurrence</x:v>
      </x:c>
    </x:row>
    <x:row r="67" ht="34" customHeight="1">
      <x:c r="A67" s="8" t="str">
        <x:v>P4-W1-003</x:v>
      </x:c>
      <x:c r="B67" s="8" t="str">
        <x:v>P4-W1-003</x:v>
      </x:c>
      <x:c r="C67" s="9" t="n">
        <x:v>60</x:v>
      </x:c>
      <x:c r="D67" s="8" t="str">
        <x:v>Writing part 1</x:v>
      </x:c>
      <x:c r="E67" s="8" t="str">
        <x:v>W1 p12 L14-p12 L16</x:v>
      </x:c>
      <x:c r="F67" s="8" t="str">
        <x:v>Canonical occurrence</x:v>
      </x:c>
    </x:row>
    <x:row r="68" ht="34" customHeight="1">
      <x:c r="A68" s="8" t="str">
        <x:v>P4-W1-004</x:v>
      </x:c>
      <x:c r="B68" s="8" t="str">
        <x:v>P4-W1-004</x:v>
      </x:c>
      <x:c r="C68" s="9" t="n">
        <x:v>61</x:v>
      </x:c>
      <x:c r="D68" s="8" t="str">
        <x:v>Writing part 1</x:v>
      </x:c>
      <x:c r="E68" s="8" t="str">
        <x:v>W1 p15 L23-p15 L37</x:v>
      </x:c>
      <x:c r="F68" s="8" t="str">
        <x:v>Canonical occurrence</x:v>
      </x:c>
    </x:row>
    <x:row r="69" ht="34" customHeight="1">
      <x:c r="A69" s="8" t="str">
        <x:v>P4-W1-005</x:v>
      </x:c>
      <x:c r="B69" s="8" t="str">
        <x:v>P4-W1-005</x:v>
      </x:c>
      <x:c r="C69" s="9" t="n">
        <x:v>62</x:v>
      </x:c>
      <x:c r="D69" s="8" t="str">
        <x:v>Writing part 1</x:v>
      </x:c>
      <x:c r="E69" s="8" t="str">
        <x:v>W1 p16 L16-p16 L27</x:v>
      </x:c>
      <x:c r="F69" s="8" t="str">
        <x:v>Canonical occurrence</x:v>
      </x:c>
    </x:row>
    <x:row r="70" ht="34" customHeight="1">
      <x:c r="A70" s="8" t="str">
        <x:v>P4-W1-006</x:v>
      </x:c>
      <x:c r="B70" s="8" t="str">
        <x:v>P4-W1-006</x:v>
      </x:c>
      <x:c r="C70" s="9" t="n">
        <x:v>63</x:v>
      </x:c>
      <x:c r="D70" s="8" t="str">
        <x:v>Writing part 1</x:v>
      </x:c>
      <x:c r="E70" s="8" t="str">
        <x:v>W1 p17 L17-p17 L24</x:v>
      </x:c>
      <x:c r="F70" s="8" t="str">
        <x:v>Canonical occurrence</x:v>
      </x:c>
    </x:row>
    <x:row r="71" ht="34" customHeight="1">
      <x:c r="A71" s="8" t="str">
        <x:v>P4-W1-007</x:v>
      </x:c>
      <x:c r="B71" s="8" t="str">
        <x:v>P4-W1-007</x:v>
      </x:c>
      <x:c r="C71" s="9" t="n">
        <x:v>64</x:v>
      </x:c>
      <x:c r="D71" s="8" t="str">
        <x:v>Writing part 1</x:v>
      </x:c>
      <x:c r="E71" s="8" t="str">
        <x:v>W1 p17 L46-p17 L46</x:v>
      </x:c>
      <x:c r="F71" s="8" t="str">
        <x:v>Canonical occurrence</x:v>
      </x:c>
    </x:row>
    <x:row r="72" ht="34" customHeight="1">
      <x:c r="A72" s="8" t="str">
        <x:v>P4-W1-008</x:v>
      </x:c>
      <x:c r="B72" s="8" t="str">
        <x:v>P4-W1-008</x:v>
      </x:c>
      <x:c r="C72" s="9" t="n">
        <x:v>65</x:v>
      </x:c>
      <x:c r="D72" s="8" t="str">
        <x:v>Writing part 1</x:v>
      </x:c>
      <x:c r="E72" s="8" t="str">
        <x:v>W1 p18 L12-p18 L23</x:v>
      </x:c>
      <x:c r="F72" s="8" t="str">
        <x:v>Canonical occurrence</x:v>
      </x:c>
    </x:row>
    <x:row r="73" ht="34" customHeight="1">
      <x:c r="A73" s="8" t="str">
        <x:v>P4-W1-009</x:v>
      </x:c>
      <x:c r="B73" s="8" t="str">
        <x:v>P4-W1-009</x:v>
      </x:c>
      <x:c r="C73" s="9" t="n">
        <x:v>66</x:v>
      </x:c>
      <x:c r="D73" s="8" t="str">
        <x:v>Writing part 1</x:v>
      </x:c>
      <x:c r="E73" s="8" t="str">
        <x:v>W1 p18 L31-p18 L42</x:v>
      </x:c>
      <x:c r="F73" s="8" t="str">
        <x:v>Canonical occurrence</x:v>
      </x:c>
    </x:row>
    <x:row r="74" ht="34" customHeight="1">
      <x:c r="A74" s="8" t="str">
        <x:v>P4-W1-010</x:v>
      </x:c>
      <x:c r="B74" s="8" t="str">
        <x:v>P4-W1-010</x:v>
      </x:c>
      <x:c r="C74" s="9" t="n">
        <x:v>67</x:v>
      </x:c>
      <x:c r="D74" s="8" t="str">
        <x:v>Writing part 1</x:v>
      </x:c>
      <x:c r="E74" s="8" t="str">
        <x:v>W1 p19 L11-p19 L11</x:v>
      </x:c>
      <x:c r="F74" s="8" t="str">
        <x:v>Canonical occurrence</x:v>
      </x:c>
    </x:row>
    <x:row r="75" ht="34" customHeight="1">
      <x:c r="A75" s="8" t="str">
        <x:v>P4-W1-011</x:v>
      </x:c>
      <x:c r="B75" s="8" t="str">
        <x:v>P4-W1-011</x:v>
      </x:c>
      <x:c r="C75" s="9" t="n">
        <x:v>68</x:v>
      </x:c>
      <x:c r="D75" s="8" t="str">
        <x:v>Writing part 1</x:v>
      </x:c>
      <x:c r="E75" s="8" t="str">
        <x:v>W1 p19 L24-p20 L7</x:v>
      </x:c>
      <x:c r="F75" s="8" t="str">
        <x:v>Canonical occurrence</x:v>
      </x:c>
    </x:row>
    <x:row r="76" ht="34" customHeight="1">
      <x:c r="A76" s="8" t="str">
        <x:v>P4-W1-012</x:v>
      </x:c>
      <x:c r="B76" s="8" t="str">
        <x:v>P4-W1-012</x:v>
      </x:c>
      <x:c r="C76" s="9" t="n">
        <x:v>69</x:v>
      </x:c>
      <x:c r="D76" s="8" t="str">
        <x:v>Writing part 1</x:v>
      </x:c>
      <x:c r="E76" s="8" t="str">
        <x:v>W1 p20 L20-p20 L31</x:v>
      </x:c>
      <x:c r="F76" s="8" t="str">
        <x:v>Canonical occurrence</x:v>
      </x:c>
    </x:row>
    <x:row r="77" ht="34" customHeight="1">
      <x:c r="A77" s="8" t="str">
        <x:v>P4-W1-013</x:v>
      </x:c>
      <x:c r="B77" s="8" t="str">
        <x:v>P4-W1-013</x:v>
      </x:c>
      <x:c r="C77" s="9" t="n">
        <x:v>70</x:v>
      </x:c>
      <x:c r="D77" s="8" t="str">
        <x:v>Writing part 1</x:v>
      </x:c>
      <x:c r="E77" s="8" t="str">
        <x:v>W1 p20 L45-p21 L1</x:v>
      </x:c>
      <x:c r="F77" s="8" t="str">
        <x:v>Canonical occurrence</x:v>
      </x:c>
    </x:row>
    <x:row r="78" ht="34" customHeight="1">
      <x:c r="A78" s="8" t="str">
        <x:v>P4-W1-014</x:v>
      </x:c>
      <x:c r="B78" s="8" t="str">
        <x:v>P4-W1-014</x:v>
      </x:c>
      <x:c r="C78" s="9" t="n">
        <x:v>71</x:v>
      </x:c>
      <x:c r="D78" s="8" t="str">
        <x:v>Writing part 1</x:v>
      </x:c>
      <x:c r="E78" s="8" t="str">
        <x:v>W1 p21 L10-p21 L22</x:v>
      </x:c>
      <x:c r="F78" s="8" t="str">
        <x:v>Canonical occurrence</x:v>
      </x:c>
    </x:row>
    <x:row r="79" ht="34" customHeight="1">
      <x:c r="A79" s="8" t="str">
        <x:v>P4-W1-015</x:v>
      </x:c>
      <x:c r="B79" s="8" t="str">
        <x:v>P4-W1-015</x:v>
      </x:c>
      <x:c r="C79" s="9" t="n">
        <x:v>72</x:v>
      </x:c>
      <x:c r="D79" s="8" t="str">
        <x:v>Writing part 1</x:v>
      </x:c>
      <x:c r="E79" s="8" t="str">
        <x:v>W1 p22 L1-p22 L2</x:v>
      </x:c>
      <x:c r="F79" s="8" t="str">
        <x:v>Canonical occurrence</x:v>
      </x:c>
    </x:row>
    <x:row r="80" ht="34" customHeight="1">
      <x:c r="A80" s="8" t="str">
        <x:v>P4-W1-016</x:v>
      </x:c>
      <x:c r="B80" s="8" t="str">
        <x:v>P4-W1-016</x:v>
      </x:c>
      <x:c r="C80" s="9" t="n">
        <x:v>73</x:v>
      </x:c>
      <x:c r="D80" s="8" t="str">
        <x:v>Writing part 1</x:v>
      </x:c>
      <x:c r="E80" s="8" t="str">
        <x:v>W1 p22 L16-p22 L16</x:v>
      </x:c>
      <x:c r="F80" s="8" t="str">
        <x:v>Canonical occurrence</x:v>
      </x:c>
    </x:row>
    <x:row r="81" ht="34" customHeight="1">
      <x:c r="A81" s="8" t="str">
        <x:v>P4-W1-017</x:v>
      </x:c>
      <x:c r="B81" s="8" t="str">
        <x:v>P4-W1-017</x:v>
      </x:c>
      <x:c r="C81" s="9" t="n">
        <x:v>74</x:v>
      </x:c>
      <x:c r="D81" s="8" t="str">
        <x:v>Writing part 1</x:v>
      </x:c>
      <x:c r="E81" s="8" t="str">
        <x:v>W1 p23 L1-p23 L37</x:v>
      </x:c>
      <x:c r="F81" s="8" t="str">
        <x:v>Canonical occurrence</x:v>
      </x:c>
    </x:row>
    <x:row r="82" ht="34" customHeight="1">
      <x:c r="A82" s="8" t="str">
        <x:v>P4-W1-018</x:v>
      </x:c>
      <x:c r="B82" s="8" t="str">
        <x:v>P4-W1-018</x:v>
      </x:c>
      <x:c r="C82" s="9" t="n">
        <x:v>75</x:v>
      </x:c>
      <x:c r="D82" s="8" t="str">
        <x:v>Writing part 1</x:v>
      </x:c>
      <x:c r="E82" s="8" t="str">
        <x:v>W1 p24 L3-p24 L5</x:v>
      </x:c>
      <x:c r="F82" s="8" t="str">
        <x:v>Canonical occurrence</x:v>
      </x:c>
    </x:row>
    <x:row r="83" ht="34" customHeight="1">
      <x:c r="A83" s="8" t="str">
        <x:v>P4-W1-019</x:v>
      </x:c>
      <x:c r="B83" s="8" t="str">
        <x:v>P4-W1-019</x:v>
      </x:c>
      <x:c r="C83" s="9" t="n">
        <x:v>76</x:v>
      </x:c>
      <x:c r="D83" s="8" t="str">
        <x:v>Writing part 1</x:v>
      </x:c>
      <x:c r="E83" s="8" t="str">
        <x:v>W1 p24 L36-p24 L41</x:v>
      </x:c>
      <x:c r="F83" s="8" t="str">
        <x:v>Canonical occurrence</x:v>
      </x:c>
    </x:row>
    <x:row r="84" ht="34" customHeight="1">
      <x:c r="A84" s="8" t="str">
        <x:v>P4-W1-020</x:v>
      </x:c>
      <x:c r="B84" s="8" t="str">
        <x:v>P4-W1-020</x:v>
      </x:c>
      <x:c r="C84" s="9" t="n">
        <x:v>77</x:v>
      </x:c>
      <x:c r="D84" s="8" t="str">
        <x:v>Writing part 1</x:v>
      </x:c>
      <x:c r="E84" s="8" t="str">
        <x:v>W1 p25 L20-p25 L20</x:v>
      </x:c>
      <x:c r="F84" s="8" t="str">
        <x:v>Canonical occurrence</x:v>
      </x:c>
    </x:row>
    <x:row r="85" ht="34" customHeight="1">
      <x:c r="A85" s="8" t="str">
        <x:v>P4-W1-021</x:v>
      </x:c>
      <x:c r="B85" s="8" t="str">
        <x:v>P4-W1-021</x:v>
      </x:c>
      <x:c r="C85" s="9" t="n">
        <x:v>78</x:v>
      </x:c>
      <x:c r="D85" s="8" t="str">
        <x:v>Writing part 1</x:v>
      </x:c>
      <x:c r="E85" s="8" t="str">
        <x:v>W1 p25 L44-p25 L45</x:v>
      </x:c>
      <x:c r="F85" s="8" t="str">
        <x:v>Canonical occurrence</x:v>
      </x:c>
    </x:row>
    <x:row r="86" ht="34" customHeight="1">
      <x:c r="A86" s="8" t="str">
        <x:v>P4-W1-022</x:v>
      </x:c>
      <x:c r="B86" s="8" t="str">
        <x:v>P4-W1-022</x:v>
      </x:c>
      <x:c r="C86" s="9" t="n">
        <x:v>79</x:v>
      </x:c>
      <x:c r="D86" s="8" t="str">
        <x:v>Writing part 1</x:v>
      </x:c>
      <x:c r="E86" s="8" t="str">
        <x:v>W1 p26 L12-p26 L45</x:v>
      </x:c>
      <x:c r="F86" s="8" t="str">
        <x:v>Canonical occurrence</x:v>
      </x:c>
    </x:row>
    <x:row r="87" ht="34" customHeight="1">
      <x:c r="A87" s="8" t="str">
        <x:v>P4-W1-023</x:v>
      </x:c>
      <x:c r="B87" s="8" t="str">
        <x:v>P4-W1-023</x:v>
      </x:c>
      <x:c r="C87" s="9" t="n">
        <x:v>80</x:v>
      </x:c>
      <x:c r="D87" s="8" t="str">
        <x:v>Writing part 1</x:v>
      </x:c>
      <x:c r="E87" s="8" t="str">
        <x:v>W1 p27 L39-p27 L44</x:v>
      </x:c>
      <x:c r="F87" s="8" t="str">
        <x:v>Canonical occurrence</x:v>
      </x:c>
    </x:row>
    <x:row r="88" ht="34" customHeight="1">
      <x:c r="A88" s="8" t="str">
        <x:v>P4-W1-024</x:v>
      </x:c>
      <x:c r="B88" s="8" t="str">
        <x:v>P4-W1-024</x:v>
      </x:c>
      <x:c r="C88" s="9" t="n">
        <x:v>81</x:v>
      </x:c>
      <x:c r="D88" s="8" t="str">
        <x:v>Writing part 1</x:v>
      </x:c>
      <x:c r="E88" s="8" t="str">
        <x:v>W1 p28 L15-p28 L15</x:v>
      </x:c>
      <x:c r="F88" s="8" t="str">
        <x:v>Canonical occurrence</x:v>
      </x:c>
    </x:row>
    <x:row r="89" ht="34" customHeight="1">
      <x:c r="A89" s="8" t="str">
        <x:v>P4-W1-025</x:v>
      </x:c>
      <x:c r="B89" s="8" t="str">
        <x:v>P4-W1-025</x:v>
      </x:c>
      <x:c r="C89" s="9" t="n">
        <x:v>82</x:v>
      </x:c>
      <x:c r="D89" s="8" t="str">
        <x:v>Writing part 1</x:v>
      </x:c>
      <x:c r="E89" s="8" t="str">
        <x:v>W1 p28 L24-p28 L24</x:v>
      </x:c>
      <x:c r="F89" s="8" t="str">
        <x:v>Canonical occurrence</x:v>
      </x:c>
    </x:row>
    <x:row r="90" ht="34" customHeight="1">
      <x:c r="A90" s="8" t="str">
        <x:v>P4-W1-026</x:v>
      </x:c>
      <x:c r="B90" s="8" t="str">
        <x:v>P4-W1-026</x:v>
      </x:c>
      <x:c r="C90" s="9" t="n">
        <x:v>83</x:v>
      </x:c>
      <x:c r="D90" s="8" t="str">
        <x:v>Writing part 1</x:v>
      </x:c>
      <x:c r="E90" s="8" t="str">
        <x:v>W1 p28 L27-p28 L29</x:v>
      </x:c>
      <x:c r="F90" s="8" t="str">
        <x:v>Canonical occurrence</x:v>
      </x:c>
    </x:row>
    <x:row r="91" ht="34" customHeight="1">
      <x:c r="A91" s="8" t="str">
        <x:v>P4-W1-027</x:v>
      </x:c>
      <x:c r="B91" s="8" t="str">
        <x:v>P4-W1-027</x:v>
      </x:c>
      <x:c r="C91" s="9" t="n">
        <x:v>84</x:v>
      </x:c>
      <x:c r="D91" s="8" t="str">
        <x:v>Writing part 1</x:v>
      </x:c>
      <x:c r="E91" s="8" t="str">
        <x:v>W1 p31 L38-p31 L38</x:v>
      </x:c>
      <x:c r="F91" s="8" t="str">
        <x:v>Canonical occurrence</x:v>
      </x:c>
    </x:row>
    <x:row r="92" ht="34" customHeight="1">
      <x:c r="A92" s="8" t="str">
        <x:v>P4-W1-028</x:v>
      </x:c>
      <x:c r="B92" s="8" t="str">
        <x:v>P4-W1-028</x:v>
      </x:c>
      <x:c r="C92" s="9" t="n">
        <x:v>85</x:v>
      </x:c>
      <x:c r="D92" s="8" t="str">
        <x:v>Writing part 1</x:v>
      </x:c>
      <x:c r="E92" s="8" t="str">
        <x:v>W1 p33 L19-p33 L22</x:v>
      </x:c>
      <x:c r="F92" s="8" t="str">
        <x:v>Canonical occurrence</x:v>
      </x:c>
    </x:row>
    <x:row r="93" ht="34" customHeight="1">
      <x:c r="A93" s="8" t="str">
        <x:v>P4-W1-029</x:v>
      </x:c>
      <x:c r="B93" s="8" t="str">
        <x:v>P4-W1-029</x:v>
      </x:c>
      <x:c r="C93" s="9" t="n">
        <x:v>86</x:v>
      </x:c>
      <x:c r="D93" s="8" t="str">
        <x:v>Writing part 1</x:v>
      </x:c>
      <x:c r="E93" s="8" t="str">
        <x:v>W1 p34 L15-p34 L15</x:v>
      </x:c>
      <x:c r="F93" s="8" t="str">
        <x:v>Canonical occurrence</x:v>
      </x:c>
    </x:row>
    <x:row r="94" ht="34" customHeight="1">
      <x:c r="A94" s="8" t="str">
        <x:v>P4-W1-030</x:v>
      </x:c>
      <x:c r="B94" s="8" t="str">
        <x:v>P4-W1-030</x:v>
      </x:c>
      <x:c r="C94" s="9" t="n">
        <x:v>87</x:v>
      </x:c>
      <x:c r="D94" s="8" t="str">
        <x:v>Writing part 1</x:v>
      </x:c>
      <x:c r="E94" s="8" t="str">
        <x:v>W1 p35 L30-p35 L30</x:v>
      </x:c>
      <x:c r="F94" s="8" t="str">
        <x:v>Canonical occurrence</x:v>
      </x:c>
    </x:row>
    <x:row r="95" ht="34" customHeight="1">
      <x:c r="A95" s="8" t="str">
        <x:v>P4-W1-031</x:v>
      </x:c>
      <x:c r="B95" s="8" t="str">
        <x:v>P4-W1-031</x:v>
      </x:c>
      <x:c r="C95" s="9" t="n">
        <x:v>88</x:v>
      </x:c>
      <x:c r="D95" s="8" t="str">
        <x:v>Writing part 1</x:v>
      </x:c>
      <x:c r="E95" s="8" t="str">
        <x:v>W1 p36 L34-p36 L34</x:v>
      </x:c>
      <x:c r="F95" s="8" t="str">
        <x:v>Canonical occurrence</x:v>
      </x:c>
    </x:row>
    <x:row r="96" ht="34" customHeight="1">
      <x:c r="A96" s="8" t="str">
        <x:v>P4-W1-032</x:v>
      </x:c>
      <x:c r="B96" s="8" t="str">
        <x:v>P4-W1-032</x:v>
      </x:c>
      <x:c r="C96" s="9" t="n">
        <x:v>89</x:v>
      </x:c>
      <x:c r="D96" s="8" t="str">
        <x:v>Writing part 1</x:v>
      </x:c>
      <x:c r="E96" s="8" t="str">
        <x:v>W1 p38 L20-p38 L20</x:v>
      </x:c>
      <x:c r="F96" s="8" t="str">
        <x:v>Canonical occurrence</x:v>
      </x:c>
    </x:row>
    <x:row r="97" ht="34" customHeight="1">
      <x:c r="A97" s="8" t="str">
        <x:v>P4-W1-033</x:v>
      </x:c>
      <x:c r="B97" s="8" t="str">
        <x:v>P4-W1-033</x:v>
      </x:c>
      <x:c r="C97" s="9" t="n">
        <x:v>90</x:v>
      </x:c>
      <x:c r="D97" s="8" t="str">
        <x:v>Writing part 1</x:v>
      </x:c>
      <x:c r="E97" s="8" t="str">
        <x:v>W1 p40 L18-p40 L18</x:v>
      </x:c>
      <x:c r="F97" s="8" t="str">
        <x:v>Canonical occurrence</x:v>
      </x:c>
    </x:row>
    <x:row r="98" ht="34" customHeight="1">
      <x:c r="A98" s="8" t="str">
        <x:v>P4-W1-034</x:v>
      </x:c>
      <x:c r="B98" s="8" t="str">
        <x:v>P4-W1-034</x:v>
      </x:c>
      <x:c r="C98" s="9" t="n">
        <x:v>91</x:v>
      </x:c>
      <x:c r="D98" s="8" t="str">
        <x:v>Writing part 1</x:v>
      </x:c>
      <x:c r="E98" s="8" t="str">
        <x:v>W1 p41 L36-p41 L36</x:v>
      </x:c>
      <x:c r="F98" s="8" t="str">
        <x:v>Canonical occurrence</x:v>
      </x:c>
    </x:row>
    <x:row r="99" ht="34" customHeight="1">
      <x:c r="A99" s="8" t="str">
        <x:v>P4-W1-035</x:v>
      </x:c>
      <x:c r="B99" s="8" t="str">
        <x:v>P4-W1-035</x:v>
      </x:c>
      <x:c r="C99" s="9" t="n">
        <x:v>92</x:v>
      </x:c>
      <x:c r="D99" s="8" t="str">
        <x:v>Writing part 1</x:v>
      </x:c>
      <x:c r="E99" s="8" t="str">
        <x:v>W1 p42 L36-p42 L37</x:v>
      </x:c>
      <x:c r="F99" s="8" t="str">
        <x:v>Canonical occurrence</x:v>
      </x:c>
    </x:row>
    <x:row r="100" ht="34" customHeight="1">
      <x:c r="A100" s="8" t="str">
        <x:v>P4-W1-036</x:v>
      </x:c>
      <x:c r="B100" s="8" t="str">
        <x:v>P4-W1-036</x:v>
      </x:c>
      <x:c r="C100" s="9" t="n">
        <x:v>93</x:v>
      </x:c>
      <x:c r="D100" s="8" t="str">
        <x:v>Writing part 1</x:v>
      </x:c>
      <x:c r="E100" s="8" t="str">
        <x:v>W1 p44 L18-p44 L21</x:v>
      </x:c>
      <x:c r="F100" s="8" t="str">
        <x:v>Canonical occurrence</x:v>
      </x:c>
    </x:row>
    <x:row r="101" ht="34" customHeight="1">
      <x:c r="A101" s="8" t="str">
        <x:v>P4-W1-037</x:v>
      </x:c>
      <x:c r="B101" s="8" t="str">
        <x:v>P4-W1-037</x:v>
      </x:c>
      <x:c r="C101" s="9" t="n">
        <x:v>94</x:v>
      </x:c>
      <x:c r="D101" s="8" t="str">
        <x:v>Writing part 1</x:v>
      </x:c>
      <x:c r="E101" s="8" t="str">
        <x:v>W1 p47 L21-p47 L21</x:v>
      </x:c>
      <x:c r="F101" s="8" t="str">
        <x:v>Canonical occurrence</x:v>
      </x:c>
    </x:row>
    <x:row r="102" ht="34" customHeight="1">
      <x:c r="A102" s="8" t="str">
        <x:v>P4-W1-038</x:v>
      </x:c>
      <x:c r="B102" s="8" t="str">
        <x:v>P4-W1-038</x:v>
      </x:c>
      <x:c r="C102" s="9" t="n">
        <x:v>95</x:v>
      </x:c>
      <x:c r="D102" s="8" t="str">
        <x:v>Writing part 1</x:v>
      </x:c>
      <x:c r="E102" s="8" t="str">
        <x:v>W1 p48 L35-p48 L35</x:v>
      </x:c>
      <x:c r="F102" s="8" t="str">
        <x:v>Canonical occurrence</x:v>
      </x:c>
    </x:row>
    <x:row r="103" ht="34" customHeight="1">
      <x:c r="A103" s="8" t="str">
        <x:v>P4-W1-039</x:v>
      </x:c>
      <x:c r="B103" s="8" t="str">
        <x:v>P4-W1-039</x:v>
      </x:c>
      <x:c r="C103" s="9" t="n">
        <x:v>96</x:v>
      </x:c>
      <x:c r="D103" s="8" t="str">
        <x:v>Writing part 1</x:v>
      </x:c>
      <x:c r="E103" s="8" t="str">
        <x:v>W1 p49 L9-p49 L10</x:v>
      </x:c>
      <x:c r="F103" s="8" t="str">
        <x:v>Canonical occurrence</x:v>
      </x:c>
    </x:row>
    <x:row r="104" ht="34" customHeight="1">
      <x:c r="A104" s="8" t="str">
        <x:v>P4-W1-040</x:v>
      </x:c>
      <x:c r="B104" s="8" t="str">
        <x:v>P4-W1-040</x:v>
      </x:c>
      <x:c r="C104" s="9" t="n">
        <x:v>97</x:v>
      </x:c>
      <x:c r="D104" s="8" t="str">
        <x:v>Writing part 1</x:v>
      </x:c>
      <x:c r="E104" s="8" t="str">
        <x:v>W1 p49 L35-p49 L35</x:v>
      </x:c>
      <x:c r="F104" s="8" t="str">
        <x:v>Canonical occurrence</x:v>
      </x:c>
    </x:row>
    <x:row r="105" ht="34" customHeight="1">
      <x:c r="A105" s="8" t="str">
        <x:v>P4-W1-041</x:v>
      </x:c>
      <x:c r="B105" s="8" t="str">
        <x:v>P4-W1-041</x:v>
      </x:c>
      <x:c r="C105" s="9" t="n">
        <x:v>98</x:v>
      </x:c>
      <x:c r="D105" s="8" t="str">
        <x:v>Writing part 1</x:v>
      </x:c>
      <x:c r="E105" s="8" t="str">
        <x:v>W1 p51 L28-p51 L28</x:v>
      </x:c>
      <x:c r="F105" s="8" t="str">
        <x:v>Canonical occurrence</x:v>
      </x:c>
    </x:row>
    <x:row r="106" ht="34" customHeight="1">
      <x:c r="A106" s="8" t="str">
        <x:v>P4-W1-042</x:v>
      </x:c>
      <x:c r="B106" s="8" t="str">
        <x:v>P4-W1-042</x:v>
      </x:c>
      <x:c r="C106" s="9" t="n">
        <x:v>99</x:v>
      </x:c>
      <x:c r="D106" s="8" t="str">
        <x:v>Writing part 1</x:v>
      </x:c>
      <x:c r="E106" s="8" t="str">
        <x:v>W1 p52 L43-p53 L1</x:v>
      </x:c>
      <x:c r="F106" s="8" t="str">
        <x:v>Canonical occurrence</x:v>
      </x:c>
    </x:row>
    <x:row r="107" ht="34" customHeight="1">
      <x:c r="A107" s="8" t="str">
        <x:v>P4-W1-043</x:v>
      </x:c>
      <x:c r="B107" s="8" t="str">
        <x:v>P4-W1-043</x:v>
      </x:c>
      <x:c r="C107" s="9" t="n">
        <x:v>100</x:v>
      </x:c>
      <x:c r="D107" s="8" t="str">
        <x:v>Writing part 1</x:v>
      </x:c>
      <x:c r="E107" s="8" t="str">
        <x:v>W1 p55 L1-p55 L1</x:v>
      </x:c>
      <x:c r="F107" s="8" t="str">
        <x:v>Canonical occurrence</x:v>
      </x:c>
    </x:row>
    <x:row r="108" ht="34" customHeight="1">
      <x:c r="A108" s="8" t="str">
        <x:v>P4-W1-044</x:v>
      </x:c>
      <x:c r="B108" s="8" t="str">
        <x:v>P4-W1-044</x:v>
      </x:c>
      <x:c r="C108" s="9" t="n">
        <x:v>101</x:v>
      </x:c>
      <x:c r="D108" s="8" t="str">
        <x:v>Writing part 1</x:v>
      </x:c>
      <x:c r="E108" s="8" t="str">
        <x:v>W1 p57 L41-p57 L41</x:v>
      </x:c>
      <x:c r="F108" s="8" t="str">
        <x:v>Canonical occurrence</x:v>
      </x:c>
    </x:row>
    <x:row r="109" ht="34" customHeight="1">
      <x:c r="A109" s="8" t="str">
        <x:v>P4-W1-045</x:v>
      </x:c>
      <x:c r="B109" s="8" t="str">
        <x:v>P4-W1-045</x:v>
      </x:c>
      <x:c r="C109" s="9" t="n">
        <x:v>102</x:v>
      </x:c>
      <x:c r="D109" s="8" t="str">
        <x:v>Writing part 1</x:v>
      </x:c>
      <x:c r="E109" s="8" t="str">
        <x:v>W1 p58 L4-p58 L5</x:v>
      </x:c>
      <x:c r="F109" s="8" t="str">
        <x:v>Canonical occurrence</x:v>
      </x:c>
    </x:row>
    <x:row r="110" ht="34" customHeight="1">
      <x:c r="A110" s="8" t="str">
        <x:v>P4-W1-046</x:v>
      </x:c>
      <x:c r="B110" s="8" t="str">
        <x:v>P4-W1-046</x:v>
      </x:c>
      <x:c r="C110" s="9" t="n">
        <x:v>103</x:v>
      </x:c>
      <x:c r="D110" s="8" t="str">
        <x:v>Writing part 1</x:v>
      </x:c>
      <x:c r="E110" s="8" t="str">
        <x:v>W1 p58 L29-p58 L29</x:v>
      </x:c>
      <x:c r="F110" s="8" t="str">
        <x:v>Canonical occurrence</x:v>
      </x:c>
    </x:row>
    <x:row r="111" ht="34" customHeight="1">
      <x:c r="A111" s="8" t="str">
        <x:v>P4-W1-047</x:v>
      </x:c>
      <x:c r="B111" s="8" t="str">
        <x:v>P4-W1-047</x:v>
      </x:c>
      <x:c r="C111" s="9" t="n">
        <x:v>104</x:v>
      </x:c>
      <x:c r="D111" s="8" t="str">
        <x:v>Writing part 1</x:v>
      </x:c>
      <x:c r="E111" s="8" t="str">
        <x:v>W1 p59 L10-p59 L11</x:v>
      </x:c>
      <x:c r="F111" s="8" t="str">
        <x:v>Canonical occurrence</x:v>
      </x:c>
    </x:row>
    <x:row r="112" ht="34" customHeight="1">
      <x:c r="A112" s="8" t="str">
        <x:v>P4-W1-048</x:v>
      </x:c>
      <x:c r="B112" s="8" t="str">
        <x:v>P4-W1-048</x:v>
      </x:c>
      <x:c r="C112" s="9" t="n">
        <x:v>105</x:v>
      </x:c>
      <x:c r="D112" s="8" t="str">
        <x:v>Writing part 1</x:v>
      </x:c>
      <x:c r="E112" s="8" t="str">
        <x:v>W1 p59 L25-p59 L25</x:v>
      </x:c>
      <x:c r="F112" s="8" t="str">
        <x:v>Canonical occurrence</x:v>
      </x:c>
    </x:row>
    <x:row r="113" ht="34" customHeight="1">
      <x:c r="A113" s="8" t="str">
        <x:v>P4-W1-049</x:v>
      </x:c>
      <x:c r="B113" s="8" t="str">
        <x:v>P4-W1-049</x:v>
      </x:c>
      <x:c r="C113" s="9" t="n">
        <x:v>106</x:v>
      </x:c>
      <x:c r="D113" s="8" t="str">
        <x:v>Writing part 1</x:v>
      </x:c>
      <x:c r="E113" s="8" t="str">
        <x:v>W1 p60 L46-p60 L50</x:v>
      </x:c>
      <x:c r="F113" s="8" t="str">
        <x:v>Canonical occurrence</x:v>
      </x:c>
    </x:row>
    <x:row r="114" ht="34" customHeight="1">
      <x:c r="A114" s="8" t="str">
        <x:v>P4-W1-050</x:v>
      </x:c>
      <x:c r="B114" s="8" t="str">
        <x:v>P4-W1-050</x:v>
      </x:c>
      <x:c r="C114" s="9" t="n">
        <x:v>107</x:v>
      </x:c>
      <x:c r="D114" s="8" t="str">
        <x:v>Writing part 1</x:v>
      </x:c>
      <x:c r="E114" s="8" t="str">
        <x:v>W1 p62 L5-p62 L5</x:v>
      </x:c>
      <x:c r="F114" s="8" t="str">
        <x:v>Canonical occurrence</x:v>
      </x:c>
    </x:row>
    <x:row r="115" ht="34" customHeight="1">
      <x:c r="A115" s="8" t="str">
        <x:v>P4-W1-051</x:v>
      </x:c>
      <x:c r="B115" s="8" t="str">
        <x:v>P4-W1-051</x:v>
      </x:c>
      <x:c r="C115" s="9" t="n">
        <x:v>108</x:v>
      </x:c>
      <x:c r="D115" s="8" t="str">
        <x:v>Writing part 1</x:v>
      </x:c>
      <x:c r="E115" s="8" t="str">
        <x:v>W1 p63 L13-p63 L21</x:v>
      </x:c>
      <x:c r="F115" s="8" t="str">
        <x:v>Canonical occurrence</x:v>
      </x:c>
    </x:row>
    <x:row r="116" ht="34" customHeight="1">
      <x:c r="A116" s="8" t="str">
        <x:v>P4-W1-052</x:v>
      </x:c>
      <x:c r="B116" s="8" t="str">
        <x:v>P4-W1-052</x:v>
      </x:c>
      <x:c r="C116" s="9" t="n">
        <x:v>109</x:v>
      </x:c>
      <x:c r="D116" s="8" t="str">
        <x:v>Writing part 1</x:v>
      </x:c>
      <x:c r="E116" s="8" t="str">
        <x:v>W1 p64 L18-p64 L21</x:v>
      </x:c>
      <x:c r="F116" s="8" t="str">
        <x:v>Canonical occurrence</x:v>
      </x:c>
    </x:row>
    <x:row r="117" ht="34" customHeight="1">
      <x:c r="A117" s="8" t="str">
        <x:v>P4-W1-053</x:v>
      </x:c>
      <x:c r="B117" s="8" t="str">
        <x:v>P4-W1-053</x:v>
      </x:c>
      <x:c r="C117" s="9" t="n">
        <x:v>110</x:v>
      </x:c>
      <x:c r="D117" s="8" t="str">
        <x:v>Writing part 1</x:v>
      </x:c>
      <x:c r="E117" s="8" t="str">
        <x:v>W1 p66 L1-p66 L4</x:v>
      </x:c>
      <x:c r="F117" s="8" t="str">
        <x:v>Canonical occurrence</x:v>
      </x:c>
    </x:row>
    <x:row r="118" ht="34" customHeight="1">
      <x:c r="A118" s="8" t="str">
        <x:v>P4-W1-054</x:v>
      </x:c>
      <x:c r="B118" s="8" t="str">
        <x:v>P4-W1-054</x:v>
      </x:c>
      <x:c r="C118" s="9" t="n">
        <x:v>111</x:v>
      </x:c>
      <x:c r="D118" s="8" t="str">
        <x:v>Writing part 1</x:v>
      </x:c>
      <x:c r="E118" s="8" t="str">
        <x:v>W1 p67 L34-p67 L36</x:v>
      </x:c>
      <x:c r="F118" s="8" t="str">
        <x:v>Canonical occurrence</x:v>
      </x:c>
    </x:row>
    <x:row r="119" ht="34" customHeight="1">
      <x:c r="A119" s="8" t="str">
        <x:v>P4-W1-055</x:v>
      </x:c>
      <x:c r="B119" s="8" t="str">
        <x:v>P4-W1-055</x:v>
      </x:c>
      <x:c r="C119" s="9" t="n">
        <x:v>112</x:v>
      </x:c>
      <x:c r="D119" s="8" t="str">
        <x:v>Writing part 1</x:v>
      </x:c>
      <x:c r="E119" s="8" t="str">
        <x:v>W1 p69 L21-p69 L28</x:v>
      </x:c>
      <x:c r="F119" s="8" t="str">
        <x:v>Canonical occurrence</x:v>
      </x:c>
    </x:row>
    <x:row r="120" ht="34" customHeight="1">
      <x:c r="A120" s="8" t="str">
        <x:v>P4-W1-056</x:v>
      </x:c>
      <x:c r="B120" s="8" t="str">
        <x:v>P4-W1-056</x:v>
      </x:c>
      <x:c r="C120" s="9" t="n">
        <x:v>113</x:v>
      </x:c>
      <x:c r="D120" s="8" t="str">
        <x:v>Writing part 1</x:v>
      </x:c>
      <x:c r="E120" s="8" t="str">
        <x:v>W1 p71 L10-p71 L11</x:v>
      </x:c>
      <x:c r="F120" s="8" t="str">
        <x:v>Canonical occurrence</x:v>
      </x:c>
    </x:row>
    <x:row r="121" ht="34" customHeight="1">
      <x:c r="A121" s="8" t="str">
        <x:v>P4-W1-057</x:v>
      </x:c>
      <x:c r="B121" s="8" t="str">
        <x:v>P4-W1-057</x:v>
      </x:c>
      <x:c r="C121" s="9" t="n">
        <x:v>114</x:v>
      </x:c>
      <x:c r="D121" s="8" t="str">
        <x:v>Writing part 1</x:v>
      </x:c>
      <x:c r="E121" s="8" t="str">
        <x:v>W1 p71 L31-p71 L36</x:v>
      </x:c>
      <x:c r="F121" s="8" t="str">
        <x:v>Canonical occurrence</x:v>
      </x:c>
    </x:row>
    <x:row r="122" ht="34" customHeight="1">
      <x:c r="A122" s="8" t="str">
        <x:v>P4-W1-058</x:v>
      </x:c>
      <x:c r="B122" s="8" t="str">
        <x:v>P4-W1-058</x:v>
      </x:c>
      <x:c r="C122" s="9" t="n">
        <x:v>115</x:v>
      </x:c>
      <x:c r="D122" s="8" t="str">
        <x:v>Writing part 1</x:v>
      </x:c>
      <x:c r="E122" s="8" t="str">
        <x:v>W1 p73 L3-p73 L4</x:v>
      </x:c>
      <x:c r="F122" s="8" t="str">
        <x:v>Canonical occurrence</x:v>
      </x:c>
    </x:row>
    <x:row r="123" ht="34" customHeight="1">
      <x:c r="A123" s="8" t="str">
        <x:v>P4-W1-059</x:v>
      </x:c>
      <x:c r="B123" s="8" t="str">
        <x:v>P4-W1-059</x:v>
      </x:c>
      <x:c r="C123" s="9" t="n">
        <x:v>116</x:v>
      </x:c>
      <x:c r="D123" s="8" t="str">
        <x:v>Writing part 1</x:v>
      </x:c>
      <x:c r="E123" s="8" t="str">
        <x:v>W1 p74 L41-p74 L41</x:v>
      </x:c>
      <x:c r="F123" s="8" t="str">
        <x:v>Canonical occurrence</x:v>
      </x:c>
    </x:row>
    <x:row r="124" ht="34" customHeight="1">
      <x:c r="A124" s="8" t="str">
        <x:v>P4-W2-001</x:v>
      </x:c>
      <x:c r="B124" s="8" t="str">
        <x:v>P4-W2-001</x:v>
      </x:c>
      <x:c r="C124" s="9" t="n">
        <x:v>117</x:v>
      </x:c>
      <x:c r="D124" s="8" t="str">
        <x:v>Writing part 2</x:v>
      </x:c>
      <x:c r="E124" s="8" t="str">
        <x:v>W2 p2 L2-p2 L5</x:v>
      </x:c>
      <x:c r="F124" s="8" t="str">
        <x:v>Canonical occurrence</x:v>
      </x:c>
    </x:row>
    <x:row r="125" ht="34" customHeight="1">
      <x:c r="A125" s="8" t="str">
        <x:v>P4-W2-002</x:v>
      </x:c>
      <x:c r="B125" s="8" t="str">
        <x:v>P4-W2-002</x:v>
      </x:c>
      <x:c r="C125" s="9" t="n">
        <x:v>118</x:v>
      </x:c>
      <x:c r="D125" s="8" t="str">
        <x:v>Writing part 2</x:v>
      </x:c>
      <x:c r="E125" s="8" t="str">
        <x:v>W2 p2 L6-p2 L8</x:v>
      </x:c>
      <x:c r="F125" s="8" t="str">
        <x:v>Canonical occurrence</x:v>
      </x:c>
    </x:row>
    <x:row r="126" ht="34" customHeight="1">
      <x:c r="A126" s="8" t="str">
        <x:v>P4-W2-003</x:v>
      </x:c>
      <x:c r="B126" s="8" t="str">
        <x:v>P4-W2-003</x:v>
      </x:c>
      <x:c r="C126" s="9" t="n">
        <x:v>119</x:v>
      </x:c>
      <x:c r="D126" s="8" t="str">
        <x:v>Writing part 2</x:v>
      </x:c>
      <x:c r="E126" s="8" t="str">
        <x:v>W2 p2 L14-p2 L14</x:v>
      </x:c>
      <x:c r="F126" s="8" t="str">
        <x:v>Canonical occurrence</x:v>
      </x:c>
    </x:row>
    <x:row r="127" ht="34" customHeight="1">
      <x:c r="A127" s="8" t="str">
        <x:v>P4-W2-004</x:v>
      </x:c>
      <x:c r="B127" s="8" t="str">
        <x:v>P4-W2-004</x:v>
      </x:c>
      <x:c r="C127" s="9" t="n">
        <x:v>120</x:v>
      </x:c>
      <x:c r="D127" s="8" t="str">
        <x:v>Writing part 2</x:v>
      </x:c>
      <x:c r="E127" s="8" t="str">
        <x:v>W2 p3 L9-p3 L14</x:v>
      </x:c>
      <x:c r="F127" s="8" t="str">
        <x:v>Canonical occurrence</x:v>
      </x:c>
    </x:row>
    <x:row r="128" ht="34" customHeight="1">
      <x:c r="A128" s="8" t="str">
        <x:v>P4-W2-005</x:v>
      </x:c>
      <x:c r="B128" s="8" t="str">
        <x:v>P4-W2-005</x:v>
      </x:c>
      <x:c r="C128" s="9" t="n">
        <x:v>121</x:v>
      </x:c>
      <x:c r="D128" s="8" t="str">
        <x:v>Writing part 2</x:v>
      </x:c>
      <x:c r="E128" s="8" t="str">
        <x:v>W2 p3 L25-p4 L5</x:v>
      </x:c>
      <x:c r="F128" s="8" t="str">
        <x:v>Canonical occurrence</x:v>
      </x:c>
    </x:row>
    <x:row r="129" ht="34" customHeight="1">
      <x:c r="A129" s="8" t="str">
        <x:v>P4-W2-006</x:v>
      </x:c>
      <x:c r="B129" s="8" t="str">
        <x:v>P4-W2-006</x:v>
      </x:c>
      <x:c r="C129" s="9" t="n">
        <x:v>122</x:v>
      </x:c>
      <x:c r="D129" s="8" t="str">
        <x:v>Writing part 2</x:v>
      </x:c>
      <x:c r="E129" s="8" t="str">
        <x:v>W2 p5 L1-p5 L4</x:v>
      </x:c>
      <x:c r="F129" s="8" t="str">
        <x:v>Canonical occurrence</x:v>
      </x:c>
    </x:row>
    <x:row r="130" ht="34" customHeight="1">
      <x:c r="A130" s="8" t="str">
        <x:v>P4-W2-007</x:v>
      </x:c>
      <x:c r="B130" s="8" t="str">
        <x:v>P4-W2-007</x:v>
      </x:c>
      <x:c r="C130" s="9" t="n">
        <x:v>123</x:v>
      </x:c>
      <x:c r="D130" s="8" t="str">
        <x:v>Writing part 2</x:v>
      </x:c>
      <x:c r="E130" s="8" t="str">
        <x:v>W2 p5 L35-p5 L43</x:v>
      </x:c>
      <x:c r="F130" s="8" t="str">
        <x:v>Canonical occurrence</x:v>
      </x:c>
    </x:row>
    <x:row r="131" ht="34" customHeight="1">
      <x:c r="A131" s="8" t="str">
        <x:v>P4-W2-008</x:v>
      </x:c>
      <x:c r="B131" s="8" t="str">
        <x:v>P4-W2-008</x:v>
      </x:c>
      <x:c r="C131" s="9" t="n">
        <x:v>124</x:v>
      </x:c>
      <x:c r="D131" s="8" t="str">
        <x:v>Writing part 2</x:v>
      </x:c>
      <x:c r="E131" s="8" t="str">
        <x:v>W2 p6 L27-p6 L28</x:v>
      </x:c>
      <x:c r="F131" s="8" t="str">
        <x:v>Canonical occurrence</x:v>
      </x:c>
    </x:row>
    <x:row r="132" ht="34" customHeight="1">
      <x:c r="A132" s="8" t="str">
        <x:v>P4-W2-009</x:v>
      </x:c>
      <x:c r="B132" s="8" t="str">
        <x:v>P4-W2-009</x:v>
      </x:c>
      <x:c r="C132" s="9" t="n">
        <x:v>125</x:v>
      </x:c>
      <x:c r="D132" s="8" t="str">
        <x:v>Writing part 2</x:v>
      </x:c>
      <x:c r="E132" s="8" t="str">
        <x:v>W2 p7 L13-p7 L18</x:v>
      </x:c>
      <x:c r="F132" s="8" t="str">
        <x:v>Canonical occurrence</x:v>
      </x:c>
    </x:row>
    <x:row r="133" ht="34" customHeight="1">
      <x:c r="A133" s="8" t="str">
        <x:v>P4-W2-010</x:v>
      </x:c>
      <x:c r="B133" s="8" t="str">
        <x:v>P4-W2-010</x:v>
      </x:c>
      <x:c r="C133" s="9" t="n">
        <x:v>126</x:v>
      </x:c>
      <x:c r="D133" s="8" t="str">
        <x:v>Writing part 2</x:v>
      </x:c>
      <x:c r="E133" s="8" t="str">
        <x:v>W2 p7 L35-p7 L36</x:v>
      </x:c>
      <x:c r="F133" s="8" t="str">
        <x:v>Canonical occurrence</x:v>
      </x:c>
    </x:row>
    <x:row r="134" ht="34" customHeight="1">
      <x:c r="A134" s="8" t="str">
        <x:v>P4-W2-011</x:v>
      </x:c>
      <x:c r="B134" s="8" t="str">
        <x:v>P4-W2-011</x:v>
      </x:c>
      <x:c r="C134" s="9" t="n">
        <x:v>127</x:v>
      </x:c>
      <x:c r="D134" s="8" t="str">
        <x:v>Writing part 2</x:v>
      </x:c>
      <x:c r="E134" s="8" t="str">
        <x:v>W2 p8 L7-p8 L7</x:v>
      </x:c>
      <x:c r="F134" s="8" t="str">
        <x:v>Canonical occurrence</x:v>
      </x:c>
    </x:row>
    <x:row r="135" ht="34" customHeight="1">
      <x:c r="A135" s="8" t="str">
        <x:v>P4-W2-012</x:v>
      </x:c>
      <x:c r="B135" s="8" t="str">
        <x:v>P4-W2-012</x:v>
      </x:c>
      <x:c r="C135" s="9" t="n">
        <x:v>128</x:v>
      </x:c>
      <x:c r="D135" s="8" t="str">
        <x:v>Writing part 2</x:v>
      </x:c>
      <x:c r="E135" s="8" t="str">
        <x:v>W2 p8 L17-p8 L21</x:v>
      </x:c>
      <x:c r="F135" s="8" t="str">
        <x:v>Canonical occurrence</x:v>
      </x:c>
    </x:row>
    <x:row r="136" ht="34" customHeight="1">
      <x:c r="A136" s="8" t="str">
        <x:v>P4-W2-013</x:v>
      </x:c>
      <x:c r="B136" s="8" t="str">
        <x:v>P4-W2-013</x:v>
      </x:c>
      <x:c r="C136" s="9" t="n">
        <x:v>129</x:v>
      </x:c>
      <x:c r="D136" s="8" t="str">
        <x:v>Writing part 2</x:v>
      </x:c>
      <x:c r="E136" s="8" t="str">
        <x:v>W2 p8 L37-p9 L6</x:v>
      </x:c>
      <x:c r="F136" s="8" t="str">
        <x:v>Canonical occurrence</x:v>
      </x:c>
    </x:row>
    <x:row r="137" ht="34" customHeight="1">
      <x:c r="A137" s="8" t="str">
        <x:v>P4-W2-014</x:v>
      </x:c>
      <x:c r="B137" s="8" t="str">
        <x:v>P4-W2-014</x:v>
      </x:c>
      <x:c r="C137" s="9" t="n">
        <x:v>130</x:v>
      </x:c>
      <x:c r="D137" s="8" t="str">
        <x:v>Writing part 2</x:v>
      </x:c>
      <x:c r="E137" s="8" t="str">
        <x:v>W2 p9 L20-p9 L21</x:v>
      </x:c>
      <x:c r="F137" s="8" t="str">
        <x:v>Canonical occurrence</x:v>
      </x:c>
    </x:row>
  </x:sheetData>
  <x:conditionalFormatting sqref="F2:F137">
    <x:cfRule type="containsText" dxfId="1" priority="1" operator="containsText" text="Shared history"/>
  </x:conditionalFormatting>
  <x:pageMargins left="0.7" right="0.7" top="0.75" bottom="0.75" header="0.3" footer="0.3"/>
  <x:tableParts count="1">
    <x:tablePart xmlns:r="http://schemas.openxmlformats.org/officeDocument/2006/relationships" r:id="R1dc831f237864162"/>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3" hidden="0" customWidth="1"/>
    <x:col min="2" max="2" width="31" hidden="0" customWidth="1"/>
    <x:col min="3" max="3" width="145" hidden="0" customWidth="1"/>
  </x:cols>
  <x:sheetData>
    <x:row r="1" ht="48" customHeight="1">
      <x:c r="A1" s="7" t="str">
        <x:v>Dimension</x:v>
      </x:c>
      <x:c r="B1" s="7" t="str">
        <x:v>Code / rule</x:v>
      </x:c>
      <x:c r="C1" s="7" t="str">
        <x:v>Definition / interpretation limit</x:v>
      </x:c>
    </x:row>
    <x:row r="2" ht="48" customHeight="1">
      <x:c r="A2" s="8" t="str">
        <x:v>Method</x:v>
      </x:c>
      <x:c r="B2" s="8" t="str">
        <x:v>Coverage</x:v>
      </x:c>
      <x:c r="C2" s="8" t="str">
        <x:v>Four logs contain 136 human-message occurrences across 205 PDF pages. Six shared planning/execution exchanges are repeated exports of the same history. The main coding dataset contains 130 distinct exchanges.</x:v>
      </x:c>
    </x:row>
    <x:row r="3" ht="62" customHeight="1">
      <x:c r="A3" s="8" t="str">
        <x:v>Method</x:v>
      </x:c>
      <x:c r="B3" s="8" t="str">
        <x:v>Shared history</x:v>
      </x:c>
      <x:c r="C3" s="8" t="str">
        <x:v>Planning turns 1–6 and execution turns 1–6 have matching prompt, attachment and AI-response text after whitespace normalization. An execution-log branch marker follows the shared prefix. They are counted once under planning, with both page/line references retained.</x:v>
      </x:c>
    </x:row>
    <x:row r="4" ht="48" customHeight="1">
      <x:c r="A4" s="8" t="str">
        <x:v>Method</x:v>
      </x:c>
      <x:c r="B4" s="8" t="str">
        <x:v>Order</x:v>
      </x:c>
      <x:c r="C4" s="8" t="str">
        <x:v>Preserves source-internal order. Combined analytical order is planning, execution, writing Part 1, writing Part 2. This is a logical phase order, not a reconstructed globally chronological timeline across branched chats.</x:v>
      </x:c>
    </x:row>
    <x:row r="5" ht="48" customHeight="1">
      <x:c r="A5" s="8" t="str">
        <x:v>Method</x:v>
      </x:c>
      <x:c r="B5" s="8" t="str">
        <x:v>Source occurrences</x:v>
      </x:c>
      <x:c r="C5" s="8" t="str">
        <x:v>The Source occurrences sheet retains all 136 occurrences, maps each to its stable coded Turn ID and distinguishes the six shared-history duplicates. Repeated short replies such as done are separate exchanges and are not deduplicated.</x:v>
      </x:c>
    </x:row>
    <x:row r="6" ht="48" customHeight="1">
      <x:c r="A6" s="8" t="str">
        <x:v>Method</x:v>
      </x:c>
      <x:c r="B6" s="8" t="str">
        <x:v>Boundaries</x:v>
      </x:c>
      <x:c r="C6" s="8" t="str">
        <x:v>Green human-message rectangles identify turns; adjoining fragments across page breaks are joined. Contents pages repeating prompt text are excluded. All 144 rectangles reconcile to 136 turns plus 8 continuations.</x:v>
      </x:c>
    </x:row>
    <x:row r="7" ht="62" customHeight="1">
      <x:c r="A7" s="8" t="str">
        <x:v>Method</x:v>
      </x:c>
      <x:c r="B7" s="8" t="str">
        <x:v>Text preservation</x:v>
      </x:c>
      <x:c r="C7" s="8" t="str">
        <x:v>Prompt wording, typos and line breaks are retained. Attachment filenames and PDF/Document/Spreadsheet interface labels are separated. Show moreShow less controls, timestamps, branch labels and footer text are excluded from prompt/response prose. Excerpts may use ellipses or bracketed summaries.</x:v>
      </x:c>
    </x:row>
    <x:row r="8" ht="48" customHeight="1">
      <x:c r="A8" s="8" t="str">
        <x:v>Method</x:v>
      </x:c>
      <x:c r="B8" s="8" t="str">
        <x:v>Provenance</x:v>
      </x:c>
      <x:c r="C8" s="8" t="str">
        <x:v>p is a 1-based PDF page; L is a 1-based extracted text-line number on that page, including heading/footer lines. These are extraction lines, not printed line numbers. The numbered source companion reproduces all original lines. Shared exchanges have two locators.</x:v>
      </x:c>
    </x:row>
    <x:row r="9" ht="48" customHeight="1">
      <x:c r="A9" s="8" t="str">
        <x:v>Method</x:v>
      </x:c>
      <x:c r="B9" s="8" t="str">
        <x:v>Coding unit</x:v>
      </x:c>
      <x:c r="C9" s="8" t="str">
        <x:v>One distinct human message is one observation. Main explicit act is primary; additional acts are multi-label. Each interaction/expertise category is counted at most once per turn. One dominant agency mode is assigned.</x:v>
      </x:c>
    </x:row>
    <x:row r="10" ht="62" customHeight="1">
      <x:c r="A10" s="8" t="str">
        <x:v>Method</x:v>
      </x:c>
      <x:c r="B10" s="8" t="str">
        <x:v>Expertise and none</x:v>
      </x:c>
      <x:c r="C10" s="8" t="str">
        <x:v>Expertise means visible evidence of judgment in that turn, not competence level. none means no sufficient explicit evidence. Attachment provision, bare approvals and quoted co-author feedback do not automatically demonstrate substantive expertise. None is exclusive of positive expertise codes.</x:v>
      </x:c>
    </x:row>
    <x:row r="11" ht="48" customHeight="1">
      <x:c r="A11" s="8" t="str">
        <x:v>Method</x:v>
      </x:c>
      <x:c r="B11" s="8" t="str">
        <x:v>Agency modes</x:v>
      </x:c>
      <x:c r="C11" s="8" t="str">
        <x:v>Categorical, not an ordinal level. Critical captures explicit scrutiny; Deliberative reasoned comparison; Evaluative assessment; Directive constrained execution/selection; Delegative open execution.</x:v>
      </x:c>
    </x:row>
    <x:row r="12" ht="48" customHeight="1">
      <x:c r="A12" s="8" t="str">
        <x:v>Method</x:v>
      </x:c>
      <x:c r="B12" s="8" t="str">
        <x:v>Outcomes</x:v>
      </x:c>
      <x:c r="C12" s="8" t="str">
        <x:v>Only the next visible AI response is summarized. AI claims of access, verification, counting, file editing or completed searches are not proof of performance. Human reports of searching/editing are reported actions, not independently verified actions.</x:v>
      </x:c>
    </x:row>
    <x:row r="13" ht="48" customHeight="1">
      <x:c r="A13" s="8" t="str">
        <x:v>Method</x:v>
      </x:c>
      <x:c r="B13" s="8" t="str">
        <x:v>Missing replies</x:v>
      </x:c>
      <x:c r="C13" s="8" t="str">
        <x:v>EXEC-010, EXEC-016 and W2-001 lack substantive next AI replies. The candidate-pool discussion after EXEC-016 suggests an intervening search result, but that output is not visible and is not reconstructed.</x:v>
      </x:c>
    </x:row>
    <x:row r="14" ht="62" customHeight="1">
      <x:c r="A14" s="8" t="str">
        <x:v>Method</x:v>
      </x:c>
      <x:c r="B14" s="8" t="str">
        <x:v>Completeness assessment</x:v>
      </x:c>
      <x:c r="C14" s="8" t="str">
        <x:v>Broad coverage includes planning, selection, extraction, synthesis, long-paper writing and practitioner-version adaptation. Missing replies, unexported attachments and shared branch history prevent a claim of complete historical coverage. The 53-page manuscript is context only.</x:v>
      </x:c>
    </x:row>
    <x:row r="15" ht="62" customHeight="1">
      <x:c r="A15" s="8" t="str">
        <x:v>Method</x:v>
      </x:c>
      <x:c r="B15" s="8" t="str">
        <x:v>Counts and evidence</x:v>
      </x:c>
      <x:c r="C15" s="8" t="str">
        <x:v>EXEC-029 supplies exact PRISMA figures without a visible record ledger. W1-054 admits inability to extract reliable factor counts but supplies conservative counts. This analysis codes the human requests and observed AI behavior; it does not validate these empirical numbers.</x:v>
      </x:c>
    </x:row>
    <x:row r="16" ht="62" customHeight="1">
      <x:c r="A16" s="8" t="str">
        <x:v>Method</x:v>
      </x:c>
      <x:c r="B16" s="8" t="str">
        <x:v>Scope evolution</x:v>
      </x:c>
      <x:c r="C16" s="8" t="str">
        <x:v>The review is narrowed from MLR to academic SLR and split from developer outcomes. The pool moves through candidate counts, deduplication to 22, and reported recovery to 24. A later committee-peer-review reinterpretation is a visible scope decision; final thesis inclusion is not inferred.</x:v>
      </x:c>
    </x:row>
    <x:row r="17" ht="48" customHeight="1">
      <x:c r="A17" s="8" t="str">
        <x:v>Method</x:v>
      </x:c>
      <x:c r="B17" s="8" t="str">
        <x:v>Authorship of inputs</x:v>
      </x:c>
      <x:c r="C17" s="8" t="str">
        <x:v>Pasted draft text may include prior AI material. At W2-012 the technical generation/execution distinction is explicitly co-author feedback. Do not attribute all supplied substantive content to independent researcher origination.</x:v>
      </x:c>
    </x:row>
    <x:row r="18" ht="48" customHeight="1">
      <x:c r="A18" s="8" t="str">
        <x:v>Method</x:v>
      </x:c>
      <x:c r="B18" s="8" t="str">
        <x:v>Coding uncertainty</x:v>
      </x:c>
      <x:c r="C18" s="8" t="str">
        <x:v>Single AI-assisted first-pass coding, with rationale and row-level cautions. No second coder or inter-rater reliability assessment. Minimal test case and bare subsection cues are provisional where needed.</x:v>
      </x:c>
    </x:row>
    <x:row r="19" ht="62" customHeight="1">
      <x:c r="A19" s="8" t="str">
        <x:v>Method</x:v>
      </x:c>
      <x:c r="B19" s="8" t="str">
        <x:v>Workbook use</x:v>
      </x:c>
      <x:c r="C19" s="8" t="str">
        <x:v>Exact category spellings and semicolon-space separate multiple labels. P:W are binary interaction flags; X:AC positive expertise flags; AD none. Summaries update from Coding. Separate stacked column charts can use these flags; heights count categories, not competence or agency strength.</x:v>
      </x:c>
    </x:row>
    <x:row r="20" ht="48" customHeight="1">
      <x:c r="A20" s="8" t="str">
        <x:v>Method</x:v>
      </x:c>
      <x:c r="B20" s="8" t="str">
        <x:v>Full text</x:v>
      </x:c>
      <x:c r="C20" s="8" t="str">
        <x:v>Human prompts preserves text across ordered part columns with at most 25 original lines each. Join nonempty parts with a line break. CSV preserves each full prompt and full next AI response in single fields.</x:v>
      </x:c>
    </x:row>
    <x:row r="21" ht="48" customHeight="1">
      <x:c r="A21" s="8" t="str">
        <x:v>Method</x:v>
      </x:c>
      <x:c r="B21" s="8" t="str">
        <x:v>Cross-paper comparison</x:v>
      </x:c>
      <x:c r="C21" s="8" t="str">
        <x:v>Paper 1 is substantially incomplete according to the researcher. Differences in export coverage and task phases limit comparisons. Compare normalized behavior patterns with coverage caveats; raw turn counts do not measure agency or expertise.</x:v>
      </x:c>
    </x:row>
    <x:row r="22" ht="42" customHeight="1">
      <x:c r="A22" s="8" t="str">
        <x:v>Interaction type</x:v>
      </x:c>
      <x:c r="B22" s="8" t="str">
        <x:v>Delegation</x:v>
      </x:c>
      <x:c r="C22" s="8" t="str">
        <x:v>Open generation/explanation with little new substantive specification.</x:v>
      </x:c>
    </x:row>
    <x:row r="23" ht="42" customHeight="1">
      <x:c r="A23" s="8" t="str">
        <x:v>Interaction type</x:v>
      </x:c>
      <x:c r="B23" s="8" t="str">
        <x:v>Directed delegation</x:v>
      </x:c>
      <x:c r="C23" s="8" t="str">
        <x:v>Human defines scope, content, method, structure, format or evidence constraints and delegates execution.</x:v>
      </x:c>
    </x:row>
    <x:row r="24" ht="42" customHeight="1">
      <x:c r="A24" s="8" t="str">
        <x:v>Interaction type</x:v>
      </x:c>
      <x:c r="B24" s="8" t="str">
        <x:v>Evaluation</x:v>
      </x:c>
      <x:c r="C24" s="8" t="str">
        <x:v>Requests or performs assessment/verification without necessarily diagnosing an error.</x:v>
      </x:c>
    </x:row>
    <x:row r="25" ht="42" customHeight="1">
      <x:c r="A25" s="8" t="str">
        <x:v>Interaction type</x:v>
      </x:c>
      <x:c r="B25" s="8" t="str">
        <x:v>Correction/Challenge</x:v>
      </x:c>
      <x:c r="C25" s="8" t="str">
        <x:v>Explicitly diagnoses/challenges error, weak wording, unsupported claims, inconsistency or unsatisfactory output.</x:v>
      </x:c>
    </x:row>
    <x:row r="26" ht="42" customHeight="1">
      <x:c r="A26" s="8" t="str">
        <x:v>Interaction type</x:v>
      </x:c>
      <x:c r="B26" s="8" t="str">
        <x:v>Redirection</x:v>
      </x:c>
      <x:c r="C26" s="8" t="str">
        <x:v>Changes scope, framing, priorities, sequencing or delivery direction.</x:v>
      </x:c>
    </x:row>
    <x:row r="27" ht="42" customHeight="1">
      <x:c r="A27" s="8" t="str">
        <x:v>Interaction type</x:v>
      </x:c>
      <x:c r="B27" s="8" t="str">
        <x:v>Knowledge injection</x:v>
      </x:c>
      <x:c r="C27" s="8" t="str">
        <x:v>Supplies facts, sources, attachments, drafts, experience or interpretations. Context provision alone is not expertise.</x:v>
      </x:c>
    </x:row>
    <x:row r="28" ht="42" customHeight="1">
      <x:c r="A28" s="8" t="str">
        <x:v>Interaction type</x:v>
      </x:c>
      <x:c r="B28" s="8" t="str">
        <x:v>Selection/Rejection</x:v>
      </x:c>
      <x:c r="C28" s="8" t="str">
        <x:v>Chooses, accepts, rejects, excludes or reports implementing an offered option/action.</x:v>
      </x:c>
    </x:row>
    <x:row r="29" ht="42" customHeight="1">
      <x:c r="A29" s="8" t="str">
        <x:v>Interaction type</x:v>
      </x:c>
      <x:c r="B29" s="8" t="str">
        <x:v>Deliberation</x:v>
      </x:c>
      <x:c r="C29" s="8" t="str">
        <x:v>Initiates substantive comparison or reconciliation of concepts, methods, explanations or arguments.</x:v>
      </x:c>
    </x:row>
    <x:row r="30" ht="42" customHeight="1">
      <x:c r="A30" s="8" t="str">
        <x:v>Agency mode</x:v>
      </x:c>
      <x:c r="B30" s="8" t="str">
        <x:v>Delegative</x:v>
      </x:c>
      <x:c r="C30" s="8" t="str">
        <x:v>Open execution delegated.</x:v>
      </x:c>
    </x:row>
    <x:row r="31" ht="42" customHeight="1">
      <x:c r="A31" s="8" t="str">
        <x:v>Agency mode</x:v>
      </x:c>
      <x:c r="B31" s="8" t="str">
        <x:v>Directive</x:v>
      </x:c>
      <x:c r="C31" s="8" t="str">
        <x:v>Human constrains/selects execution.</x:v>
      </x:c>
    </x:row>
    <x:row r="32" ht="42" customHeight="1">
      <x:c r="A32" s="8" t="str">
        <x:v>Agency mode</x:v>
      </x:c>
      <x:c r="B32" s="8" t="str">
        <x:v>Evaluative</x:v>
      </x:c>
      <x:c r="C32" s="8" t="str">
        <x:v>Human assesses/verifies.</x:v>
      </x:c>
    </x:row>
    <x:row r="33" ht="42" customHeight="1">
      <x:c r="A33" s="8" t="str">
        <x:v>Agency mode</x:v>
      </x:c>
      <x:c r="B33" s="8" t="str">
        <x:v>Critical</x:v>
      </x:c>
      <x:c r="C33" s="8" t="str">
        <x:v>Human explicitly scrutinizes/corrects.</x:v>
      </x:c>
    </x:row>
    <x:row r="34" ht="42" customHeight="1">
      <x:c r="A34" s="8" t="str">
        <x:v>Agency mode</x:v>
      </x:c>
      <x:c r="B34" s="8" t="str">
        <x:v>Deliberative</x:v>
      </x:c>
      <x:c r="C34" s="8" t="str">
        <x:v>Human initiates reasoned comparison/reconciliation.</x:v>
      </x:c>
    </x:row>
    <x:row r="35" ht="48" customHeight="1">
      <x:c r="A35" s="8" t="str">
        <x:v>Expertise evidence</x:v>
      </x:c>
      <x:c r="B35" s="8" t="str">
        <x:v>domain correction</x:v>
      </x:c>
      <x:c r="C35" s="8" t="str">
        <x:v>Corrects field-specific technical usage or a technical description. None is assigned under this conservative pass; the clearest technical correction was supplied by a co-author.</x:v>
      </x:c>
    </x:row>
    <x:row r="36" ht="48" customHeight="1">
      <x:c r="A36" s="8" t="str">
        <x:v>Expertise evidence</x:v>
      </x:c>
      <x:c r="B36" s="8" t="str">
        <x:v>conceptual discrimination</x:v>
      </x:c>
      <x:c r="C36" s="8" t="str">
        <x:v>Distinguishes primary/secondary evidence, outcome classes, overlapping RQs, experimental factors or study frequency versus effect strength.</x:v>
      </x:c>
    </x:row>
    <x:row r="37" ht="42" customHeight="1">
      <x:c r="A37" s="8" t="str">
        <x:v>Expertise evidence</x:v>
      </x:c>
      <x:c r="B37" s="8" t="str">
        <x:v>evidence judgment</x:v>
      </x:c>
      <x:c r="C37" s="8" t="str">
        <x:v>Sets/applies source relevance, fidelity, traceability, factual support and evidential limits; includes reported source checking.</x:v>
      </x:c>
    </x:row>
    <x:row r="38" ht="42" customHeight="1">
      <x:c r="A38" s="8" t="str">
        <x:v>Expertise evidence</x:v>
      </x:c>
      <x:c r="B38" s="8" t="str">
        <x:v>methodological judgment</x:v>
      </x:c>
      <x:c r="C38" s="8" t="str">
        <x:v>Sets/critiques review scope, design, eligibility, extraction, synthesis, quantitative reporting or oversight procedures.</x:v>
      </x:c>
    </x:row>
    <x:row r="39" ht="42" customHeight="1">
      <x:c r="A39" s="8" t="str">
        <x:v>Expertise evidence</x:v>
      </x:c>
      <x:c r="B39" s="8" t="str">
        <x:v>argumentative judgment</x:v>
      </x:c>
      <x:c r="C39" s="8" t="str">
        <x:v>Supplies or qualifies arguments, scope of claims, contributions, interpretation and reasoning.</x:v>
      </x:c>
    </x:row>
    <x:row r="40" ht="42" customHeight="1">
      <x:c r="A40" s="8" t="str">
        <x:v>Expertise evidence</x:v>
      </x:c>
      <x:c r="B40" s="8" t="str">
        <x:v>genre/writing expertise</x:v>
      </x:c>
      <x:c r="C40" s="8" t="str">
        <x:v>Applies manuscript/venue structure, tone, citation conventions, audience, clarity, wording or length requirements.</x:v>
      </x:c>
    </x:row>
    <x:row r="41" ht="42" customHeight="1">
      <x:c r="A41" s="8" t="str">
        <x:v>Expertise evidence</x:v>
      </x:c>
      <x:c r="B41" s="8" t="str">
        <x:v>none</x:v>
      </x:c>
      <x:c r="C41" s="8" t="str">
        <x:v>No sufficient explicit expertise evidence in this turn; not a statement that the researcher lacks expertise.</x:v>
      </x:c>
    </x:row>
    <x:row r="42" ht="42" customHeight="1">
      <x:c r="A42" s="8" t="str">
        <x:v>Source</x:v>
      </x:c>
      <x:c r="B42" s="8" t="str">
        <x:v>PLAN</x:v>
      </x:c>
      <x:c r="C42" s="8" t="str">
        <x:v>paper4-Log of human-Aİ collab-SLR Planning.pdf; 36 PDF pages. </x:v>
      </x:c>
    </x:row>
    <x:row r="43" ht="42" customHeight="1">
      <x:c r="A43" s="8" t="str">
        <x:v>Source</x:v>
      </x:c>
      <x:c r="B43" s="8" t="str">
        <x:v>EXEC</x:v>
      </x:c>
      <x:c r="C43" s="8" t="str">
        <x:v>paper4-Log of human-Aİ collab-SLR Execution.pdf; 85 PDF pages. </x:v>
      </x:c>
    </x:row>
    <x:row r="44" ht="42" customHeight="1">
      <x:c r="A44" s="8" t="str">
        <x:v>Source</x:v>
      </x:c>
      <x:c r="B44" s="8" t="str">
        <x:v>W1</x:v>
      </x:c>
      <x:c r="C44" s="8" t="str">
        <x:v>paper4-Log of human-Aİ collab-Paper writing-Part 1.pdf; 75 PDF pages. </x:v>
      </x:c>
    </x:row>
    <x:row r="45" ht="42" customHeight="1">
      <x:c r="A45" s="8" t="str">
        <x:v>Source</x:v>
      </x:c>
      <x:c r="B45" s="8" t="str">
        <x:v>W2</x:v>
      </x:c>
      <x:c r="C45" s="8" t="str">
        <x:v>paper4-Log of human-Aİ collab-Paper writing-Part 2.pdf; 9 PDF pages. </x:v>
      </x:c>
    </x:row>
    <x:row r="46" ht="48" customHeight="1">
      <x:c r="A46" s="8" t="str">
        <x:v>Source</x:v>
      </x:c>
      <x:c r="B46" s="8" t="str">
        <x:v>PAPER</x:v>
      </x:c>
      <x:c r="C46" s="8" t="str">
        <x:v>paper4-Factors quality of AI-generated code-a SLR.pdf; 53 PDF pages. Context only; abstract reports 24 primary studies and AI-assisted SLR with human oversight.</x:v>
      </x:c>
    </x:row>
  </x:sheetData>
  <x:pageMargins left="0.7" right="0.7" top="0.75" bottom="0.75" header="0.3" footer="0.3"/>
  <x:tableParts count="1">
    <x:tablePart xmlns:r="http://schemas.openxmlformats.org/officeDocument/2006/relationships" r:id="Rf6118936bd704a97"/>
  </x:tableParts>
</x:worksheet>
</file>