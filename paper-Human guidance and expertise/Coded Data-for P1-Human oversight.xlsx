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qubstudentcloud-my.sharepoint.com/personal/3054738_ads_qub_ac_uk/Documents/my_drafts/A-IN PREPARATION (WRITING)/just AI/AI research &amp; writing/3-Human Expertise/Analyzed XLSs/"/>
    </mc:Choice>
  </mc:AlternateContent>
  <xr:revisionPtr revIDLastSave="133" documentId="11_4FC89220F4A1383623F2953F0CCDF76464CFCDCA" xr6:coauthVersionLast="47" xr6:coauthVersionMax="47" xr10:uidLastSave="{D610E0CA-07A0-44F3-83AD-4B3364D56897}"/>
  <bookViews>
    <workbookView minimized="1" xWindow="3510" yWindow="1140" windowWidth="21600" windowHeight="11295" activeTab="1" xr2:uid="{52D31FAC-2923-4C54-8361-7E8C86202CA5}"/>
  </bookViews>
  <sheets>
    <sheet name="Summary" sheetId="1" r:id="rId1"/>
    <sheet name="Coding" sheetId="2" r:id="rId2"/>
    <sheet name="Human prompts" sheetId="3" r:id="rId3"/>
    <sheet name="Codebook"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1" l="1"/>
  <c r="F19" i="1"/>
  <c r="K9" i="1"/>
  <c r="K8" i="1"/>
  <c r="P32" i="2"/>
  <c r="P48" i="2"/>
  <c r="P64" i="2"/>
  <c r="P80" i="2"/>
  <c r="P86" i="2"/>
  <c r="B14" i="1"/>
  <c r="Z2" i="2"/>
  <c r="Z3" i="2"/>
  <c r="Z4" i="2"/>
  <c r="Z5" i="2"/>
  <c r="Z6" i="2"/>
  <c r="Z7" i="2"/>
  <c r="Z8" i="2"/>
  <c r="Z9" i="2"/>
  <c r="Z10" i="2"/>
  <c r="Z11" i="2"/>
  <c r="Y11" i="2" s="1"/>
  <c r="P11" i="2" s="1"/>
  <c r="Z12" i="2"/>
  <c r="Z13" i="2"/>
  <c r="Z14" i="2"/>
  <c r="Z15" i="2"/>
  <c r="Z16" i="2"/>
  <c r="Z17" i="2"/>
  <c r="Z18" i="2"/>
  <c r="Z19" i="2"/>
  <c r="Z20" i="2"/>
  <c r="Z21" i="2"/>
  <c r="Z22" i="2"/>
  <c r="Z23" i="2"/>
  <c r="Z24" i="2"/>
  <c r="Z25" i="2"/>
  <c r="Z26" i="2"/>
  <c r="Z27" i="2"/>
  <c r="Z28" i="2"/>
  <c r="Z29" i="2"/>
  <c r="Z30" i="2"/>
  <c r="Z31" i="2"/>
  <c r="Z32" i="2"/>
  <c r="Y32" i="2" s="1"/>
  <c r="Z33" i="2"/>
  <c r="Z34" i="2"/>
  <c r="Z35" i="2"/>
  <c r="Z36" i="2"/>
  <c r="Z37" i="2"/>
  <c r="Z38" i="2"/>
  <c r="Z39" i="2"/>
  <c r="Z40" i="2"/>
  <c r="Z41" i="2"/>
  <c r="Z42" i="2"/>
  <c r="Z43" i="2"/>
  <c r="Z44" i="2"/>
  <c r="Z45" i="2"/>
  <c r="Z46" i="2"/>
  <c r="Z47" i="2"/>
  <c r="Z48" i="2"/>
  <c r="Y48" i="2" s="1"/>
  <c r="Z49" i="2"/>
  <c r="Z50" i="2"/>
  <c r="Z51" i="2"/>
  <c r="Z52" i="2"/>
  <c r="Z53" i="2"/>
  <c r="Z54" i="2"/>
  <c r="Z55" i="2"/>
  <c r="Z56" i="2"/>
  <c r="Z57" i="2"/>
  <c r="Z58" i="2"/>
  <c r="Z59" i="2"/>
  <c r="Z60" i="2"/>
  <c r="Z61" i="2"/>
  <c r="Z62" i="2"/>
  <c r="Z63" i="2"/>
  <c r="Z64" i="2"/>
  <c r="Y64" i="2" s="1"/>
  <c r="Z65" i="2"/>
  <c r="Z66" i="2"/>
  <c r="Z67" i="2"/>
  <c r="Z68" i="2"/>
  <c r="Z69" i="2"/>
  <c r="Z70" i="2"/>
  <c r="Z71" i="2"/>
  <c r="Z72" i="2"/>
  <c r="Z73" i="2"/>
  <c r="Z74" i="2"/>
  <c r="Z75" i="2"/>
  <c r="Z76" i="2"/>
  <c r="Z77" i="2"/>
  <c r="Z78" i="2"/>
  <c r="Z79" i="2"/>
  <c r="Z80" i="2"/>
  <c r="Y80" i="2" s="1"/>
  <c r="Z81" i="2"/>
  <c r="Z82" i="2"/>
  <c r="Z83" i="2"/>
  <c r="Z84" i="2"/>
  <c r="Z85" i="2"/>
  <c r="Z86" i="2"/>
  <c r="Z87" i="2"/>
  <c r="Z88" i="2"/>
  <c r="Z89" i="2"/>
  <c r="Z90" i="2"/>
  <c r="Z91" i="2"/>
  <c r="AF91" i="2"/>
  <c r="AE91" i="2"/>
  <c r="AD91" i="2"/>
  <c r="AC91" i="2"/>
  <c r="AB91" i="2"/>
  <c r="AA91" i="2"/>
  <c r="X91" i="2"/>
  <c r="W91" i="2"/>
  <c r="V91" i="2"/>
  <c r="U91" i="2"/>
  <c r="T91" i="2"/>
  <c r="S91" i="2"/>
  <c r="R91" i="2"/>
  <c r="Q91" i="2"/>
  <c r="AF90" i="2"/>
  <c r="AE90" i="2"/>
  <c r="AD90" i="2"/>
  <c r="AC90" i="2"/>
  <c r="AB90" i="2"/>
  <c r="AA90" i="2"/>
  <c r="X90" i="2"/>
  <c r="W90" i="2"/>
  <c r="V90" i="2"/>
  <c r="U90" i="2"/>
  <c r="T90" i="2"/>
  <c r="S90" i="2"/>
  <c r="R90" i="2"/>
  <c r="Q90" i="2"/>
  <c r="AF89" i="2"/>
  <c r="AE89" i="2"/>
  <c r="AD89" i="2"/>
  <c r="AC89" i="2"/>
  <c r="AB89" i="2"/>
  <c r="AA89" i="2"/>
  <c r="X89" i="2"/>
  <c r="W89" i="2"/>
  <c r="V89" i="2"/>
  <c r="U89" i="2"/>
  <c r="T89" i="2"/>
  <c r="S89" i="2"/>
  <c r="R89" i="2"/>
  <c r="Q89" i="2"/>
  <c r="AF88" i="2"/>
  <c r="AE88" i="2"/>
  <c r="AD88" i="2"/>
  <c r="AC88" i="2"/>
  <c r="AB88" i="2"/>
  <c r="AA88" i="2"/>
  <c r="X88" i="2"/>
  <c r="W88" i="2"/>
  <c r="V88" i="2"/>
  <c r="U88" i="2"/>
  <c r="T88" i="2"/>
  <c r="S88" i="2"/>
  <c r="R88" i="2"/>
  <c r="Q88" i="2"/>
  <c r="AF87" i="2"/>
  <c r="AE87" i="2"/>
  <c r="AD87" i="2"/>
  <c r="AC87" i="2"/>
  <c r="AB87" i="2"/>
  <c r="AA87" i="2"/>
  <c r="X87" i="2"/>
  <c r="W87" i="2"/>
  <c r="V87" i="2"/>
  <c r="U87" i="2"/>
  <c r="T87" i="2"/>
  <c r="S87" i="2"/>
  <c r="R87" i="2"/>
  <c r="Q87" i="2"/>
  <c r="AF86" i="2"/>
  <c r="AE86" i="2"/>
  <c r="AD86" i="2"/>
  <c r="AC86" i="2"/>
  <c r="AB86" i="2"/>
  <c r="AA86" i="2"/>
  <c r="Y86" i="2" s="1"/>
  <c r="X86" i="2"/>
  <c r="W86" i="2"/>
  <c r="V86" i="2"/>
  <c r="U86" i="2"/>
  <c r="T86" i="2"/>
  <c r="S86" i="2"/>
  <c r="R86" i="2"/>
  <c r="Q86" i="2"/>
  <c r="AF85" i="2"/>
  <c r="AE85" i="2"/>
  <c r="AD85" i="2"/>
  <c r="AC85" i="2"/>
  <c r="AB85" i="2"/>
  <c r="AA85" i="2"/>
  <c r="X85" i="2"/>
  <c r="W85" i="2"/>
  <c r="V85" i="2"/>
  <c r="U85" i="2"/>
  <c r="T85" i="2"/>
  <c r="S85" i="2"/>
  <c r="R85" i="2"/>
  <c r="Q85" i="2"/>
  <c r="AF84" i="2"/>
  <c r="AE84" i="2"/>
  <c r="AD84" i="2"/>
  <c r="AC84" i="2"/>
  <c r="AB84" i="2"/>
  <c r="AA84" i="2"/>
  <c r="X84" i="2"/>
  <c r="W84" i="2"/>
  <c r="V84" i="2"/>
  <c r="U84" i="2"/>
  <c r="T84" i="2"/>
  <c r="S84" i="2"/>
  <c r="R84" i="2"/>
  <c r="Q84" i="2"/>
  <c r="AF83" i="2"/>
  <c r="AE83" i="2"/>
  <c r="AD83" i="2"/>
  <c r="AC83" i="2"/>
  <c r="AB83" i="2"/>
  <c r="AA83" i="2"/>
  <c r="X83" i="2"/>
  <c r="W83" i="2"/>
  <c r="V83" i="2"/>
  <c r="U83" i="2"/>
  <c r="T83" i="2"/>
  <c r="S83" i="2"/>
  <c r="R83" i="2"/>
  <c r="Q83" i="2"/>
  <c r="AF82" i="2"/>
  <c r="AE82" i="2"/>
  <c r="AD82" i="2"/>
  <c r="AC82" i="2"/>
  <c r="AB82" i="2"/>
  <c r="AA82" i="2"/>
  <c r="X82" i="2"/>
  <c r="W82" i="2"/>
  <c r="V82" i="2"/>
  <c r="U82" i="2"/>
  <c r="T82" i="2"/>
  <c r="S82" i="2"/>
  <c r="R82" i="2"/>
  <c r="Q82" i="2"/>
  <c r="AF81" i="2"/>
  <c r="AE81" i="2"/>
  <c r="AD81" i="2"/>
  <c r="AC81" i="2"/>
  <c r="AB81" i="2"/>
  <c r="AA81" i="2"/>
  <c r="X81" i="2"/>
  <c r="W81" i="2"/>
  <c r="V81" i="2"/>
  <c r="U81" i="2"/>
  <c r="T81" i="2"/>
  <c r="S81" i="2"/>
  <c r="R81" i="2"/>
  <c r="Q81" i="2"/>
  <c r="AF80" i="2"/>
  <c r="AE80" i="2"/>
  <c r="AD80" i="2"/>
  <c r="AC80" i="2"/>
  <c r="AB80" i="2"/>
  <c r="AA80" i="2"/>
  <c r="X80" i="2"/>
  <c r="W80" i="2"/>
  <c r="V80" i="2"/>
  <c r="U80" i="2"/>
  <c r="T80" i="2"/>
  <c r="S80" i="2"/>
  <c r="R80" i="2"/>
  <c r="Q80" i="2"/>
  <c r="AF79" i="2"/>
  <c r="AE79" i="2"/>
  <c r="AD79" i="2"/>
  <c r="AC79" i="2"/>
  <c r="AB79" i="2"/>
  <c r="AA79" i="2"/>
  <c r="X79" i="2"/>
  <c r="W79" i="2"/>
  <c r="V79" i="2"/>
  <c r="U79" i="2"/>
  <c r="T79" i="2"/>
  <c r="S79" i="2"/>
  <c r="R79" i="2"/>
  <c r="Q79" i="2"/>
  <c r="AF78" i="2"/>
  <c r="AE78" i="2"/>
  <c r="AD78" i="2"/>
  <c r="AC78" i="2"/>
  <c r="AB78" i="2"/>
  <c r="AA78" i="2"/>
  <c r="X78" i="2"/>
  <c r="W78" i="2"/>
  <c r="V78" i="2"/>
  <c r="U78" i="2"/>
  <c r="T78" i="2"/>
  <c r="S78" i="2"/>
  <c r="R78" i="2"/>
  <c r="Q78" i="2"/>
  <c r="AF77" i="2"/>
  <c r="AE77" i="2"/>
  <c r="AD77" i="2"/>
  <c r="AC77" i="2"/>
  <c r="AB77" i="2"/>
  <c r="AA77" i="2"/>
  <c r="X77" i="2"/>
  <c r="W77" i="2"/>
  <c r="V77" i="2"/>
  <c r="U77" i="2"/>
  <c r="T77" i="2"/>
  <c r="S77" i="2"/>
  <c r="R77" i="2"/>
  <c r="Q77" i="2"/>
  <c r="AF76" i="2"/>
  <c r="AE76" i="2"/>
  <c r="AD76" i="2"/>
  <c r="AC76" i="2"/>
  <c r="AB76" i="2"/>
  <c r="AA76" i="2"/>
  <c r="X76" i="2"/>
  <c r="W76" i="2"/>
  <c r="V76" i="2"/>
  <c r="U76" i="2"/>
  <c r="T76" i="2"/>
  <c r="S76" i="2"/>
  <c r="R76" i="2"/>
  <c r="Q76" i="2"/>
  <c r="AF75" i="2"/>
  <c r="AE75" i="2"/>
  <c r="AD75" i="2"/>
  <c r="AC75" i="2"/>
  <c r="AB75" i="2"/>
  <c r="AA75" i="2"/>
  <c r="X75" i="2"/>
  <c r="W75" i="2"/>
  <c r="V75" i="2"/>
  <c r="U75" i="2"/>
  <c r="T75" i="2"/>
  <c r="S75" i="2"/>
  <c r="R75" i="2"/>
  <c r="Q75" i="2"/>
  <c r="AF74" i="2"/>
  <c r="AE74" i="2"/>
  <c r="AD74" i="2"/>
  <c r="AC74" i="2"/>
  <c r="AB74" i="2"/>
  <c r="AA74" i="2"/>
  <c r="X74" i="2"/>
  <c r="W74" i="2"/>
  <c r="V74" i="2"/>
  <c r="U74" i="2"/>
  <c r="T74" i="2"/>
  <c r="S74" i="2"/>
  <c r="R74" i="2"/>
  <c r="Q74" i="2"/>
  <c r="AF73" i="2"/>
  <c r="AE73" i="2"/>
  <c r="AD73" i="2"/>
  <c r="AC73" i="2"/>
  <c r="AB73" i="2"/>
  <c r="AA73" i="2"/>
  <c r="X73" i="2"/>
  <c r="W73" i="2"/>
  <c r="V73" i="2"/>
  <c r="U73" i="2"/>
  <c r="T73" i="2"/>
  <c r="S73" i="2"/>
  <c r="R73" i="2"/>
  <c r="Q73" i="2"/>
  <c r="AF72" i="2"/>
  <c r="AE72" i="2"/>
  <c r="AD72" i="2"/>
  <c r="AC72" i="2"/>
  <c r="AB72" i="2"/>
  <c r="AA72" i="2"/>
  <c r="X72" i="2"/>
  <c r="W72" i="2"/>
  <c r="V72" i="2"/>
  <c r="U72" i="2"/>
  <c r="T72" i="2"/>
  <c r="S72" i="2"/>
  <c r="R72" i="2"/>
  <c r="Q72" i="2"/>
  <c r="AF71" i="2"/>
  <c r="AE71" i="2"/>
  <c r="AD71" i="2"/>
  <c r="AC71" i="2"/>
  <c r="AB71" i="2"/>
  <c r="AA71" i="2"/>
  <c r="X71" i="2"/>
  <c r="W71" i="2"/>
  <c r="V71" i="2"/>
  <c r="U71" i="2"/>
  <c r="T71" i="2"/>
  <c r="S71" i="2"/>
  <c r="R71" i="2"/>
  <c r="Q71" i="2"/>
  <c r="AF70" i="2"/>
  <c r="AE70" i="2"/>
  <c r="AD70" i="2"/>
  <c r="AC70" i="2"/>
  <c r="AB70" i="2"/>
  <c r="AA70" i="2"/>
  <c r="Y70" i="2" s="1"/>
  <c r="P70" i="2" s="1"/>
  <c r="X70" i="2"/>
  <c r="W70" i="2"/>
  <c r="V70" i="2"/>
  <c r="U70" i="2"/>
  <c r="T70" i="2"/>
  <c r="S70" i="2"/>
  <c r="R70" i="2"/>
  <c r="Q70" i="2"/>
  <c r="AF69" i="2"/>
  <c r="AE69" i="2"/>
  <c r="AD69" i="2"/>
  <c r="AC69" i="2"/>
  <c r="AB69" i="2"/>
  <c r="AA69" i="2"/>
  <c r="X69" i="2"/>
  <c r="W69" i="2"/>
  <c r="V69" i="2"/>
  <c r="U69" i="2"/>
  <c r="T69" i="2"/>
  <c r="S69" i="2"/>
  <c r="R69" i="2"/>
  <c r="Q69" i="2"/>
  <c r="AF68" i="2"/>
  <c r="AE68" i="2"/>
  <c r="AD68" i="2"/>
  <c r="AC68" i="2"/>
  <c r="AB68" i="2"/>
  <c r="AA68" i="2"/>
  <c r="X68" i="2"/>
  <c r="W68" i="2"/>
  <c r="V68" i="2"/>
  <c r="U68" i="2"/>
  <c r="T68" i="2"/>
  <c r="S68" i="2"/>
  <c r="R68" i="2"/>
  <c r="Q68" i="2"/>
  <c r="AF67" i="2"/>
  <c r="AE67" i="2"/>
  <c r="AD67" i="2"/>
  <c r="AC67" i="2"/>
  <c r="AB67" i="2"/>
  <c r="AA67" i="2"/>
  <c r="X67" i="2"/>
  <c r="W67" i="2"/>
  <c r="V67" i="2"/>
  <c r="U67" i="2"/>
  <c r="T67" i="2"/>
  <c r="S67" i="2"/>
  <c r="R67" i="2"/>
  <c r="Q67" i="2"/>
  <c r="AF66" i="2"/>
  <c r="AE66" i="2"/>
  <c r="AD66" i="2"/>
  <c r="AC66" i="2"/>
  <c r="AB66" i="2"/>
  <c r="AA66" i="2"/>
  <c r="X66" i="2"/>
  <c r="W66" i="2"/>
  <c r="V66" i="2"/>
  <c r="U66" i="2"/>
  <c r="T66" i="2"/>
  <c r="S66" i="2"/>
  <c r="R66" i="2"/>
  <c r="Q66" i="2"/>
  <c r="AF65" i="2"/>
  <c r="AE65" i="2"/>
  <c r="AD65" i="2"/>
  <c r="AC65" i="2"/>
  <c r="AB65" i="2"/>
  <c r="AA65" i="2"/>
  <c r="X65" i="2"/>
  <c r="W65" i="2"/>
  <c r="V65" i="2"/>
  <c r="U65" i="2"/>
  <c r="T65" i="2"/>
  <c r="S65" i="2"/>
  <c r="R65" i="2"/>
  <c r="Q65" i="2"/>
  <c r="AF64" i="2"/>
  <c r="AE64" i="2"/>
  <c r="AD64" i="2"/>
  <c r="AC64" i="2"/>
  <c r="AB64" i="2"/>
  <c r="AA64" i="2"/>
  <c r="X64" i="2"/>
  <c r="W64" i="2"/>
  <c r="V64" i="2"/>
  <c r="U64" i="2"/>
  <c r="T64" i="2"/>
  <c r="S64" i="2"/>
  <c r="R64" i="2"/>
  <c r="Q64" i="2"/>
  <c r="AF63" i="2"/>
  <c r="AE63" i="2"/>
  <c r="AD63" i="2"/>
  <c r="AC63" i="2"/>
  <c r="AB63" i="2"/>
  <c r="AA63" i="2"/>
  <c r="X63" i="2"/>
  <c r="W63" i="2"/>
  <c r="V63" i="2"/>
  <c r="U63" i="2"/>
  <c r="T63" i="2"/>
  <c r="S63" i="2"/>
  <c r="R63" i="2"/>
  <c r="Q63" i="2"/>
  <c r="AF62" i="2"/>
  <c r="AE62" i="2"/>
  <c r="AD62" i="2"/>
  <c r="AC62" i="2"/>
  <c r="AB62" i="2"/>
  <c r="AA62" i="2"/>
  <c r="X62" i="2"/>
  <c r="W62" i="2"/>
  <c r="V62" i="2"/>
  <c r="U62" i="2"/>
  <c r="T62" i="2"/>
  <c r="S62" i="2"/>
  <c r="R62" i="2"/>
  <c r="Q62" i="2"/>
  <c r="AF61" i="2"/>
  <c r="AE61" i="2"/>
  <c r="AD61" i="2"/>
  <c r="AC61" i="2"/>
  <c r="AB61" i="2"/>
  <c r="AA61" i="2"/>
  <c r="X61" i="2"/>
  <c r="W61" i="2"/>
  <c r="V61" i="2"/>
  <c r="U61" i="2"/>
  <c r="T61" i="2"/>
  <c r="S61" i="2"/>
  <c r="R61" i="2"/>
  <c r="Q61" i="2"/>
  <c r="AF60" i="2"/>
  <c r="AE60" i="2"/>
  <c r="AD60" i="2"/>
  <c r="AC60" i="2"/>
  <c r="AB60" i="2"/>
  <c r="AA60" i="2"/>
  <c r="X60" i="2"/>
  <c r="W60" i="2"/>
  <c r="V60" i="2"/>
  <c r="U60" i="2"/>
  <c r="T60" i="2"/>
  <c r="S60" i="2"/>
  <c r="R60" i="2"/>
  <c r="Q60" i="2"/>
  <c r="AF59" i="2"/>
  <c r="AE59" i="2"/>
  <c r="AD59" i="2"/>
  <c r="AC59" i="2"/>
  <c r="AB59" i="2"/>
  <c r="AA59" i="2"/>
  <c r="X59" i="2"/>
  <c r="W59" i="2"/>
  <c r="V59" i="2"/>
  <c r="U59" i="2"/>
  <c r="T59" i="2"/>
  <c r="S59" i="2"/>
  <c r="R59" i="2"/>
  <c r="Q59" i="2"/>
  <c r="AF58" i="2"/>
  <c r="AE58" i="2"/>
  <c r="AD58" i="2"/>
  <c r="AC58" i="2"/>
  <c r="AB58" i="2"/>
  <c r="AA58" i="2"/>
  <c r="X58" i="2"/>
  <c r="W58" i="2"/>
  <c r="V58" i="2"/>
  <c r="U58" i="2"/>
  <c r="T58" i="2"/>
  <c r="S58" i="2"/>
  <c r="R58" i="2"/>
  <c r="Q58" i="2"/>
  <c r="AF57" i="2"/>
  <c r="AE57" i="2"/>
  <c r="AD57" i="2"/>
  <c r="AC57" i="2"/>
  <c r="AB57" i="2"/>
  <c r="AA57" i="2"/>
  <c r="X57" i="2"/>
  <c r="W57" i="2"/>
  <c r="V57" i="2"/>
  <c r="U57" i="2"/>
  <c r="T57" i="2"/>
  <c r="S57" i="2"/>
  <c r="R57" i="2"/>
  <c r="Q57" i="2"/>
  <c r="AF56" i="2"/>
  <c r="AE56" i="2"/>
  <c r="AD56" i="2"/>
  <c r="AC56" i="2"/>
  <c r="AB56" i="2"/>
  <c r="AA56" i="2"/>
  <c r="X56" i="2"/>
  <c r="W56" i="2"/>
  <c r="V56" i="2"/>
  <c r="U56" i="2"/>
  <c r="T56" i="2"/>
  <c r="S56" i="2"/>
  <c r="R56" i="2"/>
  <c r="Q56" i="2"/>
  <c r="AF55" i="2"/>
  <c r="AE55" i="2"/>
  <c r="AD55" i="2"/>
  <c r="AC55" i="2"/>
  <c r="AB55" i="2"/>
  <c r="AA55" i="2"/>
  <c r="X55" i="2"/>
  <c r="W55" i="2"/>
  <c r="V55" i="2"/>
  <c r="U55" i="2"/>
  <c r="T55" i="2"/>
  <c r="S55" i="2"/>
  <c r="R55" i="2"/>
  <c r="Q55" i="2"/>
  <c r="AF54" i="2"/>
  <c r="AE54" i="2"/>
  <c r="AD54" i="2"/>
  <c r="AC54" i="2"/>
  <c r="AB54" i="2"/>
  <c r="AA54" i="2"/>
  <c r="Y54" i="2" s="1"/>
  <c r="P54" i="2" s="1"/>
  <c r="X54" i="2"/>
  <c r="W54" i="2"/>
  <c r="V54" i="2"/>
  <c r="U54" i="2"/>
  <c r="T54" i="2"/>
  <c r="S54" i="2"/>
  <c r="R54" i="2"/>
  <c r="Q54" i="2"/>
  <c r="AF53" i="2"/>
  <c r="AE53" i="2"/>
  <c r="AD53" i="2"/>
  <c r="AC53" i="2"/>
  <c r="AB53" i="2"/>
  <c r="AA53" i="2"/>
  <c r="X53" i="2"/>
  <c r="W53" i="2"/>
  <c r="V53" i="2"/>
  <c r="U53" i="2"/>
  <c r="T53" i="2"/>
  <c r="S53" i="2"/>
  <c r="R53" i="2"/>
  <c r="Q53" i="2"/>
  <c r="AF52" i="2"/>
  <c r="AE52" i="2"/>
  <c r="AD52" i="2"/>
  <c r="AC52" i="2"/>
  <c r="AB52" i="2"/>
  <c r="AA52" i="2"/>
  <c r="X52" i="2"/>
  <c r="W52" i="2"/>
  <c r="V52" i="2"/>
  <c r="U52" i="2"/>
  <c r="T52" i="2"/>
  <c r="S52" i="2"/>
  <c r="R52" i="2"/>
  <c r="Q52" i="2"/>
  <c r="AF51" i="2"/>
  <c r="AE51" i="2"/>
  <c r="AD51" i="2"/>
  <c r="AC51" i="2"/>
  <c r="AB51" i="2"/>
  <c r="AA51" i="2"/>
  <c r="X51" i="2"/>
  <c r="W51" i="2"/>
  <c r="V51" i="2"/>
  <c r="U51" i="2"/>
  <c r="T51" i="2"/>
  <c r="S51" i="2"/>
  <c r="R51" i="2"/>
  <c r="Q51" i="2"/>
  <c r="AF50" i="2"/>
  <c r="AE50" i="2"/>
  <c r="AD50" i="2"/>
  <c r="AC50" i="2"/>
  <c r="AB50" i="2"/>
  <c r="AA50" i="2"/>
  <c r="X50" i="2"/>
  <c r="W50" i="2"/>
  <c r="V50" i="2"/>
  <c r="U50" i="2"/>
  <c r="T50" i="2"/>
  <c r="S50" i="2"/>
  <c r="R50" i="2"/>
  <c r="Q50" i="2"/>
  <c r="AF49" i="2"/>
  <c r="AE49" i="2"/>
  <c r="AD49" i="2"/>
  <c r="AC49" i="2"/>
  <c r="AB49" i="2"/>
  <c r="AA49" i="2"/>
  <c r="X49" i="2"/>
  <c r="W49" i="2"/>
  <c r="V49" i="2"/>
  <c r="U49" i="2"/>
  <c r="T49" i="2"/>
  <c r="S49" i="2"/>
  <c r="R49" i="2"/>
  <c r="Q49" i="2"/>
  <c r="AF48" i="2"/>
  <c r="AE48" i="2"/>
  <c r="AD48" i="2"/>
  <c r="AC48" i="2"/>
  <c r="AB48" i="2"/>
  <c r="AA48" i="2"/>
  <c r="X48" i="2"/>
  <c r="W48" i="2"/>
  <c r="V48" i="2"/>
  <c r="U48" i="2"/>
  <c r="T48" i="2"/>
  <c r="S48" i="2"/>
  <c r="R48" i="2"/>
  <c r="Q48" i="2"/>
  <c r="AF47" i="2"/>
  <c r="AE47" i="2"/>
  <c r="AD47" i="2"/>
  <c r="AC47" i="2"/>
  <c r="AB47" i="2"/>
  <c r="AA47" i="2"/>
  <c r="X47" i="2"/>
  <c r="W47" i="2"/>
  <c r="V47" i="2"/>
  <c r="U47" i="2"/>
  <c r="T47" i="2"/>
  <c r="S47" i="2"/>
  <c r="R47" i="2"/>
  <c r="Q47" i="2"/>
  <c r="AF46" i="2"/>
  <c r="AE46" i="2"/>
  <c r="AD46" i="2"/>
  <c r="AC46" i="2"/>
  <c r="AB46" i="2"/>
  <c r="AA46" i="2"/>
  <c r="X46" i="2"/>
  <c r="W46" i="2"/>
  <c r="V46" i="2"/>
  <c r="U46" i="2"/>
  <c r="T46" i="2"/>
  <c r="S46" i="2"/>
  <c r="R46" i="2"/>
  <c r="Q46" i="2"/>
  <c r="AF45" i="2"/>
  <c r="AE45" i="2"/>
  <c r="AD45" i="2"/>
  <c r="AC45" i="2"/>
  <c r="AB45" i="2"/>
  <c r="AA45" i="2"/>
  <c r="X45" i="2"/>
  <c r="W45" i="2"/>
  <c r="V45" i="2"/>
  <c r="U45" i="2"/>
  <c r="T45" i="2"/>
  <c r="S45" i="2"/>
  <c r="R45" i="2"/>
  <c r="Q45" i="2"/>
  <c r="AF44" i="2"/>
  <c r="AE44" i="2"/>
  <c r="AD44" i="2"/>
  <c r="AC44" i="2"/>
  <c r="AB44" i="2"/>
  <c r="AA44" i="2"/>
  <c r="X44" i="2"/>
  <c r="W44" i="2"/>
  <c r="V44" i="2"/>
  <c r="U44" i="2"/>
  <c r="T44" i="2"/>
  <c r="S44" i="2"/>
  <c r="R44" i="2"/>
  <c r="Q44" i="2"/>
  <c r="AF43" i="2"/>
  <c r="AE43" i="2"/>
  <c r="AD43" i="2"/>
  <c r="AC43" i="2"/>
  <c r="AB43" i="2"/>
  <c r="AA43" i="2"/>
  <c r="X43" i="2"/>
  <c r="W43" i="2"/>
  <c r="V43" i="2"/>
  <c r="U43" i="2"/>
  <c r="T43" i="2"/>
  <c r="S43" i="2"/>
  <c r="R43" i="2"/>
  <c r="Q43" i="2"/>
  <c r="AF42" i="2"/>
  <c r="AE42" i="2"/>
  <c r="AD42" i="2"/>
  <c r="AC42" i="2"/>
  <c r="AB42" i="2"/>
  <c r="AA42" i="2"/>
  <c r="X42" i="2"/>
  <c r="W42" i="2"/>
  <c r="V42" i="2"/>
  <c r="U42" i="2"/>
  <c r="T42" i="2"/>
  <c r="S42" i="2"/>
  <c r="R42" i="2"/>
  <c r="Q42" i="2"/>
  <c r="AF41" i="2"/>
  <c r="AE41" i="2"/>
  <c r="AD41" i="2"/>
  <c r="AC41" i="2"/>
  <c r="AB41" i="2"/>
  <c r="AA41" i="2"/>
  <c r="X41" i="2"/>
  <c r="W41" i="2"/>
  <c r="V41" i="2"/>
  <c r="U41" i="2"/>
  <c r="T41" i="2"/>
  <c r="S41" i="2"/>
  <c r="R41" i="2"/>
  <c r="Q41" i="2"/>
  <c r="AF40" i="2"/>
  <c r="AE40" i="2"/>
  <c r="AD40" i="2"/>
  <c r="AC40" i="2"/>
  <c r="AB40" i="2"/>
  <c r="AA40" i="2"/>
  <c r="X40" i="2"/>
  <c r="W40" i="2"/>
  <c r="V40" i="2"/>
  <c r="U40" i="2"/>
  <c r="T40" i="2"/>
  <c r="S40" i="2"/>
  <c r="R40" i="2"/>
  <c r="Q40" i="2"/>
  <c r="AF39" i="2"/>
  <c r="AE39" i="2"/>
  <c r="AD39" i="2"/>
  <c r="AC39" i="2"/>
  <c r="AB39" i="2"/>
  <c r="AA39" i="2"/>
  <c r="X39" i="2"/>
  <c r="W39" i="2"/>
  <c r="V39" i="2"/>
  <c r="U39" i="2"/>
  <c r="T39" i="2"/>
  <c r="S39" i="2"/>
  <c r="R39" i="2"/>
  <c r="Q39" i="2"/>
  <c r="AF38" i="2"/>
  <c r="AE38" i="2"/>
  <c r="AD38" i="2"/>
  <c r="AC38" i="2"/>
  <c r="AB38" i="2"/>
  <c r="AA38" i="2"/>
  <c r="X38" i="2"/>
  <c r="W38" i="2"/>
  <c r="V38" i="2"/>
  <c r="U38" i="2"/>
  <c r="T38" i="2"/>
  <c r="S38" i="2"/>
  <c r="R38" i="2"/>
  <c r="Q38" i="2"/>
  <c r="AF37" i="2"/>
  <c r="AE37" i="2"/>
  <c r="AD37" i="2"/>
  <c r="AC37" i="2"/>
  <c r="AB37" i="2"/>
  <c r="AA37" i="2"/>
  <c r="X37" i="2"/>
  <c r="W37" i="2"/>
  <c r="V37" i="2"/>
  <c r="U37" i="2"/>
  <c r="T37" i="2"/>
  <c r="S37" i="2"/>
  <c r="R37" i="2"/>
  <c r="Q37" i="2"/>
  <c r="AF36" i="2"/>
  <c r="AE36" i="2"/>
  <c r="AD36" i="2"/>
  <c r="AC36" i="2"/>
  <c r="AB36" i="2"/>
  <c r="AA36" i="2"/>
  <c r="X36" i="2"/>
  <c r="W36" i="2"/>
  <c r="V36" i="2"/>
  <c r="U36" i="2"/>
  <c r="T36" i="2"/>
  <c r="S36" i="2"/>
  <c r="R36" i="2"/>
  <c r="Q36" i="2"/>
  <c r="AF35" i="2"/>
  <c r="AE35" i="2"/>
  <c r="AD35" i="2"/>
  <c r="AC35" i="2"/>
  <c r="AB35" i="2"/>
  <c r="AA35" i="2"/>
  <c r="X35" i="2"/>
  <c r="W35" i="2"/>
  <c r="V35" i="2"/>
  <c r="U35" i="2"/>
  <c r="T35" i="2"/>
  <c r="S35" i="2"/>
  <c r="R35" i="2"/>
  <c r="Q35" i="2"/>
  <c r="AF34" i="2"/>
  <c r="AE34" i="2"/>
  <c r="AD34" i="2"/>
  <c r="AC34" i="2"/>
  <c r="AB34" i="2"/>
  <c r="AA34" i="2"/>
  <c r="X34" i="2"/>
  <c r="W34" i="2"/>
  <c r="V34" i="2"/>
  <c r="U34" i="2"/>
  <c r="T34" i="2"/>
  <c r="S34" i="2"/>
  <c r="R34" i="2"/>
  <c r="Q34" i="2"/>
  <c r="AF33" i="2"/>
  <c r="AE33" i="2"/>
  <c r="AD33" i="2"/>
  <c r="AC33" i="2"/>
  <c r="AB33" i="2"/>
  <c r="AA33" i="2"/>
  <c r="X33" i="2"/>
  <c r="W33" i="2"/>
  <c r="V33" i="2"/>
  <c r="U33" i="2"/>
  <c r="T33" i="2"/>
  <c r="S33" i="2"/>
  <c r="R33" i="2"/>
  <c r="Q33" i="2"/>
  <c r="AF32" i="2"/>
  <c r="AE32" i="2"/>
  <c r="AD32" i="2"/>
  <c r="AC32" i="2"/>
  <c r="AB32" i="2"/>
  <c r="AA32" i="2"/>
  <c r="X32" i="2"/>
  <c r="W32" i="2"/>
  <c r="V32" i="2"/>
  <c r="U32" i="2"/>
  <c r="T32" i="2"/>
  <c r="S32" i="2"/>
  <c r="R32" i="2"/>
  <c r="Q32" i="2"/>
  <c r="AF31" i="2"/>
  <c r="AE31" i="2"/>
  <c r="AD31" i="2"/>
  <c r="AC31" i="2"/>
  <c r="AB31" i="2"/>
  <c r="AA31" i="2"/>
  <c r="X31" i="2"/>
  <c r="W31" i="2"/>
  <c r="V31" i="2"/>
  <c r="U31" i="2"/>
  <c r="T31" i="2"/>
  <c r="S31" i="2"/>
  <c r="R31" i="2"/>
  <c r="Q31" i="2"/>
  <c r="AF30" i="2"/>
  <c r="AE30" i="2"/>
  <c r="AD30" i="2"/>
  <c r="AC30" i="2"/>
  <c r="AB30" i="2"/>
  <c r="AA30" i="2"/>
  <c r="X30" i="2"/>
  <c r="W30" i="2"/>
  <c r="V30" i="2"/>
  <c r="U30" i="2"/>
  <c r="T30" i="2"/>
  <c r="S30" i="2"/>
  <c r="R30" i="2"/>
  <c r="Q30" i="2"/>
  <c r="AF29" i="2"/>
  <c r="AE29" i="2"/>
  <c r="AD29" i="2"/>
  <c r="AC29" i="2"/>
  <c r="AB29" i="2"/>
  <c r="AA29" i="2"/>
  <c r="X29" i="2"/>
  <c r="W29" i="2"/>
  <c r="V29" i="2"/>
  <c r="U29" i="2"/>
  <c r="T29" i="2"/>
  <c r="S29" i="2"/>
  <c r="R29" i="2"/>
  <c r="Q29" i="2"/>
  <c r="AF28" i="2"/>
  <c r="AE28" i="2"/>
  <c r="AD28" i="2"/>
  <c r="AC28" i="2"/>
  <c r="AB28" i="2"/>
  <c r="AA28" i="2"/>
  <c r="X28" i="2"/>
  <c r="W28" i="2"/>
  <c r="V28" i="2"/>
  <c r="U28" i="2"/>
  <c r="T28" i="2"/>
  <c r="S28" i="2"/>
  <c r="R28" i="2"/>
  <c r="Q28" i="2"/>
  <c r="AF27" i="2"/>
  <c r="AE27" i="2"/>
  <c r="AD27" i="2"/>
  <c r="AC27" i="2"/>
  <c r="AB27" i="2"/>
  <c r="AA27" i="2"/>
  <c r="X27" i="2"/>
  <c r="W27" i="2"/>
  <c r="V27" i="2"/>
  <c r="U27" i="2"/>
  <c r="T27" i="2"/>
  <c r="S27" i="2"/>
  <c r="R27" i="2"/>
  <c r="Q27" i="2"/>
  <c r="AF26" i="2"/>
  <c r="AE26" i="2"/>
  <c r="AD26" i="2"/>
  <c r="AC26" i="2"/>
  <c r="AB26" i="2"/>
  <c r="AA26" i="2"/>
  <c r="X26" i="2"/>
  <c r="W26" i="2"/>
  <c r="V26" i="2"/>
  <c r="U26" i="2"/>
  <c r="T26" i="2"/>
  <c r="S26" i="2"/>
  <c r="R26" i="2"/>
  <c r="Q26" i="2"/>
  <c r="AF25" i="2"/>
  <c r="AE25" i="2"/>
  <c r="AD25" i="2"/>
  <c r="AC25" i="2"/>
  <c r="AB25" i="2"/>
  <c r="AA25" i="2"/>
  <c r="X25" i="2"/>
  <c r="W25" i="2"/>
  <c r="V25" i="2"/>
  <c r="U25" i="2"/>
  <c r="T25" i="2"/>
  <c r="S25" i="2"/>
  <c r="R25" i="2"/>
  <c r="Q25" i="2"/>
  <c r="AF24" i="2"/>
  <c r="AE24" i="2"/>
  <c r="AD24" i="2"/>
  <c r="AC24" i="2"/>
  <c r="AB24" i="2"/>
  <c r="AA24" i="2"/>
  <c r="X24" i="2"/>
  <c r="W24" i="2"/>
  <c r="V24" i="2"/>
  <c r="U24" i="2"/>
  <c r="T24" i="2"/>
  <c r="S24" i="2"/>
  <c r="R24" i="2"/>
  <c r="Q24" i="2"/>
  <c r="AF23" i="2"/>
  <c r="AE23" i="2"/>
  <c r="AD23" i="2"/>
  <c r="AC23" i="2"/>
  <c r="AB23" i="2"/>
  <c r="AA23" i="2"/>
  <c r="X23" i="2"/>
  <c r="W23" i="2"/>
  <c r="V23" i="2"/>
  <c r="U23" i="2"/>
  <c r="T23" i="2"/>
  <c r="S23" i="2"/>
  <c r="R23" i="2"/>
  <c r="Q23" i="2"/>
  <c r="AF22" i="2"/>
  <c r="AE22" i="2"/>
  <c r="AD22" i="2"/>
  <c r="AC22" i="2"/>
  <c r="AB22" i="2"/>
  <c r="AA22" i="2"/>
  <c r="X22" i="2"/>
  <c r="W22" i="2"/>
  <c r="V22" i="2"/>
  <c r="U22" i="2"/>
  <c r="T22" i="2"/>
  <c r="S22" i="2"/>
  <c r="R22" i="2"/>
  <c r="Q22" i="2"/>
  <c r="AF21" i="2"/>
  <c r="AE21" i="2"/>
  <c r="AD21" i="2"/>
  <c r="AC21" i="2"/>
  <c r="AB21" i="2"/>
  <c r="AA21" i="2"/>
  <c r="X21" i="2"/>
  <c r="W21" i="2"/>
  <c r="V21" i="2"/>
  <c r="U21" i="2"/>
  <c r="T21" i="2"/>
  <c r="S21" i="2"/>
  <c r="R21" i="2"/>
  <c r="Q21" i="2"/>
  <c r="AF20" i="2"/>
  <c r="AE20" i="2"/>
  <c r="AD20" i="2"/>
  <c r="AC20" i="2"/>
  <c r="AB20" i="2"/>
  <c r="AA20" i="2"/>
  <c r="X20" i="2"/>
  <c r="W20" i="2"/>
  <c r="V20" i="2"/>
  <c r="U20" i="2"/>
  <c r="T20" i="2"/>
  <c r="S20" i="2"/>
  <c r="R20" i="2"/>
  <c r="Q20" i="2"/>
  <c r="AF19" i="2"/>
  <c r="AE19" i="2"/>
  <c r="AD19" i="2"/>
  <c r="AC19" i="2"/>
  <c r="AB19" i="2"/>
  <c r="AA19" i="2"/>
  <c r="X19" i="2"/>
  <c r="W19" i="2"/>
  <c r="V19" i="2"/>
  <c r="U19" i="2"/>
  <c r="T19" i="2"/>
  <c r="S19" i="2"/>
  <c r="R19" i="2"/>
  <c r="Q19" i="2"/>
  <c r="AF18" i="2"/>
  <c r="AE18" i="2"/>
  <c r="AD18" i="2"/>
  <c r="AC18" i="2"/>
  <c r="AB18" i="2"/>
  <c r="AA18" i="2"/>
  <c r="X18" i="2"/>
  <c r="W18" i="2"/>
  <c r="V18" i="2"/>
  <c r="U18" i="2"/>
  <c r="T18" i="2"/>
  <c r="S18" i="2"/>
  <c r="R18" i="2"/>
  <c r="Q18" i="2"/>
  <c r="AF17" i="2"/>
  <c r="AE17" i="2"/>
  <c r="AD17" i="2"/>
  <c r="AC17" i="2"/>
  <c r="AB17" i="2"/>
  <c r="AA17" i="2"/>
  <c r="X17" i="2"/>
  <c r="W17" i="2"/>
  <c r="V17" i="2"/>
  <c r="U17" i="2"/>
  <c r="T17" i="2"/>
  <c r="S17" i="2"/>
  <c r="R17" i="2"/>
  <c r="Q17" i="2"/>
  <c r="AF16" i="2"/>
  <c r="AE16" i="2"/>
  <c r="AD16" i="2"/>
  <c r="AC16" i="2"/>
  <c r="AB16" i="2"/>
  <c r="AA16" i="2"/>
  <c r="X16" i="2"/>
  <c r="W16" i="2"/>
  <c r="V16" i="2"/>
  <c r="U16" i="2"/>
  <c r="T16" i="2"/>
  <c r="S16" i="2"/>
  <c r="R16" i="2"/>
  <c r="Q16" i="2"/>
  <c r="AF15" i="2"/>
  <c r="AE15" i="2"/>
  <c r="AD15" i="2"/>
  <c r="AC15" i="2"/>
  <c r="AB15" i="2"/>
  <c r="AA15" i="2"/>
  <c r="X15" i="2"/>
  <c r="W15" i="2"/>
  <c r="V15" i="2"/>
  <c r="U15" i="2"/>
  <c r="T15" i="2"/>
  <c r="S15" i="2"/>
  <c r="R15" i="2"/>
  <c r="Q15" i="2"/>
  <c r="AF14" i="2"/>
  <c r="AE14" i="2"/>
  <c r="AD14" i="2"/>
  <c r="AC14" i="2"/>
  <c r="AB14" i="2"/>
  <c r="AA14" i="2"/>
  <c r="X14" i="2"/>
  <c r="W14" i="2"/>
  <c r="V14" i="2"/>
  <c r="U14" i="2"/>
  <c r="T14" i="2"/>
  <c r="S14" i="2"/>
  <c r="R14" i="2"/>
  <c r="Q14" i="2"/>
  <c r="AF13" i="2"/>
  <c r="AE13" i="2"/>
  <c r="AD13" i="2"/>
  <c r="AC13" i="2"/>
  <c r="AB13" i="2"/>
  <c r="AA13" i="2"/>
  <c r="X13" i="2"/>
  <c r="W13" i="2"/>
  <c r="V13" i="2"/>
  <c r="U13" i="2"/>
  <c r="T13" i="2"/>
  <c r="S13" i="2"/>
  <c r="R13" i="2"/>
  <c r="Q13" i="2"/>
  <c r="AF12" i="2"/>
  <c r="AE12" i="2"/>
  <c r="AD12" i="2"/>
  <c r="AC12" i="2"/>
  <c r="AB12" i="2"/>
  <c r="AA12" i="2"/>
  <c r="X12" i="2"/>
  <c r="W12" i="2"/>
  <c r="V12" i="2"/>
  <c r="U12" i="2"/>
  <c r="T12" i="2"/>
  <c r="S12" i="2"/>
  <c r="R12" i="2"/>
  <c r="Q12" i="2"/>
  <c r="AF11" i="2"/>
  <c r="AE11" i="2"/>
  <c r="AD11" i="2"/>
  <c r="AC11" i="2"/>
  <c r="AB11" i="2"/>
  <c r="AA11" i="2"/>
  <c r="X11" i="2"/>
  <c r="W11" i="2"/>
  <c r="V11" i="2"/>
  <c r="U11" i="2"/>
  <c r="T11" i="2"/>
  <c r="S11" i="2"/>
  <c r="R11" i="2"/>
  <c r="Q11" i="2"/>
  <c r="AF10" i="2"/>
  <c r="AE10" i="2"/>
  <c r="AD10" i="2"/>
  <c r="AC10" i="2"/>
  <c r="AB10" i="2"/>
  <c r="AA10" i="2"/>
  <c r="X10" i="2"/>
  <c r="W10" i="2"/>
  <c r="V10" i="2"/>
  <c r="U10" i="2"/>
  <c r="T10" i="2"/>
  <c r="S10" i="2"/>
  <c r="R10" i="2"/>
  <c r="Q10" i="2"/>
  <c r="AF9" i="2"/>
  <c r="AE9" i="2"/>
  <c r="AD9" i="2"/>
  <c r="AC9" i="2"/>
  <c r="AB9" i="2"/>
  <c r="AA9" i="2"/>
  <c r="X9" i="2"/>
  <c r="W9" i="2"/>
  <c r="V9" i="2"/>
  <c r="U9" i="2"/>
  <c r="T9" i="2"/>
  <c r="S9" i="2"/>
  <c r="R9" i="2"/>
  <c r="Q9" i="2"/>
  <c r="AF8" i="2"/>
  <c r="AE8" i="2"/>
  <c r="AD8" i="2"/>
  <c r="AC8" i="2"/>
  <c r="AB8" i="2"/>
  <c r="AA8" i="2"/>
  <c r="X8" i="2"/>
  <c r="W8" i="2"/>
  <c r="V8" i="2"/>
  <c r="U8" i="2"/>
  <c r="T8" i="2"/>
  <c r="S8" i="2"/>
  <c r="R8" i="2"/>
  <c r="Q8" i="2"/>
  <c r="AF7" i="2"/>
  <c r="AE7" i="2"/>
  <c r="AD7" i="2"/>
  <c r="AC7" i="2"/>
  <c r="AB7" i="2"/>
  <c r="AA7" i="2"/>
  <c r="X7" i="2"/>
  <c r="W7" i="2"/>
  <c r="V7" i="2"/>
  <c r="U7" i="2"/>
  <c r="T7" i="2"/>
  <c r="S7" i="2"/>
  <c r="R7" i="2"/>
  <c r="Q7" i="2"/>
  <c r="AF6" i="2"/>
  <c r="AE6" i="2"/>
  <c r="AD6" i="2"/>
  <c r="AC6" i="2"/>
  <c r="AB6" i="2"/>
  <c r="AA6" i="2"/>
  <c r="X6" i="2"/>
  <c r="W6" i="2"/>
  <c r="V6" i="2"/>
  <c r="U6" i="2"/>
  <c r="T6" i="2"/>
  <c r="S6" i="2"/>
  <c r="R6" i="2"/>
  <c r="Q6" i="2"/>
  <c r="AF5" i="2"/>
  <c r="AE5" i="2"/>
  <c r="AD5" i="2"/>
  <c r="AC5" i="2"/>
  <c r="AB5" i="2"/>
  <c r="AA5" i="2"/>
  <c r="X5" i="2"/>
  <c r="W5" i="2"/>
  <c r="V5" i="2"/>
  <c r="U5" i="2"/>
  <c r="T5" i="2"/>
  <c r="S5" i="2"/>
  <c r="R5" i="2"/>
  <c r="Q5" i="2"/>
  <c r="AF4" i="2"/>
  <c r="AE4" i="2"/>
  <c r="AD4" i="2"/>
  <c r="AC4" i="2"/>
  <c r="AB4" i="2"/>
  <c r="AA4" i="2"/>
  <c r="X4" i="2"/>
  <c r="W4" i="2"/>
  <c r="V4" i="2"/>
  <c r="U4" i="2"/>
  <c r="T4" i="2"/>
  <c r="S4" i="2"/>
  <c r="R4" i="2"/>
  <c r="Q4" i="2"/>
  <c r="AF3" i="2"/>
  <c r="AE3" i="2"/>
  <c r="AD3" i="2"/>
  <c r="AC3" i="2"/>
  <c r="AB3" i="2"/>
  <c r="AA3" i="2"/>
  <c r="X3" i="2"/>
  <c r="W3" i="2"/>
  <c r="V3" i="2"/>
  <c r="U3" i="2"/>
  <c r="T3" i="2"/>
  <c r="S3" i="2"/>
  <c r="R3" i="2"/>
  <c r="Q3" i="2"/>
  <c r="AF2" i="2"/>
  <c r="AE2" i="2"/>
  <c r="AD2" i="2"/>
  <c r="AC2" i="2"/>
  <c r="AB2" i="2"/>
  <c r="AA2" i="2"/>
  <c r="X2" i="2"/>
  <c r="W2" i="2"/>
  <c r="V2" i="2"/>
  <c r="U2" i="2"/>
  <c r="T2" i="2"/>
  <c r="S2" i="2"/>
  <c r="R2" i="2"/>
  <c r="Q2" i="2"/>
  <c r="I26" i="1"/>
  <c r="H26" i="1"/>
  <c r="G26" i="1"/>
  <c r="F26" i="1"/>
  <c r="E26" i="1"/>
  <c r="D26" i="1"/>
  <c r="I25" i="1"/>
  <c r="H25" i="1"/>
  <c r="G25" i="1"/>
  <c r="F25" i="1"/>
  <c r="E25" i="1"/>
  <c r="D25" i="1"/>
  <c r="I24" i="1"/>
  <c r="H24" i="1"/>
  <c r="G24" i="1"/>
  <c r="F24" i="1"/>
  <c r="E24" i="1"/>
  <c r="D24" i="1"/>
  <c r="I23" i="1"/>
  <c r="H23" i="1"/>
  <c r="G23" i="1"/>
  <c r="F23" i="1"/>
  <c r="E23" i="1"/>
  <c r="D23" i="1"/>
  <c r="I22" i="1"/>
  <c r="H22" i="1"/>
  <c r="G22" i="1"/>
  <c r="F22" i="1"/>
  <c r="E22" i="1"/>
  <c r="D22" i="1"/>
  <c r="I21" i="1"/>
  <c r="H21" i="1"/>
  <c r="G21" i="1"/>
  <c r="F21" i="1"/>
  <c r="E21" i="1"/>
  <c r="D21" i="1"/>
  <c r="I20" i="1"/>
  <c r="H20" i="1"/>
  <c r="G20" i="1"/>
  <c r="E20" i="1"/>
  <c r="D20" i="1"/>
  <c r="I19" i="1"/>
  <c r="H19" i="1"/>
  <c r="G19" i="1"/>
  <c r="E19" i="1"/>
  <c r="D19" i="1"/>
  <c r="B15" i="1"/>
  <c r="B13" i="1"/>
  <c r="G12" i="1"/>
  <c r="H12" i="1" s="1"/>
  <c r="B12" i="1"/>
  <c r="G11" i="1"/>
  <c r="H11" i="1" s="1"/>
  <c r="B11" i="1"/>
  <c r="G10" i="1"/>
  <c r="H10" i="1" s="1"/>
  <c r="B10" i="1"/>
  <c r="G9" i="1"/>
  <c r="H9" i="1" s="1"/>
  <c r="B9" i="1"/>
  <c r="G8" i="1"/>
  <c r="H8" i="1" s="1"/>
  <c r="B8" i="1"/>
  <c r="Y16" i="2" l="1"/>
  <c r="P16" i="2" s="1"/>
  <c r="Y90" i="2"/>
  <c r="P90" i="2" s="1"/>
  <c r="Y74" i="2"/>
  <c r="P74" i="2" s="1"/>
  <c r="Y58" i="2"/>
  <c r="P58" i="2" s="1"/>
  <c r="Y42" i="2"/>
  <c r="P42" i="2" s="1"/>
  <c r="Y26" i="2"/>
  <c r="P26" i="2" s="1"/>
  <c r="Y10" i="2"/>
  <c r="P10" i="2" s="1"/>
  <c r="Y15" i="2"/>
  <c r="P15" i="2" s="1"/>
  <c r="Y31" i="2"/>
  <c r="P31" i="2" s="1"/>
  <c r="Y47" i="2"/>
  <c r="P47" i="2" s="1"/>
  <c r="Y63" i="2"/>
  <c r="P63" i="2" s="1"/>
  <c r="Y79" i="2"/>
  <c r="P79" i="2" s="1"/>
  <c r="Y89" i="2"/>
  <c r="P89" i="2" s="1"/>
  <c r="Y73" i="2"/>
  <c r="P73" i="2" s="1"/>
  <c r="Y57" i="2"/>
  <c r="P57" i="2" s="1"/>
  <c r="Y41" i="2"/>
  <c r="P41" i="2" s="1"/>
  <c r="Y25" i="2"/>
  <c r="P25" i="2" s="1"/>
  <c r="Y9" i="2"/>
  <c r="P9" i="2" s="1"/>
  <c r="Y24" i="2"/>
  <c r="P24" i="2" s="1"/>
  <c r="Y6" i="2"/>
  <c r="P6" i="2" s="1"/>
  <c r="Y22" i="2"/>
  <c r="P22" i="2" s="1"/>
  <c r="Y38" i="2"/>
  <c r="P38" i="2" s="1"/>
  <c r="Y87" i="2"/>
  <c r="P87" i="2" s="1"/>
  <c r="Y71" i="2"/>
  <c r="P71" i="2" s="1"/>
  <c r="Y55" i="2"/>
  <c r="P55" i="2" s="1"/>
  <c r="Y39" i="2"/>
  <c r="P39" i="2" s="1"/>
  <c r="Y23" i="2"/>
  <c r="P23" i="2" s="1"/>
  <c r="Y7" i="2"/>
  <c r="P7" i="2" s="1"/>
  <c r="Y8" i="2"/>
  <c r="P8" i="2" s="1"/>
  <c r="Y13" i="2"/>
  <c r="P13" i="2" s="1"/>
  <c r="Y29" i="2"/>
  <c r="P29" i="2" s="1"/>
  <c r="Y45" i="2"/>
  <c r="P45" i="2" s="1"/>
  <c r="Y61" i="2"/>
  <c r="P61" i="2" s="1"/>
  <c r="Y77" i="2"/>
  <c r="P77" i="2" s="1"/>
  <c r="Y85" i="2"/>
  <c r="P85" i="2" s="1"/>
  <c r="Y69" i="2"/>
  <c r="P69" i="2" s="1"/>
  <c r="Y53" i="2"/>
  <c r="P53" i="2" s="1"/>
  <c r="Y37" i="2"/>
  <c r="P37" i="2" s="1"/>
  <c r="Y21" i="2"/>
  <c r="P21" i="2" s="1"/>
  <c r="Y5" i="2"/>
  <c r="P5" i="2" s="1"/>
  <c r="Y84" i="2"/>
  <c r="P84" i="2" s="1"/>
  <c r="Y68" i="2"/>
  <c r="P68" i="2" s="1"/>
  <c r="Y52" i="2"/>
  <c r="P52" i="2" s="1"/>
  <c r="Y36" i="2"/>
  <c r="P36" i="2" s="1"/>
  <c r="Y20" i="2"/>
  <c r="P20" i="2" s="1"/>
  <c r="Y4" i="2"/>
  <c r="P4" i="2" s="1"/>
  <c r="Y83" i="2"/>
  <c r="P83" i="2" s="1"/>
  <c r="Y67" i="2"/>
  <c r="P67" i="2" s="1"/>
  <c r="Y51" i="2"/>
  <c r="P51" i="2" s="1"/>
  <c r="Y35" i="2"/>
  <c r="P35" i="2" s="1"/>
  <c r="Y19" i="2"/>
  <c r="P19" i="2" s="1"/>
  <c r="Y3" i="2"/>
  <c r="P3" i="2" s="1"/>
  <c r="Y88" i="2"/>
  <c r="P88" i="2" s="1"/>
  <c r="Y82" i="2"/>
  <c r="P82" i="2" s="1"/>
  <c r="Y66" i="2"/>
  <c r="P66" i="2" s="1"/>
  <c r="Y50" i="2"/>
  <c r="P50" i="2" s="1"/>
  <c r="Y34" i="2"/>
  <c r="P34" i="2" s="1"/>
  <c r="Y18" i="2"/>
  <c r="P18" i="2" s="1"/>
  <c r="Y2" i="2"/>
  <c r="P2" i="2" s="1"/>
  <c r="Y40" i="2"/>
  <c r="P40" i="2" s="1"/>
  <c r="Y81" i="2"/>
  <c r="P81" i="2" s="1"/>
  <c r="Y65" i="2"/>
  <c r="P65" i="2" s="1"/>
  <c r="Y49" i="2"/>
  <c r="P49" i="2" s="1"/>
  <c r="Y33" i="2"/>
  <c r="P33" i="2" s="1"/>
  <c r="Y17" i="2"/>
  <c r="P17" i="2" s="1"/>
  <c r="Y27" i="2"/>
  <c r="P27" i="2" s="1"/>
  <c r="Y43" i="2"/>
  <c r="P43" i="2" s="1"/>
  <c r="Y59" i="2"/>
  <c r="P59" i="2" s="1"/>
  <c r="Y75" i="2"/>
  <c r="P75" i="2" s="1"/>
  <c r="Y91" i="2"/>
  <c r="P91" i="2" s="1"/>
  <c r="Y72" i="2"/>
  <c r="P72" i="2" s="1"/>
  <c r="Y78" i="2"/>
  <c r="P78" i="2" s="1"/>
  <c r="Y62" i="2"/>
  <c r="P62" i="2" s="1"/>
  <c r="Y46" i="2"/>
  <c r="P46" i="2" s="1"/>
  <c r="Y30" i="2"/>
  <c r="P30" i="2" s="1"/>
  <c r="Y14" i="2"/>
  <c r="P14" i="2" s="1"/>
  <c r="Y56" i="2"/>
  <c r="P56" i="2" s="1"/>
  <c r="Y76" i="2"/>
  <c r="P76" i="2" s="1"/>
  <c r="Y60" i="2"/>
  <c r="P60" i="2" s="1"/>
  <c r="Y44" i="2"/>
  <c r="P44" i="2" s="1"/>
  <c r="Y28" i="2"/>
  <c r="P28" i="2" s="1"/>
  <c r="Y12" i="2"/>
  <c r="P12" i="2" s="1"/>
  <c r="L9" i="1"/>
  <c r="K10" i="1"/>
  <c r="L10" i="1" s="1"/>
  <c r="K11" i="1"/>
  <c r="L11" i="1" s="1"/>
  <c r="K12" i="1"/>
  <c r="L12" i="1" s="1"/>
  <c r="K13" i="1"/>
  <c r="L13" i="1" s="1"/>
  <c r="K14" i="1"/>
  <c r="L14" i="1" s="1"/>
  <c r="L8" i="1"/>
  <c r="C15" i="1"/>
  <c r="D15" i="1" s="1"/>
  <c r="C14" i="1"/>
  <c r="D14" i="1" s="1"/>
  <c r="C8" i="1"/>
  <c r="D8" i="1" s="1"/>
  <c r="C9" i="1"/>
  <c r="D9" i="1" s="1"/>
  <c r="C10" i="1"/>
  <c r="D10" i="1" s="1"/>
  <c r="C11" i="1"/>
  <c r="D11" i="1" s="1"/>
  <c r="C12" i="1"/>
  <c r="D12" i="1" s="1"/>
  <c r="C13" i="1"/>
  <c r="D13" i="1" s="1"/>
</calcChain>
</file>

<file path=xl/sharedStrings.xml><?xml version="1.0" encoding="utf-8"?>
<sst xmlns="http://schemas.openxmlformats.org/spreadsheetml/2006/main" count="1600" uniqueCount="775">
  <si>
    <t>Human turns</t>
  </si>
  <si>
    <t>Turns with no substantive AI reply visible</t>
  </si>
  <si>
    <t>Interaction type</t>
  </si>
  <si>
    <t>Primary count</t>
  </si>
  <si>
    <t>Any occurrence</t>
  </si>
  <si>
    <t>Agency mode</t>
  </si>
  <si>
    <t>Turns</t>
  </si>
  <si>
    <t>Share</t>
  </si>
  <si>
    <t>Expertise evidence</t>
  </si>
  <si>
    <t>Delegation</t>
  </si>
  <si>
    <t>Delegative</t>
  </si>
  <si>
    <t>domain correction</t>
  </si>
  <si>
    <t>Directed delegation</t>
  </si>
  <si>
    <t>Directive</t>
  </si>
  <si>
    <t>conceptual discrimination</t>
  </si>
  <si>
    <t>Evaluation</t>
  </si>
  <si>
    <t>Evaluative</t>
  </si>
  <si>
    <t>evidence judgment</t>
  </si>
  <si>
    <t>Correction/Challenge</t>
  </si>
  <si>
    <t>Critical</t>
  </si>
  <si>
    <t>methodological judgment</t>
  </si>
  <si>
    <t>Redirection</t>
  </si>
  <si>
    <t>Deliberative</t>
  </si>
  <si>
    <t>argumentative judgment</t>
  </si>
  <si>
    <t>Knowledge injection</t>
  </si>
  <si>
    <t>genre/writing expertise</t>
  </si>
  <si>
    <t>Selection/Rejection</t>
  </si>
  <si>
    <t>none</t>
  </si>
  <si>
    <t>Deliberation</t>
  </si>
  <si>
    <t>Phase</t>
  </si>
  <si>
    <t>First turn</t>
  </si>
  <si>
    <t>Last turn</t>
  </si>
  <si>
    <t>Initial framing</t>
  </si>
  <si>
    <t>Source selection and citation repair</t>
  </si>
  <si>
    <t>Abstract and paper positioning</t>
  </si>
  <si>
    <t>Conceptual structure</t>
  </si>
  <si>
    <t>Supplement and section drafting</t>
  </si>
  <si>
    <t>Evidence audit and pool revision</t>
  </si>
  <si>
    <t>Completion and review requests</t>
  </si>
  <si>
    <t>Feedback and reframing</t>
  </si>
  <si>
    <t>Key patterns and limits</t>
  </si>
  <si>
    <t>Directive agency is most frequent: 47/90 turns (52.2%). Critical: 19 (21.1%); Evaluative: 15 (16.7%); Deliberative: 6 (6.7%); Delegative: 3 (3.3%).</t>
  </si>
  <si>
    <t>Drafting and scrutiny alternate. Human agency is visible through constraints, selection, verification and reframing, rather than a single linear shift toward deliberation.</t>
  </si>
  <si>
    <t>Citation repair: P2-013 rejects fake references; P2-014 challenges an entry still mislabeled after claimed verification; P2-018 supplies correct title and authors.</t>
  </si>
  <si>
    <t>Quotation audit: P2-060 to P2-065 check sources against burden categories. At P2-064, the assistant admits its earlier purported verbatim quotations are not in the source.</t>
  </si>
  <si>
    <t>Evidence control: P2-066 explicitly reduces ten sources to eight. P2-067 reports human-extracted quotes organized in table comments; actual comment access is unverified.</t>
  </si>
  <si>
    <t>Conceptual framing: P2-037 distinguishes IDE and chat-based tools. P2-042 merges overlapping cost categories. P2-050 removes a redundant category from the evidence table.</t>
  </si>
  <si>
    <t>Claim discipline: P2-006 and P2-025 moderate certainty. P2-073 labels the figure hypothetical. P2-083 to P2-090 negotiate column genre, evidence synthesis and voice.</t>
  </si>
  <si>
    <t>Turn-taking control: P2-083 asks AI to wait while the human develops responses; AI nevertheless drafts a reply. P2-084 reasserts human control over substantive replies.</t>
  </si>
  <si>
    <t>Twelve missing assistant replies limit outcome claims. The two identical review requests are retained. A visible yes approves only a contextual next step; P2-078 has no visible antecedent.</t>
  </si>
  <si>
    <t>Paper 1 has missing prompts, according to the user. The 22-versus-90 turn difference describes surviving records and cannot establish a difference in actual agency or expertise.</t>
  </si>
  <si>
    <t>Single-coder interpretive analysis. Source accuracy, final uptake and unseen attachments are not inferred. See Codebook for operational rules and ambiguous cases.</t>
  </si>
  <si>
    <t>Turn ID</t>
  </si>
  <si>
    <t>Sequence</t>
  </si>
  <si>
    <t>Prompt excerpt</t>
  </si>
  <si>
    <t>Primary interaction type</t>
  </si>
  <si>
    <t>Additional interaction types</t>
  </si>
  <si>
    <t>Coding rationale</t>
  </si>
  <si>
    <t>Observed outcome / notes</t>
  </si>
  <si>
    <t>Prompt provenance</t>
  </si>
  <si>
    <t>Response provenance</t>
  </si>
  <si>
    <t>Attachment metadata</t>
  </si>
  <si>
    <t>Response availability</t>
  </si>
  <si>
    <t>Coding caution</t>
  </si>
  <si>
    <t>P2-001</t>
  </si>
  <si>
    <t>Hidden cost of AI-SE: Short opinion paper</t>
  </si>
  <si>
    <t>Topic-only request for a short opinion paper, without substantive constraints.</t>
  </si>
  <si>
    <t>AI starts a short opinion draft and abstract.</t>
  </si>
  <si>
    <t>p4 L2-p4 L2</t>
  </si>
  <si>
    <t>p4 L3-p4 L12</t>
  </si>
  <si>
    <t>Visible substantive response</t>
  </si>
  <si>
    <t>P2-002</t>
  </si>
  <si>
    <t>I want to write a short "Opinion" paper for IEEE SW ... cannot present research findings ... first, suggest a clear title.</t>
  </si>
  <si>
    <t>Redirection; Knowledge injection</t>
  </si>
  <si>
    <t>genre/writing expertise; argumentative judgment; methodological judgment</t>
  </si>
  <si>
    <t>Specifies venue, length, scope and objectives; explicitly rules out presenting original research findings.</t>
  </si>
  <si>
    <t>AI offers title options. The quantification objectives and opinion-only constraint create a tension, not resolved here.</t>
  </si>
  <si>
    <t>p4 L13-p4 L22</t>
  </si>
  <si>
    <t>p4 L24-p4 L37</t>
  </si>
  <si>
    <t>P2-003</t>
  </si>
  <si>
    <t>make it shorter</t>
  </si>
  <si>
    <t>Requests a shorter title, retaining control over brevity.</t>
  </si>
  <si>
    <t>AI offers shorter title options.</t>
  </si>
  <si>
    <t>p4 L38-p4 L38</t>
  </si>
  <si>
    <t>p4 L39-p5 L6</t>
  </si>
  <si>
    <t>P2-004</t>
  </si>
  <si>
    <t>is rthis a good one: Hidden Cost of AI in Software Engineering: Efficiency versus Burden</t>
  </si>
  <si>
    <t>genre/writing expertise; argumentative judgment</t>
  </si>
  <si>
    <t>Supplies a candidate title for assessment of its framing.</t>
  </si>
  <si>
    <t>AI endorses it and offers a slight refinement; no final choice yet.</t>
  </si>
  <si>
    <t>p5 L7-p5 L7</t>
  </si>
  <si>
    <t>p5 L8-p5 L14</t>
  </si>
  <si>
    <t>P2-005</t>
  </si>
  <si>
    <t>give a short Abstract: and 5 Keywords</t>
  </si>
  <si>
    <t>Specifies short abstract and five keywords, without substantive argument constraints.</t>
  </si>
  <si>
    <t>AI provides an abstract and five keywords.</t>
  </si>
  <si>
    <t>p5 L15-p5 L16</t>
  </si>
  <si>
    <t>p5 L17-p5 L22</t>
  </si>
  <si>
    <t>P2-006</t>
  </si>
  <si>
    <t>how about this: AI tools promise increased efficiency in software engineering (SE), yet their use can potentially introduce hidden costs. Software engineers must review, validate, and correct AI-generated SE artifacts—efforts that can potentially outweigh productivity gains. T...</t>
  </si>
  <si>
    <t>Evaluation; Knowledge injection; Redirection</t>
  </si>
  <si>
    <t>evidence judgment; argumentative judgment; genre/writing expertise</t>
  </si>
  <si>
    <t>Adds potentially to moderate the strength of claims and requests assessment of the rewritten abstract.</t>
  </si>
  <si>
    <t>AI retains cautious claims while reducing repetition of potentially.</t>
  </si>
  <si>
    <t>p5 L23-p5 L27</t>
  </si>
  <si>
    <t>p5 L29-p5 L36</t>
  </si>
  <si>
    <t>P2-007</t>
  </si>
  <si>
    <t>suggest the paper structure, recall: the MAX limit is 2600 words. consider adding two figures, each worth 250 words, thus leaving only 2100 words for text. suggest two figure topics.</t>
  </si>
  <si>
    <t>Allocates a 2600-word budget, including two figures at 250 words each, and requests structure and figure topics.</t>
  </si>
  <si>
    <t>AI proposes sections, figure topics and word allocations using the stated budget.</t>
  </si>
  <si>
    <t>p5 L37-p5 L39</t>
  </si>
  <si>
    <t>p5 L40-p6 L40</t>
  </si>
  <si>
    <t>P2-008</t>
  </si>
  <si>
    <t>search and show for me both academic and grey literature on the topic</t>
  </si>
  <si>
    <t>Requests both academic and grey literature, specifying evidence types.</t>
  </si>
  <si>
    <t>AI reports an attempted search and partial progress, without a finished source list.</t>
  </si>
  <si>
    <t>p6 L41-p6 L41</t>
  </si>
  <si>
    <t>p6 L42-p7 L28</t>
  </si>
  <si>
    <t>P2-009</t>
  </si>
  <si>
    <t>just list them in the chat</t>
  </si>
  <si>
    <t>Changes presentation to a direct list in chat.</t>
  </si>
  <si>
    <t>AI lists academic and grey sources. Later corrections establish that at least one citation was misidentified.</t>
  </si>
  <si>
    <t>p7 L29-p7 L29</t>
  </si>
  <si>
    <t>p7 L30-p8 L14</t>
  </si>
  <si>
    <t>P2-010</t>
  </si>
  <si>
    <t>I found these: [seven source URLs] ... ensuring using ideas from them, mixi with my ideas, and citer them throught my paper</t>
  </si>
  <si>
    <t>Directed delegation; Selection/Rejection</t>
  </si>
  <si>
    <t>evidence judgment; argumentative judgment</t>
  </si>
  <si>
    <t>Supplies seven selected source URLs and instructs integration with the human's ideas throughout the paper.</t>
  </si>
  <si>
    <t>AI acknowledges the pool and intended integration; it does not draft a section in this response.</t>
  </si>
  <si>
    <t>p8 L15-p8 L22</t>
  </si>
  <si>
    <t>p8 L24-p8 L25</t>
  </si>
  <si>
    <t>P2-011</t>
  </si>
  <si>
    <t>write section 1</t>
  </si>
  <si>
    <t>Requests Section 1 with no new substantive specification. Earlier constraints remain context.</t>
  </si>
  <si>
    <t>AI drafts an introduction using the supplied sources.</t>
  </si>
  <si>
    <t>p8 L26-p8 L26</t>
  </si>
  <si>
    <t>p8 L27-p9 L5</t>
  </si>
  <si>
    <t>P2-012</t>
  </si>
  <si>
    <t>for each ref cited, give me their full list at end of each section</t>
  </si>
  <si>
    <t>evidence judgment; genre/writing expertise</t>
  </si>
  <si>
    <t>Requires a full reference list at the end of every section for traceability.</t>
  </si>
  <si>
    <t>AI supplies the Section 1 list, including the subsequently challenged arXiv citation.</t>
  </si>
  <si>
    <t>p9 L6-p9 L6</t>
  </si>
  <si>
    <t>p9 L7-p9 L21</t>
  </si>
  <si>
    <t>P2-013</t>
  </si>
  <si>
    <t>do not generate FAKE refernedces. verify each of the above and remove the FAKE ones</t>
  </si>
  <si>
    <t>evidence judgment; methodological judgment</t>
  </si>
  <si>
    <t>Explicitly challenges fake references and demands verification and removal.</t>
  </si>
  <si>
    <t>AI labels the list verified but repeats the misidentified arXiv citation challenged in the next turn.</t>
  </si>
  <si>
    <t>p9 L22-p9 L22</t>
  </si>
  <si>
    <t>p9 L23-p9 L40</t>
  </si>
  <si>
    <t>P2-014</t>
  </si>
  <si>
    <t>A. Siddiq, A. Agashe, Y. Zhou, et al., _Evaluating Large Language Models for Code Quality: An Empirical Study_, arXiv preprint arXiv:2410.06992v1, 2024. \[Online\]. Available: [https://arxiv.org/html/2410.06992v1](https://arxiv.org/html/2410.06992v1) is still fake!!</t>
  </si>
  <si>
    <t>Identifies the particular citation as still fake, challenging the earlier verification assurance.</t>
  </si>
  <si>
    <t>AI admits that title and authors do not match the identifier and advises removing the entry.</t>
  </si>
  <si>
    <t>p10 L1-p10 L3</t>
  </si>
  <si>
    <t>p10 L4-p10 L19</t>
  </si>
  <si>
    <t>P2-015</t>
  </si>
  <si>
    <t>include also https://arxiv.org/html/2410.06992v1</t>
  </si>
  <si>
    <t>Retains the supplied arXiv URL despite rejecting its erroneous bibliographic description.</t>
  </si>
  <si>
    <t>AI agrees to include the URL; it does not establish correct metadata in this response.</t>
  </si>
  <si>
    <t>p10 L20-p10 L20</t>
  </si>
  <si>
    <t>p10 L21-p10 L22</t>
  </si>
  <si>
    <t>P2-016</t>
  </si>
  <si>
    <t>give updated section 1 with citing all 7 sources</t>
  </si>
  <si>
    <t>Requires the revised introduction to cite all seven selected sources.</t>
  </si>
  <si>
    <t>AI supplies an updated introduction and reference list.</t>
  </si>
  <si>
    <t>p10 L23-p10 L23</t>
  </si>
  <si>
    <t>p10 L24-p11 L22</t>
  </si>
  <si>
    <t>P2-017</t>
  </si>
  <si>
    <t>include this also: https://stackoverflow.blog/2024/12/31/generative-ai-is-not-going-to-build-your-engineering-team-for-you/ as the 8th citation</t>
  </si>
  <si>
    <t>Adds a selected Stack Overflow source as the eighth citation.</t>
  </si>
  <si>
    <t>AI acknowledges the source and revises the introduction and references.</t>
  </si>
  <si>
    <t>p11 L23-p11 L23</t>
  </si>
  <si>
    <t>p11 L24-p12 L23</t>
  </si>
  <si>
    <t>P2-018</t>
  </si>
  <si>
    <t>A. Siddiq, A. Agashe, Y. Zhou, et al., _Evaluating Large Language Models for Code Quality: An Empirical Study_ fix it. it is: SWE-Bench+: Enhanced Coding Benchmark for LLMs Reem Aleithan, Haoran Xue, Mohammad Mahdi Mohajer, Elijah Nnorom, Gias Uddin, Song Wang</t>
  </si>
  <si>
    <t>Knowledge injection; Directed delegation</t>
  </si>
  <si>
    <t>Supplies the correct SWE-Bench+ title and six authors to replace the invented metadata.</t>
  </si>
  <si>
    <t>AI updates citation metadata. Its new claim about human repair is not independently verified here.</t>
  </si>
  <si>
    <t>p12 L24-p12 L26</t>
  </si>
  <si>
    <t>p12 L27-p12 L34</t>
  </si>
  <si>
    <t>P2-019</t>
  </si>
  <si>
    <t>workflows I Do not like this term. do not use it in ANY of interactions with me. Insrtead, you can use: practices or processes</t>
  </si>
  <si>
    <t>Selection/Rejection; Directed delegation</t>
  </si>
  <si>
    <t>Rejects a recurrent term and supplies preferred alternatives, asserting editorial control.</t>
  </si>
  <si>
    <t>AI acknowledges the wording preference.</t>
  </si>
  <si>
    <t>p12 L35-p12 L36</t>
  </si>
  <si>
    <t>p12 L37-p12 L38</t>
  </si>
  <si>
    <t>P2-020</t>
  </si>
  <si>
    <t>how about this title? Be aware of the Hidden Cost of using GenAI in Software Engineering: Efficiency or Burden . it's a bit long, can it be shortened?</t>
  </si>
  <si>
    <t>Directed delegation; Knowledge injection</t>
  </si>
  <si>
    <t>Proposes a title, identifies its length problem and requests shortening.</t>
  </si>
  <si>
    <t>AI gives shorter options without a recorded final choice.</t>
  </si>
  <si>
    <t>p12 L39-p12 L40</t>
  </si>
  <si>
    <t>p12 L41-p13 L11</t>
  </si>
  <si>
    <t>P2-021</t>
  </si>
  <si>
    <t>I slightly improved the abstract. proof read it: AI tools promise increased efficiency in software engineering (SE), yet their use can introduce hidden costs. Software engineers often need to review, validate, and correct AI-generated SE artifacts—efforts that may outweigh the...</t>
  </si>
  <si>
    <t>Supplies a revised abstract incorporating industrial experience and limits the task to proofreading.</t>
  </si>
  <si>
    <t>AI proofreads the abstract; no independent audit of the experience claim is visible.</t>
  </si>
  <si>
    <t>p13 L12-p13 L17</t>
  </si>
  <si>
    <t>p13 L19-p13 L25</t>
  </si>
  <si>
    <t>P2-022</t>
  </si>
  <si>
    <t>add that, to get productivity gains from AI in SE, it should be used in the right way, and other "right" factors</t>
  </si>
  <si>
    <t>Adds the human's argument that productivity gains depend on appropriate AI use and other factors.</t>
  </si>
  <si>
    <t>AI adds engineering practice, human judgment and task-selection conditions.</t>
  </si>
  <si>
    <t>p13 L26-p13 L26</t>
  </si>
  <si>
    <t>p13 L27-p13 L35</t>
  </si>
  <si>
    <t>P2-023</t>
  </si>
  <si>
    <t>—guided by sound engineering practices, critical human judgment, and appropriate task selection good, but it is hard to read, sepaarate that sentence. also further disucss " appropriate task selection". I also like you use "right" as the adjective multiple time for those aspects</t>
  </si>
  <si>
    <t>Partly approves the idea but diagnoses poor readability, directs sentence separation and preferred wording, and requests elaboration.</t>
  </si>
  <si>
    <t>AI rewrites and expands task selection using the requested repeated adjective.</t>
  </si>
  <si>
    <t>p13 L36-p13 L38</t>
  </si>
  <si>
    <t>p13 L39-p14 L10</t>
  </si>
  <si>
    <t>P2-024</t>
  </si>
  <si>
    <t>yes</t>
  </si>
  <si>
    <t>Accepts the immediately preceding offer of an under-200-word abstract. Terse acceptance adds no independent expertise evidence.</t>
  </si>
  <si>
    <t>AI supplies a shorter abstract and reports 149 words.</t>
  </si>
  <si>
    <t>p14 L11-p14 L11</t>
  </si>
  <si>
    <t>p14 L12-p14 L23</t>
  </si>
  <si>
    <t>Assent resolved from immediately preceding offer; not blanket approval</t>
  </si>
  <si>
    <t>P2-025</t>
  </si>
  <si>
    <t>promise replace with: have the potential , or similar tone</t>
  </si>
  <si>
    <t>Replaces promise with have the potential, reducing unwarranted certainty.</t>
  </si>
  <si>
    <t>AI revises the abstract with the more cautious wording.</t>
  </si>
  <si>
    <t>p14 L24-p14 L25</t>
  </si>
  <si>
    <t>p14 L26-p14 L36</t>
  </si>
  <si>
    <t>P2-026</t>
  </si>
  <si>
    <t>note that I plan to write later a follow-up paper on when and how to use GenAI effectively in SE. DEcrease the focus on it, to a minimum: to make this paper focus clear (Hidden Cost of GenAI in Software Engineering: Efficiency or Burden ) and also to leave stuff for the next p...</t>
  </si>
  <si>
    <t>argumentative judgment; genre/writing expertise</t>
  </si>
  <si>
    <t>Reserves effective-use guidance for a planned follow-up paper and narrows the current scope to hidden costs.</t>
  </si>
  <si>
    <t>AI reduces that discussion but adds an explicit future-scope sentence.</t>
  </si>
  <si>
    <t>p14 L37-p14 L38</t>
  </si>
  <si>
    <t>p14 L39-p15 L6</t>
  </si>
  <si>
    <t>P2-027</t>
  </si>
  <si>
    <t>Broader questions of when and how to use GenAI effectively are important but remain outside the scope of this work and are left for future discussion. not a good wording for abstract</t>
  </si>
  <si>
    <t>Rejects the explicit future-scope wording as unsuitable for an abstract.</t>
  </si>
  <si>
    <t>AI revises the wording while retaining the limited focus.</t>
  </si>
  <si>
    <t>p15 L7-p15 L9</t>
  </si>
  <si>
    <t>p15 L10-p15 L20</t>
  </si>
  <si>
    <t>P2-028</t>
  </si>
  <si>
    <t>how human oversight, error correction, and information overload challenge the presumed benefits of AI-assisted SE. reaplce wtih: efforts spent by human for oversight, correction of errors made by AI , and information overload can challenge the presumed benefits of AI-assisted SE.</t>
  </si>
  <si>
    <t>Knowledge injection; Selection/Rejection</t>
  </si>
  <si>
    <t>Provides replacement wording emphasizing human effort and errors made by AI.</t>
  </si>
  <si>
    <t>AI integrates the requested phrasing into the abstract.</t>
  </si>
  <si>
    <t>p15 L21-p15 L23</t>
  </si>
  <si>
    <t>p15 L24-p15 L33</t>
  </si>
  <si>
    <t>P2-029</t>
  </si>
  <si>
    <t>for title, how about; AI in Software Engineering: Efficiency, Hidden Cost or Burden?</t>
  </si>
  <si>
    <t>Proposes another title for assessment.</t>
  </si>
  <si>
    <t>AI offers variants and recommends a lightly edited version.</t>
  </si>
  <si>
    <t>p15 L34-p15 L35</t>
  </si>
  <si>
    <t>p15 L36-p16 L8</t>
  </si>
  <si>
    <t>P2-030</t>
  </si>
  <si>
    <t>here are my final decsision: AI in Software Engineering: Efficiency, Hidden Cost, or Burden? ... update section 1 text, and use all 8 references</t>
  </si>
  <si>
    <t>Explicitly finalizes title and abstract and requests an aligned introduction citing eight sources.</t>
  </si>
  <si>
    <t>AI supplies a new introduction aligned to the stated decisions; later changes mean this is a local finalization.</t>
  </si>
  <si>
    <t>p16 L9-p16 L21</t>
  </si>
  <si>
    <t>p16 L23-p17 L2</t>
  </si>
  <si>
    <t>P2-031</t>
  </si>
  <si>
    <t>remove "opinion" paper phrase from the paper</t>
  </si>
  <si>
    <t>Removes the opinion paper label from manuscript wording.</t>
  </si>
  <si>
    <t>AI revises Section 1 and agrees to avoid the phrase. This does not itself change the underlying study design.</t>
  </si>
  <si>
    <t>p17 L3-p17 L3</t>
  </si>
  <si>
    <t>p17 L4-p17 L35</t>
  </si>
  <si>
    <t>P2-032</t>
  </si>
  <si>
    <t>so I have written and submitted this other work. review it. Then I have the current paper in progress (The Hidden Cost of AI-Assisted SE). As a next paper, I will focus on: When and how to use GenAI in SE effectively. position these papers properly w.r.t each other and suggest...</t>
  </si>
  <si>
    <t>Evaluation; Directed delegation; Knowledge injection</t>
  </si>
  <si>
    <t>argumentative judgment; conceptual discrimination; genre/writing expertise</t>
  </si>
  <si>
    <t>Asks to position submitted, current and planned papers relative to one another and limit overlap.</t>
  </si>
  <si>
    <t>No substantive assistant response is visible before the next human turn.</t>
  </si>
  <si>
    <t>p17 L38-p17 L41</t>
  </si>
  <si>
    <t>AI-assisted SE process-IEEE Software.docx</t>
  </si>
  <si>
    <t>No substantive response visible</t>
  </si>
  <si>
    <t>Export gap: no assistant outcome can be inferred</t>
  </si>
  <si>
    <t>P2-033</t>
  </si>
  <si>
    <t>read that paper again, and tell me in quotes where exactly it is related to my work</t>
  </si>
  <si>
    <t>Requests exact quotes showing relevance of that paper, rather than accepting a general relevance claim.</t>
  </si>
  <si>
    <t>AI responds about SWE-Bench+; the immediately preceding attachment is a different submitted paper. Referent and response alignment are uncertain.</t>
  </si>
  <si>
    <t>p17 L43-p17 L43</t>
  </si>
  <si>
    <t>p18 L1-p18 L25</t>
  </si>
  <si>
    <t>Ambiguous paper referent / apparent response mismatch</t>
  </si>
  <si>
    <t>P2-034</t>
  </si>
  <si>
    <t>I want to add this last phrase to my title: Hidden Cost of AI in Software Engineering: Efficiency or Burden? And how to find the right balance? --- is thart a good idea?</t>
  </si>
  <si>
    <t>Evaluation; Knowledge injection</t>
  </si>
  <si>
    <t>Tests whether adding a balance question improves the title despite the current paper's narrower purpose.</t>
  </si>
  <si>
    <t>AI recommends keeping balance strategies for the planned follow-up and retaining the narrower title.</t>
  </si>
  <si>
    <t>p18 L26-p18 L27</t>
  </si>
  <si>
    <t>p18 L28-p18 L35</t>
  </si>
  <si>
    <t>P2-035</t>
  </si>
  <si>
    <t>was this reallty mentioned in that source: As discussed in SecureFlag’s analysis, this overproduction may reduce clarity and introduce decision fatigue, especially for complex or high-stakes SE tasks ??</t>
  </si>
  <si>
    <t>Questions whether a particular claim really appears in SecureFlag. A verification request is coded Evaluation unless an error is explicitly diagnosed.</t>
  </si>
  <si>
    <t>AI says the exact wording is absent and attributes overproduction and decision fatigue to synthesis rather than a verbatim source claim.</t>
  </si>
  <si>
    <t>p18 L36-p18 L37</t>
  </si>
  <si>
    <t>p19 L1-p19 L25</t>
  </si>
  <si>
    <t>P2-036</t>
  </si>
  <si>
    <t>does this blog post related to my work https://research.google/blog/ai-in-software-engineering-at-google-progress-and-the-path-ahead/?</t>
  </si>
  <si>
    <t>Supplies a Google Research link and asks about its relevance.</t>
  </si>
  <si>
    <t>AI assesses it as a contrasting account of benefits and human involvement. The source is not independently checked here.</t>
  </si>
  <si>
    <t>p19 L26-p19 L26</t>
  </si>
  <si>
    <t>p19 L27-p20 L6</t>
  </si>
  <si>
    <t>P2-037</t>
  </si>
  <si>
    <t>never mind this. back to our paper: I think in our paper, we need to differentiative for AI support in IDE, like code completion as one writes code, vs chat-based AI tools, like GPT.</t>
  </si>
  <si>
    <t>Redirection; Directed delegation</t>
  </si>
  <si>
    <t>conceptual discrimination; argumentative judgment</t>
  </si>
  <si>
    <t>Introduces a distinction between IDE completion and chat-based tools and returns the discussion to the current paper.</t>
  </si>
  <si>
    <t>AI agrees to distinguish the tool classes and describes implications for oversight.</t>
  </si>
  <si>
    <t>p20 L7-p20 L8</t>
  </si>
  <si>
    <t>p20 L9-p20 L11</t>
  </si>
  <si>
    <t>P2-038</t>
  </si>
  <si>
    <t>elabroate why this differentiation is important</t>
  </si>
  <si>
    <t>Requests reasoned explanation of why the two tool classes need distinguishing, developing a comparative conceptual argument.</t>
  </si>
  <si>
    <t>AI elaborates differences in interaction, context and cognitive burden.</t>
  </si>
  <si>
    <t>p20 L12-p20 L12</t>
  </si>
  <si>
    <t>p20 L13-p21 L3</t>
  </si>
  <si>
    <t>Comparative elaboration coded Deliberation; borderline with Directed delegation</t>
  </si>
  <si>
    <t>P2-039</t>
  </si>
  <si>
    <t>sure, generate sec 2</t>
  </si>
  <si>
    <t>Approves drafting the previously discussed Section 2, inheriting that contextual scope.</t>
  </si>
  <si>
    <t>AI drafts a section comparing inline and chat-based assistance.</t>
  </si>
  <si>
    <t>p21 L4-p21 L4</t>
  </si>
  <si>
    <t>p21 L5-p21 L40</t>
  </si>
  <si>
    <t>P2-040</t>
  </si>
  <si>
    <t>I found a 9th good resource: https://www.linkedin.com/pulse/reality-ai-assisted-coding-why-vibe-more-challenging-than-frank-wang-qszkc/ - review and use it for our paper. among other interesting issues, it discusses information (cognitive) overload</t>
  </si>
  <si>
    <t>Adds a ninth source and identifies cognitive overload as its intended evidential contribution.</t>
  </si>
  <si>
    <t>AI acknowledges the selected source and intended integration.</t>
  </si>
  <si>
    <t>p21 L41-p22 L1</t>
  </si>
  <si>
    <t>p22 L2-p22 L4</t>
  </si>
  <si>
    <t>P2-041</t>
  </si>
  <si>
    <t>and I found the 10th good resource: https://pmc.ncbi.nlm.nih.gov/articles/PMC12191316/ - review and use it for our paper. among other interesting issues, it discusses information (cognitive) overload</t>
  </si>
  <si>
    <t>Adds a tenth source and identifies its relevance to cognitive overload.</t>
  </si>
  <si>
    <t>AI acknowledges the new source and intended integration.</t>
  </si>
  <si>
    <t>p22 L5-p22 L6</t>
  </si>
  <si>
    <t>p22 L7-p22 L8</t>
  </si>
  <si>
    <t>P2-042</t>
  </si>
  <si>
    <t>I merged them into two ... human oversight effort ... detecting and fixing defects ... information and cognitive overload ... is that a good idea?</t>
  </si>
  <si>
    <t>conceptual discrimination; methodological judgment; argumentative judgment</t>
  </si>
  <si>
    <t>Proposes merging error correction into oversight, comparing a three-category and two-category structure to avoid overlap.</t>
  </si>
  <si>
    <t>AI endorses the merge and reformulates two cost categories.</t>
  </si>
  <si>
    <t>p22 L9-p22 L15</t>
  </si>
  <si>
    <t>p22 L17-p22 L24</t>
  </si>
  <si>
    <t>P2-043</t>
  </si>
  <si>
    <t>generate a short para about that differentiation for end of sec 1</t>
  </si>
  <si>
    <t>Specifies a short bridging paragraph about the tool distinction at the end of Section 1.</t>
  </si>
  <si>
    <t>AI drafts the bridge and points ahead to Section 2.</t>
  </si>
  <si>
    <t>p22 L25-p22 L25</t>
  </si>
  <si>
    <t>p22 L26-p22 L30</t>
  </si>
  <si>
    <t>P2-044</t>
  </si>
  <si>
    <t>I changed it to "..,, This distinction is discussed further in the following sections to clarify how each tool class contributes differently to human oversight burden and cognitive overload." ,, also, I wanrt to use this structure. geneerate sec 2 text</t>
  </si>
  <si>
    <t>Selection/Rejection; Knowledge injection</t>
  </si>
  <si>
    <t>Reports a revised bridge, selects a structure and delegates Section 2 drafting within it.</t>
  </si>
  <si>
    <t>AI drafts The Oversight Burden, reflecting a changed Section 2 role.</t>
  </si>
  <si>
    <t>p22 L31-p22 L32</t>
  </si>
  <si>
    <t>p22 L33-p23 L26</t>
  </si>
  <si>
    <t>P2-045</t>
  </si>
  <si>
    <t>let's resume work on this paper. latest draft is attached. first space constraints: Length: each figure = 250 words max 2500 words (including figures) We have two figures, thus 500 words --&gt; Max text Length = 2000 words -------------- we will have a Supplementary material (doc...</t>
  </si>
  <si>
    <t>Updates the length limit to 2500 words including figures, leaving 2000 text words, and allocates extra material to a supplement.</t>
  </si>
  <si>
    <t>p23 L29-p23 L34</t>
  </si>
  <si>
    <t>Hidden Cost of AI-assisted SE-IEEE SW.docx</t>
  </si>
  <si>
    <t>P2-046</t>
  </si>
  <si>
    <t>We will have two parts ... Rapid Review ... Field Observations ... Türkiye (5 engineers) ... Azerbaijan (2 engineers) ... gather some metrics ... prepare the Supplementary material doc first</t>
  </si>
  <si>
    <t>methodological judgment; evidence judgment</t>
  </si>
  <si>
    <t>Defines supplementary sections, fixes a ten-source pool and proposes quantitative field observations involving five and two engineers in two companies.</t>
  </si>
  <si>
    <t>No substantive assistant response is visible. This is a proposed observation plan, not evidence that observations were conducted.</t>
  </si>
  <si>
    <t>p23 L38-p24 L4</t>
  </si>
  <si>
    <t>Supplementary material (document).docx</t>
  </si>
  <si>
    <t>Export gap: no assistant outcome can be inferred; Planned observations; no completed data collection inferred</t>
  </si>
  <si>
    <t>P2-047</t>
  </si>
  <si>
    <t>latest draft of the Supplementary material (document) is attached. review sec 1-A Review of the Relevant Grey Literature</t>
  </si>
  <si>
    <t>Provides a supplementary draft for review of its literature-review section; attachment provision alone does not prove expertise.</t>
  </si>
  <si>
    <t>p24 L8-p24 L8</t>
  </si>
  <si>
    <t>P2-048</t>
  </si>
  <si>
    <t>redo the Rapid Review synthesis . I have attached all the 10 sources for you, so you can carefully review and synthesize them. important: only synthesize these points, since only they are our focus in this work: Need for and cost of human oversight, Cognitive overload of AI, a...</t>
  </si>
  <si>
    <t>Knowledge injection; Redirection</t>
  </si>
  <si>
    <t>Supplies ten PDFs and confines synthesis to specified burden categories, conditional on actual source coverage.</t>
  </si>
  <si>
    <t>No substantive assistant response is visible. The instruction is not proof that a source-grounded synthesis was completed.</t>
  </si>
  <si>
    <t>p24 L27-p24 L29</t>
  </si>
  <si>
    <t>p24 L31-p24 L31</t>
  </si>
  <si>
    <t>10-The neurophysiological paradox of AI-induced frustration.pdf
1-AI in software development-Productivity gains, but at what cost.pdf
2-AI is shifting engineering burden and bottlenecks from code authors to code reviewers.pdf
3-The risks of generative AI coding in software development.pdf
4-SWE-Bench+ Enhanced coding benchmark for LLMs.pdf
5-The Hidden Cost of AI Software Engineers-Why LLMs Are a Financial Black Hole.pdf
6-The Hidden Cost of AI Code Assistants.pdf 7-The Hidden Cost Of Code And Generative AI.pdf
8-Generative AI is not going to build your engineering team for you.pdf
9-The Reality of AI-Assisted Coding Why Vibe Coding Is More Challenging Than It.pdf</t>
  </si>
  <si>
    <t>P2-049</t>
  </si>
  <si>
    <t>I consider Supplementary Material (Document) done, see attached. it is short to the point. no need to put the synthesis in it, as we will discuss in the paper itself</t>
  </si>
  <si>
    <t>Declares the supplement sufficient and excludes synthesis from it because synthesis belongs in the main paper.</t>
  </si>
  <si>
    <t>No substantive assistant response is visible; completion is explicitly the human's local decision.</t>
  </si>
  <si>
    <t>p24 L34-p24 L35</t>
  </si>
  <si>
    <t>P2-050</t>
  </si>
  <si>
    <t>low-quality output findings i removed this from Table 1 in Supplementary Material (Document), as it would confuse the reader. low-quality output findings of AI is related to "Need for and cost of human oversight" already</t>
  </si>
  <si>
    <t>Correction/Challenge; Knowledge injection</t>
  </si>
  <si>
    <t>conceptual discrimination; methodological judgment</t>
  </si>
  <si>
    <t>Reports deleting a redundant low-quality-output category because it overlaps with oversight and could confuse readers.</t>
  </si>
  <si>
    <t>No substantive assistant response is visible. The deletion and rationale are explicit human actions.</t>
  </si>
  <si>
    <t>p24 L36-p24 L40</t>
  </si>
  <si>
    <t>P2-051</t>
  </si>
  <si>
    <t>latest paper draft is attached. let's write it from sec 1 in shortest form, and highest quailty. use the 10 sources that we found and listed in Supplementary material (document). I also gave you their PDFs, right?</t>
  </si>
  <si>
    <t>genre/writing expertise; evidence judgment</t>
  </si>
  <si>
    <t>Requests the shortest high-quality introduction using the ten selected sources and existing draft.</t>
  </si>
  <si>
    <t>p25 L3-p25 L4</t>
  </si>
  <si>
    <t>P2-052</t>
  </si>
  <si>
    <t>While AI in SE is often treated as a single category, we differentiate between **inline AI assistants** (e.g., IDE completions) and **chat-based AI tools** (e.g., ChatGPT). Each class differs in interaction style, output scale, and the types of hidden costs it generates, a dis...</t>
  </si>
  <si>
    <t>Correction/Challenge; Selection/Rejection; Directed delegation</t>
  </si>
  <si>
    <t>Moves the tool-class distinction out of the introduction to prevent scattered framing and requests a transition to the next section.</t>
  </si>
  <si>
    <t>No substantive assistant response is visible. The referenced image is identified as an attachment, not transcribed as prose.</t>
  </si>
  <si>
    <t>p25 L5-p25 L10</t>
  </si>
  <si>
    <t>f661f767-4928-45d2-ac72-b2e18d8fa503.png</t>
  </si>
  <si>
    <t>P2-053</t>
  </si>
  <si>
    <t>latest paper draft is attached. write sec 2 in shortest form, and highest quality. use my existing text there. at the end of sec 2, discuss Fig 1.</t>
  </si>
  <si>
    <t>Constrains Section 2 drafting to existing text, brevity and a figure discussion.</t>
  </si>
  <si>
    <t>AI drafts an evidence-base section and a Table 1 discussion. The request names Fig 1; exact compliance is not established.</t>
  </si>
  <si>
    <t>p25 L13-p25 L15</t>
  </si>
  <si>
    <t>p25 L16-p25 L30</t>
  </si>
  <si>
    <t>P2-054</t>
  </si>
  <si>
    <t>Accepts the prior offer to polish the Table 1 caption.</t>
  </si>
  <si>
    <t>AI supplies the caption; acceptance of all preceding section content is not inferred.</t>
  </si>
  <si>
    <t>p25 L31-p25 L31</t>
  </si>
  <si>
    <t>p25 L32-p25 L35</t>
  </si>
  <si>
    <t>P2-055</t>
  </si>
  <si>
    <t>latest paper draft is attached. since we have a new sec 2, give the updated sec 1</t>
  </si>
  <si>
    <t>Requires the introduction to be updated to fit the newly drafted Section 2.</t>
  </si>
  <si>
    <t>AI drafts a revised introduction and links it to the evidence-base section.</t>
  </si>
  <si>
    <t>p25 L38-p25 L38</t>
  </si>
  <si>
    <t>p26 L1-p26 L17</t>
  </si>
  <si>
    <t>P2-056</t>
  </si>
  <si>
    <t>write sec 3 in shortest form, and highest quality. use my existing text there. as per our table 1, pool papers [1-9[ discuss Oversight Burden. ensuring citing and discussing them all in sec 3, but very short. at the end of sec 3, discuss Fig 1.</t>
  </si>
  <si>
    <t>evidence judgment; genre/writing expertise; argumentative judgment</t>
  </si>
  <si>
    <t>Directs a brief Section 3 using existing text, all nine oversight sources and Figure 1.</t>
  </si>
  <si>
    <t>AI drafts Section 3 with source claims and a figure discussion. Quotations and interpretations are not independently checked here.</t>
  </si>
  <si>
    <t>p26 L20-p26 L22</t>
  </si>
  <si>
    <t>p26 L23-p26 L40</t>
  </si>
  <si>
    <t>P2-057</t>
  </si>
  <si>
    <t>erode I do not like the word "erode ", replace it</t>
  </si>
  <si>
    <t>Rejects erode and requests a replacement.</t>
  </si>
  <si>
    <t>AI suggests alternatives and demonstrates offset; no global manuscript replacement is confirmed.</t>
  </si>
  <si>
    <t>p26 L41-p26 L42</t>
  </si>
  <si>
    <t>p26 L43-p27 L3</t>
  </si>
  <si>
    <t>P2-058</t>
  </si>
  <si>
    <t>I do not like the phrase "Industry accounts ", replace it</t>
  </si>
  <si>
    <t>Rejects Industry accounts as wording.</t>
  </si>
  <si>
    <t>AI substitutes Practitioner reports and offers a wider consistency edit.</t>
  </si>
  <si>
    <t>p27 L4-p27 L4</t>
  </si>
  <si>
    <t>p27 L5-p27 L10</t>
  </si>
  <si>
    <t>P2-059</t>
  </si>
  <si>
    <t>give the minimum sec 4. as I have in the draft, ensure citing and discussing my pre-print: "As observed in recent field studies [x], engineers often receive overly general or inconsistent outputs when prompting AI for complex artifacts. In many cases, they must deconstruct the...</t>
  </si>
  <si>
    <t>Supplies a preprint passage and citation, and specifies the two cognitive-overload sources for a minimal Section 4.</t>
  </si>
  <si>
    <t>AI drafts Section 4 using the specified material; the preprint metadata and claims are not independently verified.</t>
  </si>
  <si>
    <t>p27 L11-p27 L19</t>
  </si>
  <si>
    <t>p27 L21-p27 L32</t>
  </si>
  <si>
    <t>P2-060</t>
  </si>
  <si>
    <t>you have the 10 sources PDF. in [4]: 4-SWE-Bench+ Enhanced coding benchmark for LLMs, tell me which parts of it discuss either of the costs: Need for and cost of human oversight , Cognitive overload of AI</t>
  </si>
  <si>
    <t>Audits SWE-Bench+ against the two burden categories by requesting relevant parts.</t>
  </si>
  <si>
    <t>AI provides apparent quote examples and says there is no direct cognitive-overload discussion, then offers exact extraction.</t>
  </si>
  <si>
    <t>p27 L33-p27 L34</t>
  </si>
  <si>
    <t>p27 L35-p28 L4</t>
  </si>
  <si>
    <t>P2-061</t>
  </si>
  <si>
    <t>, tell me which parts of source [7] discusses either of the costs: Need for and cost of human oversight , Cognitive overload of AI</t>
  </si>
  <si>
    <t>Supplies the Forbes PDF and asks which parts support either burden.</t>
  </si>
  <si>
    <t>AI says oversight relevance is indirect through maintenance and that cognitive overload is not directly discussed.</t>
  </si>
  <si>
    <t>p28 L7-p28 L7</t>
  </si>
  <si>
    <t>p28 L8-p28 L19</t>
  </si>
  <si>
    <t>7-The Hidden Cost Of Code And Generative AI.pdf</t>
  </si>
  <si>
    <t>P2-062</t>
  </si>
  <si>
    <t>, tell me which parts of this source discusses either of the costs: Need for and cost of human oversight , Cognitive overload of AI</t>
  </si>
  <si>
    <t>Supplies the Stack Overflow PDF and requests support for the two categories.</t>
  </si>
  <si>
    <t>AI claims oversight support and supplies a supposed quotation, offering exact extraction next.</t>
  </si>
  <si>
    <t>p28 L22-p28 L22</t>
  </si>
  <si>
    <t>p28 L23-p28 L32</t>
  </si>
  <si>
    <t>8-Generative AI is not going to build your engineering team for you.pdf</t>
  </si>
  <si>
    <t>P2-063</t>
  </si>
  <si>
    <t>Accepts the immediately preceding offer of exact quotations. A brief assent does not demonstrate source validation.</t>
  </si>
  <si>
    <t>AI presents sentences as verbatim; the next human challenge leads it to admit they are not verbatim.</t>
  </si>
  <si>
    <t>p28 L33-p28 L33</t>
  </si>
  <si>
    <t>p28 L34-p29 L1</t>
  </si>
  <si>
    <t>P2-064</t>
  </si>
  <si>
    <t>you fabricated these????</t>
  </si>
  <si>
    <t>Directly challenges fabrication of the supposed verbatim quotations.</t>
  </si>
  <si>
    <t>AI admits those exact sentences do not appear and says it had presented summaries as quotations.</t>
  </si>
  <si>
    <t>p29 L2-p29 L2</t>
  </si>
  <si>
    <t>p29 L3-p29 L10</t>
  </si>
  <si>
    <t>P2-065</t>
  </si>
  <si>
    <t>Accepts the offer to redo the source using direct quotes.</t>
  </si>
  <si>
    <t>AI supplies replacement excerpts and distinguishes direct oversight support from lack of direct cognitive-overload coverage; replacements are not independently verified here.</t>
  </si>
  <si>
    <t>p29 L11-p29 L11</t>
  </si>
  <si>
    <t>p29 L12-p29 L20</t>
  </si>
  <si>
    <t>P2-066</t>
  </si>
  <si>
    <t>I removed two of the sources, due to above. the final pool have 8 papers: [eight source titles]</t>
  </si>
  <si>
    <t>Explicitly removes two sources after the preceding audit and specifies a final eight-source pool.</t>
  </si>
  <si>
    <t>AI acknowledges the eight-source pool. Comparing lists identifies SWE-Bench+ and Forbes as removed; the prompt does not name them separately.</t>
  </si>
  <si>
    <t>p29 L21-p29 L36</t>
  </si>
  <si>
    <t>p29 L38-p30 L5</t>
  </si>
  <si>
    <t>P2-067</t>
  </si>
  <si>
    <t>I have taken the quotes from each of the 8 sources, related to the two cost issues and have put them as comments on the cells of the Table 1 attached, can you see them?</t>
  </si>
  <si>
    <t>Reports personally extracting quotes and organizing them in table comments, then checks whether AI can access them.</t>
  </si>
  <si>
    <t>AI claims it can see the comments. The attachment comments are not reproduced in this export, so access cannot be confirmed from the log.</t>
  </si>
  <si>
    <t>p30 L8-p30 L9</t>
  </si>
  <si>
    <t>p30 L10-p30 L16</t>
  </si>
  <si>
    <t>Document comments unavailable for independent access check</t>
  </si>
  <si>
    <t>P2-068</t>
  </si>
  <si>
    <t>give the sec 3 again, with a few quotes</t>
  </si>
  <si>
    <t>Requests a revised Section 3 containing a few quotations from the revised evidence base.</t>
  </si>
  <si>
    <t>AI drafts Section 3 and attributes quotations to the table comments; quotation accuracy is not independently established.</t>
  </si>
  <si>
    <t>p30 L17-p30 L17</t>
  </si>
  <si>
    <t>p30 L18-p30 L31</t>
  </si>
  <si>
    <t>P2-069</t>
  </si>
  <si>
    <t>Practitioner evidence \[9\] but we now have 8 sources in the pool??</t>
  </si>
  <si>
    <t>Detects an apparent reference [9] inconsistency after reducing the pool to eight.</t>
  </si>
  <si>
    <t>AI interprets this as incomplete pool coverage and rewrites across all eight sources rather than explicitly explaining the stray reference.</t>
  </si>
  <si>
    <t>p30 L32-p30 L33</t>
  </si>
  <si>
    <t>p30 L34-p31 L11</t>
  </si>
  <si>
    <t>P2-070</t>
  </si>
  <si>
    <t>give me sec 4</t>
  </si>
  <si>
    <t>Requests Section 4 with no new substantive constraints; prior evidence context remains relevant.</t>
  </si>
  <si>
    <t>AI drafts cognitive-overload text using the eight-source pool and claimed table-comment quotations.</t>
  </si>
  <si>
    <t>p31 L12-p31 L12</t>
  </si>
  <si>
    <t>p31 L13-p31 L29</t>
  </si>
  <si>
    <t>P2-071</t>
  </si>
  <si>
    <t>we have 1669 words, and max is 2000. we shall have have two more sections. give me their titles</t>
  </si>
  <si>
    <t>Reports 1669 words used out of 2000 and plans two remaining sections, requesting their titles.</t>
  </si>
  <si>
    <t>AI proposes balance and conclusion sections and offers to draft Section 5.</t>
  </si>
  <si>
    <t>p31 L30-p31 L30</t>
  </si>
  <si>
    <t>p31 L31-p31 L38</t>
  </si>
  <si>
    <t>P2-072</t>
  </si>
  <si>
    <t>in sec 5, you should also discuss my Figure 2- Efficiency vs. hidden cost (burden) of using AI in SE</t>
  </si>
  <si>
    <t>Requires Section 5 to discuss the human's Figure 2 and its efficiency-burden relation.</t>
  </si>
  <si>
    <t>AI drafts Section 5 and describes trade-off curves; the actual figure is not independently reconstructed from the log.</t>
  </si>
  <si>
    <t>p31 L39-p31 L39</t>
  </si>
  <si>
    <t>p31 L40-p32 L13</t>
  </si>
  <si>
    <t>P2-073</t>
  </si>
  <si>
    <t>I changed Figure 2 caption to Efficiency vs. hidden cost (burden) of using AI in SE (two hypothetical scenarios)</t>
  </si>
  <si>
    <t>conceptual discrimination; evidence judgment</t>
  </si>
  <si>
    <t>Explicitly labels the figure scenarios hypothetical, clarifying their evidential status.</t>
  </si>
  <si>
    <t>AI revises the discussion to align with the caption; this does not establish that every surrounding empirical-sounding claim was qualified.</t>
  </si>
  <si>
    <t>p32 L14-p32 L14</t>
  </si>
  <si>
    <t>p32 L15-p32 L28</t>
  </si>
  <si>
    <t>P2-074</t>
  </si>
  <si>
    <t>Accepts the immediately preceding offer to draft Section 6 within the word limit.</t>
  </si>
  <si>
    <t>AI drafts a conclusion and call for action; total length is claimed, not independently demonstrated in the log.</t>
  </si>
  <si>
    <t>p32 L29-p32 L29</t>
  </si>
  <si>
    <t>p32 L30-p33 L3</t>
  </si>
  <si>
    <t>P2-075</t>
  </si>
  <si>
    <t>the call to action is clear: tone it down</t>
  </si>
  <si>
    <t>Requests a less forceful call to action, exercising control over claim tone and recommendations.</t>
  </si>
  <si>
    <t>AI supplies a more neutral conclusion.</t>
  </si>
  <si>
    <t>p33 L4-p33 L5</t>
  </si>
  <si>
    <t>p33 L6-p33 L17</t>
  </si>
  <si>
    <t>P2-076</t>
  </si>
  <si>
    <t>latest paper draft is attached. do a critical review</t>
  </si>
  <si>
    <t>Requests a critical review of the supplied draft, without specifying substantive evaluation criteria.</t>
  </si>
  <si>
    <t>p33 L20-p33 L20</t>
  </si>
  <si>
    <t>Export gap: no assistant outcome can be inferred; Repeated request retained as a separate turn</t>
  </si>
  <si>
    <t>P2-077</t>
  </si>
  <si>
    <t>Repeats the same critical-review request as a distinct visible message.</t>
  </si>
  <si>
    <t>No substantive assistant response is visible. The repetition is retained, not deduplicated.</t>
  </si>
  <si>
    <t>p33 L23-p33 L23</t>
  </si>
  <si>
    <t>P2-078</t>
  </si>
  <si>
    <t>Terse assent with no preceding offer visible; its intended target cannot be established.</t>
  </si>
  <si>
    <t>AI offers academically toned sentence alternatives. This response does not resolve what the assent originally accepted.</t>
  </si>
  <si>
    <t>p33 L24-p33 L24</t>
  </si>
  <si>
    <t>p33 L25-p33 L31</t>
  </si>
  <si>
    <t>Assent referent unavailable</t>
  </si>
  <si>
    <t>P2-079</t>
  </si>
  <si>
    <t>so I got this feedback ... not a department column opinion piece ... research not fully explored ... so many OTHER hidden costs ... suggest a title change</t>
  </si>
  <si>
    <t>Supplies extensive external feedback. The criticism is the reviewer's, not automatically evidence of the author's expertise; a request to consider it is implicit.</t>
  </si>
  <si>
    <t>AI analyzes genre, evidential framing, scope and revision strategy.</t>
  </si>
  <si>
    <t>p33 L32-p34 L26</t>
  </si>
  <si>
    <t>p34 L28-p35 L14</t>
  </si>
  <si>
    <t>External feedback distinguished from author judgment; implicit evaluation request</t>
  </si>
  <si>
    <t>P2-080</t>
  </si>
  <si>
    <t>BTW, she (the provider of the feedback is a good friend of mine, Sigrid Eldh). summarize her points for in bullets</t>
  </si>
  <si>
    <t>Identifies the feedback provider and requests a bullet summary.</t>
  </si>
  <si>
    <t>AI summarizes her concerns about genre, evidence, scope, human factors and audience.</t>
  </si>
  <si>
    <t>p35 L15-p35 L15</t>
  </si>
  <si>
    <t>p35 L16-p35 L30</t>
  </si>
  <si>
    <t>P2-081</t>
  </si>
  <si>
    <t>put the summarized points in a tone, which I could include in an email reply to her...like , instead of "She is interested in the human aspect (onboarding, learning, “right” use, efficiency in practice)." , say: "Covering also the human aspects (onboarding, learning, “right” u...</t>
  </si>
  <si>
    <t>Specifies reply-ready phrasing and provides a tonal example for summarizing feedback.</t>
  </si>
  <si>
    <t>AI drafts an email-style response. No sending action is recorded.</t>
  </si>
  <si>
    <t>p35 L31-p35 L33</t>
  </si>
  <si>
    <t>p35 L35-p36 L17</t>
  </si>
  <si>
    <t>P2-082</t>
  </si>
  <si>
    <t>Now for each of the comments for each of the points I'm going to tell you what my ideas are to address each of them okay so let's start from the first one which is the following.</t>
  </si>
  <si>
    <t>Sets a turn-taking plan in which the human will provide responses to each feedback point.</t>
  </si>
  <si>
    <t>p36 L18-p36 L19</t>
  </si>
  <si>
    <t>P2-083</t>
  </si>
  <si>
    <t>You don't have to provide any reply ... a paper sitting between an opinion and a full research paper is okay ... multivocal rapid review ... opinion of the community</t>
  </si>
  <si>
    <t>methodological judgment; argumentative judgment; genre/writing expertise</t>
  </si>
  <si>
    <t>Defends an evidence-backed column between anecdotal opinion and full research, supplying a methodological argument and asking AI to wait.</t>
  </si>
  <si>
    <t>AI summarizes and drafts a reply despite the explicit request not to reply yet.</t>
  </si>
  <si>
    <t>p36 L20-p36 L28</t>
  </si>
  <si>
    <t>p36 L30-p36 L44</t>
  </si>
  <si>
    <t>P2-084</t>
  </si>
  <si>
    <t>Do not provide a reply for all of them yourself ... MY idea ... not frame it as research ... structured synthesis of practitioner evidence and opinions ... extended version ... research paper</t>
  </si>
  <si>
    <t>Correction/Challenge; Knowledge injection; Selection/Rejection</t>
  </si>
  <si>
    <t>methodological judgment; evidence judgment; argumentative judgment; genre/writing expertise</t>
  </si>
  <si>
    <t>Reasserts control over reply generation, agrees to reframe evidence as synthesis rather than research, and reserves a fuller study for later.</t>
  </si>
  <si>
    <t>AI records the position and asks to move to the next point; the human remains the source of the substantive reply strategy.</t>
  </si>
  <si>
    <t>p36 L45-p37 L6</t>
  </si>
  <si>
    <t>p37 L8-p37 L15</t>
  </si>
  <si>
    <t>P2-085</t>
  </si>
  <si>
    <t>NEXT point: The current title “Hidden Costs of AI” feels too broad, since the paper only covers two key issues (oversight and cognitive overload), while practitioners might expect other costs to be included (energy consumption, onboarding, security, tool updating, etc.). MY id...</t>
  </si>
  <si>
    <t>Correction/Challenge; Selection/Rejection; Knowledge injection</t>
  </si>
  <si>
    <t>conceptual discrimination; argumentative judgment; genre/writing expertise</t>
  </si>
  <si>
    <t>Accepts the scope criticism, proposes human costs as a narrower framing and compares it with the reviewer's less precise alternative.</t>
  </si>
  <si>
    <t>AI acknowledges the revised framing and deferred other costs; no final title choice is logged here.</t>
  </si>
  <si>
    <t>p37 L16-p37 L21</t>
  </si>
  <si>
    <t>p37 L23-p37 L32</t>
  </si>
  <si>
    <t>P2-086</t>
  </si>
  <si>
    <t>NEXT point: Clarifying that the focus is specifically on two hidden costs, rather than all, would avoid misleading expectations. suggest a few title options including terms: oversight and cognitive overload</t>
  </si>
  <si>
    <t>Constrains title alternatives to explicitly naming oversight and cognitive overload.</t>
  </si>
  <si>
    <t>AI supplies five title options.</t>
  </si>
  <si>
    <t>p37 L33-p37 L34</t>
  </si>
  <si>
    <t>p37 L35-p37 L42</t>
  </si>
  <si>
    <t>P2-087</t>
  </si>
  <si>
    <t>Hidden Human Costs of other ways to saying this phrase? what about this style --&gt; Need for human Oversight and their Cognitive Overload by AI: Cost efficiency of using AI in Software Engineering</t>
  </si>
  <si>
    <t>Tests an alternative title style and requests paraphrases rather than committing to a final version.</t>
  </si>
  <si>
    <t>AI offers variants; this remains title evaluation, not a substantive deliberation over the cost model.</t>
  </si>
  <si>
    <t>p38 L1-p38 L3</t>
  </si>
  <si>
    <t>p38 L4-p38 L13</t>
  </si>
  <si>
    <t>P2-088</t>
  </si>
  <si>
    <t>So I'm attaching the last version of the paper and the improvement plans that I have in mind. So help me one by one, please go through the improvement ideas one by one, and we also discuss them, you have it in the chat about, and tell me, give me exact ideas, exact places to i...</t>
  </si>
  <si>
    <t>Supplies manuscript and improvement plans, requiring sequential discussion, exact locations and copy-ready revision text.</t>
  </si>
  <si>
    <t>AI starts with evidence-framing revisions and suggests locations and replacement text.</t>
  </si>
  <si>
    <t>p38 L16-p38 L18</t>
  </si>
  <si>
    <t>p38 L20-p39 L3</t>
  </si>
  <si>
    <t>improvement.docx Hidden Burdens of AI SE-IEEE SW-Sept 11.docx</t>
  </si>
  <si>
    <t>P2-089</t>
  </si>
  <si>
    <t>I want, in that item, we are saying that we don't want to call it research, but we want to call it synthesis of evidence and opinions. So let's remove the word research, but let's keep the rapid review. I want to keep the rapid review, and I think rapid review is a type of... ...</t>
  </si>
  <si>
    <t>Correction/Challenge; Selection/Rejection; Directed delegation; Knowledge injection</t>
  </si>
  <si>
    <t>methodological judgment; conceptual discrimination; genre/writing expertise</t>
  </si>
  <si>
    <t>Corrects the revision direction: preserve rapid review, remove research framing, and synchronize main and supplementary documents.</t>
  </si>
  <si>
    <t>AI supplies proposed replacement passages for both documents; it does not demonstrate edits to either file.</t>
  </si>
  <si>
    <t>p39 L6-p39 L9</t>
  </si>
  <si>
    <t>p39 L11-p39 L42</t>
  </si>
  <si>
    <t>P2-090</t>
  </si>
  <si>
    <t>Another very important point, this is going to be, let's say, slightly informal the so-called column paper, column, and opinion and evidence things, so use less formal language, you know, don't use terms such as "our findings", you know, make it slightly slightly informal.</t>
  </si>
  <si>
    <t>Correction/Challenge; Directed delegation</t>
  </si>
  <si>
    <t>Rejects formal findings-style language and specifies a more conversational column voice.</t>
  </si>
  <si>
    <t>AI offers less formal phrases and examples. The supplied later paper is contextual, not proof that these exact suggestions were adopted.</t>
  </si>
  <si>
    <t>p40 L1-p40 L2</t>
  </si>
  <si>
    <t>p40 L3-p40 L27</t>
  </si>
  <si>
    <t>Full human prompt</t>
  </si>
  <si>
    <t>I want to write a short "Opinion" paper for IEEE SW, The MAX is 2600 words. Note that this won't be a research paper and we cannot present
research findings (I do not have any anyways), but only an "Opinion" paper .
Scope: The Hidden Cost of AI-Assisted Software Engineering: Human Oversight, Information Overload, and the Erosion of Efficiency Gains
-----------------------------
Objectives
O1: Quantify the extent of human intervention required in AI-generated software artifacts.
O2: Evaluate whether AI tools truly increase developer/tester efficiency, or if oversight efforts offset the benefits.
O3: Identify common failure patterns in AI-assisted software engineering tools that lead to manual corrections.
O4: Investigate the impact of information overload on developers and testers when using AI-generated artifacts.
first, suggest a clear title.</t>
  </si>
  <si>
    <t>give a short Abstract:
and 5 Keywords</t>
  </si>
  <si>
    <t>how about this: AI tools promise increased efficiency in software engineering (SE), yet their use can potentially introduce hidden costs. Software
engineers must review, validate, and correct AI-generated SE artifacts—efforts that can potentially outweigh productivity gains. This opinion
paper explores how human oversight, error correction, and information overload can potentially challenge the presumed benefits of AI-assisted
SE, and calls for more awareness / discussion around the issue in the SE community. --- I have added "potentially " to make the points more
valid</t>
  </si>
  <si>
    <t>suggest the paper structure, recall: the MAX limit is 2600 words.
consider adding two figures, each worth 250 words, thus leaving only 2100 words for text.
suggest two figure topics.</t>
  </si>
  <si>
    <t>I found these: https://ttcglobal.com/what-we-think/blog/ai-in-software-development-productivity-gains-but-at-what-cost
https://www.linkedin.com/posts/amirhardon_ai-is-shifting-engineering-burden-and-bottlenecks-activity-7346439970775056384-ZdQl/
https://blog.secureflag.com/2024/10/16/the-risks-of-generative-ai-coding-in-software-development/
https://arxiv.org/html/2410.06992v1
https://www.linkedin.com/pulse/hidden-cost-ai-software-engineers-why-llms-financial-black-stroebel-mpdie/
https://levelup.gitconnected.com/the-hidden-cost-of-ai-code-assistants-5123886e38bd?sk=e9a887d274786257b11a070af8bb2cbb
https://www.forbes.com/councils/forbestechcouncil/2025/05/22/the-hidden-cost-of-code-and-generative-ai/ --- ensuring using ideas from them,
mixi with my ideas, and citer them throught my paper</t>
  </si>
  <si>
    <t>A. Siddiq, A. Agashe, Y. Zhou, et al., _Evaluating Large Language Models for Code Quality: An Empirical Study_, arXiv preprint arXiv:2410.06992v1,
2024. \[Online\]. Available: [https://arxiv.org/html/2410.06992v1](https://arxiv.org/html/2410.06992v1)
is still fake!!</t>
  </si>
  <si>
    <t>A. Siddiq, A. Agashe, Y. Zhou, et al., _Evaluating Large Language Models for Code Quality: An Empirical Study_
fix it. it is: SWE-Bench+: Enhanced Coding Benchmark for LLMs
Reem Aleithan, Haoran Xue, Mohammad Mahdi Mohajer, Elijah Nnorom, Gias Uddin, Song Wang</t>
  </si>
  <si>
    <t>workflows
I Do not like this term. do not use it in ANY of interactions with me. Insrtead, you can use: practices or processes</t>
  </si>
  <si>
    <t>how about this title? Be aware of the Hidden Cost of using GenAI in Software Engineering: Efficiency or Burden . it's a bit long, can it be
shortened?</t>
  </si>
  <si>
    <t>I slightly improved the abstract. proof read it:
AI tools promise increased efficiency in software engineering (SE), yet their use can introduce hidden costs. Software engineers often need to
review, validate, and correct AI-generated SE artifacts—efforts that may outweigh the anticipated productivity gains. By synthesizing the ongoing
discussions about the issue in the SE community and also using the author's experience in several industrial settings, this opinion paper explores
how human oversight, error correction, and information overload can challenge the presumed benefits of AI-assisted SE and calls for broader
awareness and discussion within the SE community.</t>
  </si>
  <si>
    <t>—guided by sound engineering practices, critical human judgment, and appropriate task selection
good, but it is hard to read, sepaarate that sentence. also further disucss " appropriate task selection". I also like you use "right" as the adjective
multiple time for those aspects</t>
  </si>
  <si>
    <t>promise
replace with: have the potential , or similar tone</t>
  </si>
  <si>
    <t>note that I plan to write later a follow-up paper on when and how to use GenAI effectively in SE. DEcrease the focus on it, to a minimum: to make
this paper focus clear (Hidden Cost of GenAI in Software Engineering: Efficiency or Burden ) and also to leave stuff for the next paper</t>
  </si>
  <si>
    <t>Broader questions of when and how to use GenAI effectively are important but remain outside the scope of this work and are left for future
discussion.
not a good wording for abstract</t>
  </si>
  <si>
    <t>how human oversight, error correction, and information overload challenge the presumed benefits of AI-assisted SE.
reaplce wtih: efforts spent by human for oversight, correction of errors made by AI , and information overload can challenge the presumed
benefits of AI-assisted SE.</t>
  </si>
  <si>
    <t>for title, how about; AI in Software Engineering:
Efficiency, Hidden Cost or Burden?</t>
  </si>
  <si>
    <t>here are my final decsision: AI in Software Engineering: Efficiency, Hidden Cost, or Burden?
Vahid Garousi
Queen’s University Belfast, UK
Azerbaijan Technical University, Azerbaijan
v.garousi@qub.ac.uk
Abstract:
AI tools have the potential to increase efficiency in software engineering (SE), yet their use can introduce hidden costs. Engineers often need to
review, validate, and correct AI-generated artifacts—efforts that may outweigh the anticipated productivity gains. Drawing on ongoing
discussions in the SE community and the author's industrial experience, this opinion paper explores how efforts spent by humans for oversight,
correction of errors made by AI, and information overload can challenge the presumed benefits of AI-assisted SE.
While unlocking GenAI’s full value depends on several factors—including how and where it is applied—this paper focuses specifically on the
often-overlooked burdens and hidden costs it introduces. By bringing attention to these issues, the goal is to inform a more realistic and critical
dialogue in the SE community. --- update section 1 text, and use all 8 references</t>
  </si>
  <si>
    <t>so I have written and submitted this other work. review it. Then I have the current paper in progress (The Hidden Cost of AI-Assisted SE). As a
next paper, I will focus on: When and how to use GenAI in SE effectively. position these papers properly w.r.t each other and suggest other
relevant paper ideas. Also, in my current paper in progress (The Hidden Cost of AI-Assisted SE), use some limited ideas from the attached
finished work</t>
  </si>
  <si>
    <t>I want to add this last phrase to my title: Hidden Cost of AI in Software Engineering: Efficiency or Burden? And how to find the right balance? --- is
thart a good idea?</t>
  </si>
  <si>
    <t>was this reallty mentioned in that source: As discussed in SecureFlag’s analysis, this overproduction may reduce clarity and introduce decision
fatigue, especially for complex or high-stakes SE tasks ??</t>
  </si>
  <si>
    <t>never mind this. back to our paper: I think in our paper, we need to differentiative for AI support in IDE, like code completion as one writes code,
vs chat-based AI tools, like GPT.</t>
  </si>
  <si>
    <t>I found a 9th good resource: https://www.linkedin.com/pulse/reality-ai-assisted-coding-why-vibe-more-challenging-than-frank-wang-qszkc/ -
review and use it for our paper. among other interesting issues, it discusses information (cognitive) overload</t>
  </si>
  <si>
    <t>and I found the 10th good resource: https://pmc.ncbi.nlm.nih.gov/articles/PMC12191316/ - review and use it for our paper. among other
interesting issues, it discusses information (cognitive) overload</t>
  </si>
  <si>
    <t>This paper focuses on three such hidden costs that are increasingly shaping GenAI adoption in SE: * The **human oversight** needed to ensure
correctness and quality * The **effort spent correcting AI-generated errors** * The **information overload** introduced by excessive or
inconsistent outputs
I merged them into two: This paper focuses on two such hidden costs that are increasingly shaping GenAI adoption in SE:
• The human oversight effort needed to ensure correctness and quality AI-generated artifacts such as code, i.e.,
• effort spent for detecting and fixing defects
• The information and cognitive overload introduced by excessive or inconsistent AI-generated outputs --- is that a good idea?</t>
  </si>
  <si>
    <t>I changed it to "..,, This distinction is discussed further in the following sections to clarify how each tool class contributes differently to human
oversight burden and cognitive overload." ,, also, I wanrt to use this structure. geneerate sec 2 text</t>
  </si>
  <si>
    <t>let's resume work on this paper. latest draft is attached. first space constraints: Length:
each figure = 250 words
max 2500 words (including figures)
We have two figures, thus 500 words
--&gt; Max text Length = 2000 words -------------- we will have a Supplementary material (document), limit-free, thus you / we can put as much
stuff in it as we want</t>
  </si>
  <si>
    <t>RE: Supplementary material (document)
I attach the doc from another paper. We will have two parts in it:
1-Rapid Review of the relevant Grey Literature
2-Planning and Execution of Field Observations, to gather insights about Hidden Costs of using AI in SE
Rapid Review of the relevant Grey Literature, I have already found the sources (they are 10):
TTC- AI in Software Development: Productivity Gains, But at What Cost?
AI is shifting engineering burden and bottlenecks from code authors to code reviewers
The risks of generative AI coding in software development
SWE-Bench+: Enhanced Coding Benchmark for LLMs
The Hidden Cost of AI Software Engineers: Why LLMs Are a Financial Black Hole
The Hidden Cost of AI Code Assistants
"The Hidden Cost Of Code And Generative AI
Generative AI is not going to build your engineering team for you
The Reality of AI-Assisted Coding: Why "Vibe Coding" Is More Challenging Than It Appears
The Neurophysiological Paradox of AI-Induced Frustration: A Multimodal Study of Heart Rate Variability, Affective Responses, and Creative
Output,
for the Field Observations, shape it as you wish. We have two companies, one in Türkiye (5 engineers using AI) and one in Azerbaijan (2
engineers using AI). plan to gather some metrics (quantitatvie as much as possible) related to THE OVERSIGHT / inspection BURDEN (cost ), and
INFORMATION / COGNITIVE OVERLOAD
let's prepare the Supplementary material doc first</t>
  </si>
  <si>
    <t>redo the Rapid Review synthesis . I have attached all the 10 sources for you, so you can carefully review and synthesize them. important: only
synthesize these points, since only they are our focus in this work: Need for and cost of human oversight, Cognitive overload of AI, and Risk of
AI-outputs being lower quality - if any sources talks about them</t>
  </si>
  <si>
    <t>I consider Supplementary Material (Document) done, see attached. it is short to the point. no need to put the synthesis in it, as we will discuss in
the paper itself</t>
  </si>
  <si>
    <t>low-quality output findings
i removed this from Table 1 in Supplementary Material (Document), as it would confuse the reader. low-quality output findings of AI is related to
"Need for and cost of human oversight" already</t>
  </si>
  <si>
    <t>latest paper draft is attached. let's write it from sec 1 in shortest form, and highest quailty.
use the 10 sources that we found and listed in Supplementary material (document). I also gave you their PDFs, right?</t>
  </si>
  <si>
    <t>While AI in SE is often treated as a single category, we differentiate between **inline AI assistants** (e.g., IDE completions) and **chat-based AI
tools** (e.g., ChatGPT). Each class differs in interaction style, output scale, and the types of hidden costs it generates, a distinction explored further in
Section 2.
keep this for the last section. we want to the intro section not too scattered with many issues. less is always more. also at end of intro, add a para
linking to the next section</t>
  </si>
  <si>
    <t>latest paper draft is attached.
write sec 2 in shortest form, and highest quality. use my existing text there.
at the end of sec 2, discuss Fig 1.</t>
  </si>
  <si>
    <t>write sec 3 in shortest form, and highest quality. use my existing text there. as per our table 1, pool papers [1-9[ discuss Oversight Burden.
ensuring citing and discussing them all in sec 3, but very short.
at the end of sec 3, discuss Fig 1.</t>
  </si>
  <si>
    <t>erode
I do not like the word "erode ", replace it</t>
  </si>
  <si>
    <t>give the minimum sec 4. as I have in the draft, ensure citing and discussing my pre-print: "As observed in recent field studies [x], engineers often
receive overly general or inconsistent outputs when prompting AI for complex artifacts. In many cases, they must deconstruct these responses
manually or prompt iteratively to isolate a usable solution. Each round of refinement adds to cognitive switching costs and contributes to
fatigue." -x: V. Garousi and Z. Jafarov, "How Software Engineers Engage with AI: A Pragmatic Process Model and Decision Framework Grounded
in Industry Observations," 2024. [Online]. Available: preprint www.arxiv.org/abs/2507.17930 ----------- also do not forget to cite the two pool
sources that disucss Cognitive overload of AI: [9]
The reality of AI-assisted coding: Why "Vibe Coding" Is more challenging than it appears
[10]
The neurophysiological paradox of AI-induced frustration: A multimodal study of heart rate variability, affective responses, and creative output</t>
  </si>
  <si>
    <t>you have the 10 sources PDF. in [4]: 4-SWE-Bench+ Enhanced coding benchmark for LLMs, tell me which parts of it discuss either of the costs:
Need for and cost of human oversight , Cognitive overload of AI</t>
  </si>
  <si>
    <t>I removed two of the sources, due to above. the final pool have 8 papers: [1]
AI in software development: Productivity gains, but at what cost?
[2]
AI is shifting engineering burden and bottlenecks from code authors to code reviewers
[3]
The risks of generative AI coding in software development
[4]
The hidden cost of AI software engineers: Why LLMs Are a financial black hole
[5]
The hidden cost of AI code assistants
[6]
Generative AI is not going to build your engineering team for you
[7]
The reality of AI-assisted coding: Why "Vibe Coding" Is more challenging than it appears
[8]
The neurophysiological paradox of AI-induced frustration: A multimodal study of heart rate variability, affective responses, and creative output</t>
  </si>
  <si>
    <t>I have taken the quotes from each of the 8 sources, related to the two cost issues and have put them as comments on the cells of the Table 1
attached, can you see them?</t>
  </si>
  <si>
    <t>Practitioner evidence \[9\]
but we now have 8 sources in the pool??</t>
  </si>
  <si>
    <t>the call to action is clear:
tone it down</t>
  </si>
  <si>
    <t>so I got this feedback, on this paper: " I am sort of on the borderline with this- it is not a department column opinion piece, but it is a research
not fully explored, A synthesis mapping....
so this would be masquerading a research article as a peer-reviewed regular paper, that is not - so the way it is written, it needs to be peer-
reviewed?
As such, I still think this paper would be so much better if you send it in as an article. You talk about a multi-vocal Rapid review study - and this is
"evidence", but a
rather weak one..? I mean - going in the direction to "challenge" you a bit - an article piece would be more on the line with "Are we using AI tools
Efficiently - and what stops us?"
or "What hinders us to us AI tools efficiently?" I am not so sure I totally follow the aim/intention here.....(but then again - not my field, not my
expertise)....
You "only" discuss the use and "misuse" or "improper use" in a cost perspective "hidden costs of AI" should but as such it is not really "all hidden
costs"?
- if you are to take a productivity view on this - there are so many OTHER hidden costs you have not discussed at all - should you if that is the
title? I mean - we are a magazine for practitioners yes?
like energy runing prompts and tools, onboarding and security and updating on the tools etc etc - that a practitioner has to take into account -
so it is not "only" the cognitive load on this.
But I agree, the actual "cost efficiency" aspect is very much interesting and would do well in a column.
You have clearly only looked at proper and improper usage - which is of course interesting - but again - and example would probably interest the
readers more what would be one or the other?
I am though curious on the more human aspect here (now - I have not checked your referenced articles, and yes, I am a bit novice) - but I guess
there is more to it than that - learning/onboarding,
what is the "right" = proper usage? In who's opinion? Are we to "learn" using these tools, or are there more to it? As you are touching "developer
efficiency" - you should definitely get Ciera and Caspans view on this, as this touches
on their column (this is also one of the "rules" - if we are "infringing" on another column subject - these people should be consulted)...
I hope you take this as a very friendly advice - as I truely respect this work, you - and what is done.... I am maybe just being a bit "tight" what I
wish the magazine column article would venture into.
And you are such a great reserach Vahid, I am so utterly impressed how you have pursued so many interesting article. Maybe this is my rather
"odd" way of trying to challenge you a bit.
But - Of course in the end - I feel I do rely a lot on Silvia also in this - I might be totally off script here - we accept all sorts of articles, but then - I
simply would suggest a title change... being a bit
more "on-point". "</t>
  </si>
  <si>
    <t>put the summarized points in a tone, which I could include in an email reply to her...like , instead of "She is interested in the human aspect
(onboarding, learning, “right” use, efficiency in practice)." , say: "Covering also the human aspects (onboarding, learning, “right” use, efficiency in
practice, etc) in the paper"</t>
  </si>
  <si>
    <t>Now for each of the comments for each of the points I'm going to tell you what my ideas are to address each of them okay so let's start from the
first one which is the following.</t>
  </si>
  <si>
    <t>Now for each of the comments for each of the points I'm going to tell you what my ideas are to address each of them okay so let's start from the
first one which is the following. You don't have to provide any reply to me at this time. Let me go through all of the comments one by one and
tell you how we should address them, or how we should reply to Sigrid that I'm going to address them, okay? So let's start with the first point:
"The paper currently sits somewhat between genres — it reads more than a column opinion piece, but not fully as a peer-reviewed research
article. " -----------In my humble opinion, a paper sitting between an opinion and a full research paper is okay. A fully opinion paper, in my
opinion, is anecdotal. I think we had this also discussion with Sigrid before. Or it may be a fully anecdotal opinion paper. This paper, I think, will
be slightly weak. Because it will just come from a given author without any kind of backing or evidence. So what I have done, that multivocal
rapid review, is that I've used the opinion of the community. So it's not full paper. But as we know, we have systematic literature reviews. This is a
lightweight version of that. So I still believe it can be a column paper, opinion paper. But of course, I will fully address your other comments.</t>
  </si>
  <si>
    <t>Do not provide a reply for all of them yourself. Let me give you my opinion for each of them, and then I will ask you at a later point to create a
table. So let's go to the next point. NEXT point: The use of a multi-vocal rapid review provides evidence, but framed as “research” it may seem too
weak to stand alone; it might be better presented as structured practitioner evidence.
MY idea to address it (and provide a reply to Sigrid): I fully agree with this one. Let's not call it, let's not frame it as research. I will revise the, I
mean, all the writings in the paper, title, abstract, and the paper body to say that, well, we won't say research, but we'll say structured synthesis
of practitioner evidence and opinions. By the way, while this is a short paper, and hopefully we can publish it as a column paper, I plan to write
an extended version of it as a research paper and submit to IST or JSS journal. Even any of you ladies can be also a co-author in that future paper.
So.</t>
  </si>
  <si>
    <t>NEXT point: The current title “Hidden Costs of AI” feels too broad, since the paper only covers two key issues (oversight and cognitive overload),
while practitioners might expect other costs to be included (energy consumption, onboarding, security, tool updating, etc.).
MY idea to address it (and provide a reply to Sigrid): a suggested title from me: Hidden Human Costs of AI in Software Engineering: Synthesizing
Practitioners’ Evidence. Note: oversight and cognitive overload are Human-related Costs. I fully agree that the other costs (such as energy
consumption, security, etc) are also important,. and perhaps can be explored in a future paper. Sigrid's suggested title: “What stops us from
using AI tools efficiently?”-does not seem very precise as it does not mention hidden costs, etc.</t>
  </si>
  <si>
    <t>NEXT point: Clarifying that the focus is specifically on two hidden costs, rather than all, would avoid misleading expectations. suggest a few title
options including terms: oversight and cognitive overload</t>
  </si>
  <si>
    <t>Hidden Human Costs of
other ways to saying this phrase? what about this style --&gt; Need for human Oversight and their Cognitive Overload by AI: Cost efficiency of using
AI in Software Engineering</t>
  </si>
  <si>
    <t>So I'm attaching the last version of the paper and the improvement plans that I have in mind. So help me one by one, please go through the
improvement ideas one by one, and we also discuss them, you have it in the chat about, and tell me, give me exact ideas, exact places to
improve, and the exact copy and paste text to add or revise in the paper.</t>
  </si>
  <si>
    <t>I want, in that item, we are saying that we don't want to call it research, but we want to call it synthesis of evidence and opinions. So let's remove
the word research, but let's keep the rapid review. I want to keep the rapid review, and I think rapid review is a type of... For the rapid review, we
have done synthesis of evidence, so that's the wording I want to use. I'm also attaching the supplementary document, the latest version. We also
need to ensure that both documents are consistent and synchronized with all the improvements that we are going to do.</t>
  </si>
  <si>
    <t>Another very important point, this is going to be, let's say, slightly informal the so-called column paper, column, and opinion and evidence
things, so use less formal language, you know, don't use terms such as "our findings", you know, make it slightly slightly informal.</t>
  </si>
  <si>
    <t>Dimension</t>
  </si>
  <si>
    <t>Code / rule</t>
  </si>
  <si>
    <t>Definition / interpretation limit</t>
  </si>
  <si>
    <t>Method</t>
  </si>
  <si>
    <t>Coverage</t>
  </si>
  <si>
    <t>All 90 visible human messages in the supplied 40-page log. Three contents pages are excluded. This is export coverage, not assurance that the entire historical collaboration survives.</t>
  </si>
  <si>
    <t>Boundaries</t>
  </si>
  <si>
    <t>Human-message background rectangles identify messages; page continuations are joined. Adjacent messages remain separate even if no AI reply is visible. Empty rectangle fragments at page breaks are not turns.</t>
  </si>
  <si>
    <t>Provenance</t>
  </si>
  <si>
    <t>p refers to PDF page. L is a 1-based extracted text-line number from pdfplumber extract_text_lines, including headings/footer. Lines are not printed in the PDF. Use paper2_numbered_source.txt to reproduce locators.</t>
  </si>
  <si>
    <t>Text preservation</t>
  </si>
  <si>
    <t>Full prompts retain original wording, typos and line breaks. Attachment filenames and PDF/Document UI labels are separated from prompt prose. Show moreShow less is omitted. Excerpts are abbreviated; editorial bracket summaries identify omitted URL/title lists.</t>
  </si>
  <si>
    <t>Coding unit</t>
  </si>
  <si>
    <t>One message is one observation, even when it contains several acts. Primary type is the main explicit act; additional types capture other acts. Any-occurrence counts use one binary flag per code per turn, so totals across types can exceed 90.</t>
  </si>
  <si>
    <t>Agency rule</t>
  </si>
  <si>
    <t>One dominant agency mode. Critical records explicit scrutiny/rejection. Deliberative records reasoned comparison/reconciliation. Evaluative records assessment or verification. Directive records constrained execution or selection. Delegative records open execution requests.</t>
  </si>
  <si>
    <t>Interpretive status</t>
  </si>
  <si>
    <t>Single AI-assisted first-pass coding. No independent second coder or inter-rater reliability was assessed. Codes characterize visible behavior, not the researcher’s competence or an ordinal level of agency.</t>
  </si>
  <si>
    <t>Outcome boundary</t>
  </si>
  <si>
    <t>Only the next visible AI response or explicit human action is recorded. A response, praise or compliance claim is not proof of accuracy, manuscript adoption or completed file editing.</t>
  </si>
  <si>
    <t>Export gaps</t>
  </si>
  <si>
    <t>12 turns have no substantive AI reply visible: 32, 45-52, 76-77, 82. Later turns may imply exchanges, but missing replies are not reconstructed. Turn 78 is an assent with an unavailable antecedent.</t>
  </si>
  <si>
    <t>Repeated messages</t>
  </si>
  <si>
    <t>Turns 76 and 77 repeat the same review request in separate user message blocks. Both are retained in sequence.</t>
  </si>
  <si>
    <t>Assent</t>
  </si>
  <si>
    <t>Yes is Selection/Rejection with Directive mode when accepting a preceding offer. Its scope is the offered next action; acceptance of all earlier material and expertise are not inferred. Turn 78 remains context-uncertain.</t>
  </si>
  <si>
    <t>Borderline cases</t>
  </si>
  <si>
    <t>Turn 38 develops a comparative explanation and is Deliberation; Directed delegation is a plausible alternative. Turn 79 supplies third-party feedback with an implicit evaluation request. Turn 33 has an uncertain paper referent and apparent response mismatch.</t>
  </si>
  <si>
    <t>Expertise attribution</t>
  </si>
  <si>
    <t>Supplying attachments, quoting external feedback or assenting is not by itself expertise evidence. Independently expressed claim qualification, conceptual organization, source criteria and argument/genre decisions are coded with explicit rationale.</t>
  </si>
  <si>
    <t>Source correctness</t>
  </si>
  <si>
    <t>This analysis does not independently fact-check the papers/URLs mentioned in historical prompts. An admission of false quoting is an observed response. Replacement quotes, attachment-access claims and assertions of verification remain unverified unless the log shows support.</t>
  </si>
  <si>
    <t>Context paper</t>
  </si>
  <si>
    <t>The supplied 9-page Paper 2 manuscript is context only. Its title is Human Oversight and Overload: Two Hidden and Costly Burdens of AI-Assisted Software Engineering. Sections 1-2 describe two burdens and an eight-source base; final text is not used to invent missing turns.</t>
  </si>
  <si>
    <t>Paper 1 comparison</t>
  </si>
  <si>
    <t>The user reports losing most Paper 1 prompts. Its 22 coded turns are a surviving subset. Compare case patterns cautiously; turn counts or percentages cannot establish comparative expertise or agency across unequal records.</t>
  </si>
  <si>
    <t>Workbook use</t>
  </si>
  <si>
    <t>Coding and full prompts are linked by stable Turn ID. Summary counts and flags derive from Coding categories. Recode primary/additional labels using the exact codebook spellings; semicolon-space separates multiple codes. Binary flags summarize presence, not intensity.</t>
  </si>
  <si>
    <t>Open generation/explanation with little substantive specification.</t>
  </si>
  <si>
    <t>Human specifies purpose, scope, structure, format, content or evidence constraints and delegates execution.</t>
  </si>
  <si>
    <t>Requests or performs assessment or verification without necessarily diagnosing an error.</t>
  </si>
  <si>
    <t>Explicitly identifies or challenges an error, poor wording, unsupported claim, inconsistency or unsatisfactory output.</t>
  </si>
  <si>
    <t>Changes scope, priorities, framing, sequencing or the prior course of work.</t>
  </si>
  <si>
    <t>Provides facts, examples, drafts, selected external sources, documents or interpretations. Context provision is not proof of original knowledge.</t>
  </si>
  <si>
    <t>Explicitly chooses, accepts, excludes, removes or rejects an option/output/source.</t>
  </si>
  <si>
    <t>Initiates reasoned comparison or reconciliation of substantive options, concepts or arguments. Alternatives generated without substantive comparison are not sufficient.</t>
  </si>
  <si>
    <t>Open execution delegated to AI.</t>
  </si>
  <si>
    <t>Human constrains or selects the execution direction.</t>
  </si>
  <si>
    <t>Human requests or exercises assessment/verification.</t>
  </si>
  <si>
    <t>Human explicitly scrutinizes and corrects/rejects output.</t>
  </si>
  <si>
    <t>Human develops reasoned comparison or reconciliation.</t>
  </si>
  <si>
    <t>Corrects domain-specific technical usage or a technical description. No turn is assigned this label under the current conservative coding; bibliographic corrections are evidence judgment.</t>
  </si>
  <si>
    <t>Distinguishes tool classes, cost categories, human costs, methods or hypothetical versus empirical status.</t>
  </si>
  <si>
    <t>Selects relevant sources, requests support/exact quotations, challenges source accuracy, or limits certainty to evidence.</t>
  </si>
  <si>
    <t>Sets or critiques evidence criteria, review/synthesis categories, source inclusion or observation plans. Planned observations do not demonstrate completed research.</t>
  </si>
  <si>
    <t>Sets claim strength, rationale, scope, conceptual framing, contributions or the role of evidence.</t>
  </si>
  <si>
    <t>Applies manuscript conventions, structure, word budgets, tone, wording or audience/genre judgment.</t>
  </si>
  <si>
    <t>No sufficient visible expertise evidence in the turn. This does not mean the researcher lacks expertise.</t>
  </si>
  <si>
    <t>Source</t>
  </si>
  <si>
    <t>Interaction log</t>
  </si>
  <si>
    <t>paper2-Log of human-Aİ collaborations.pdf, 40 pages. Visible dated markers span July 23 to September 11; year is not printed in these markers.</t>
  </si>
  <si>
    <t>Context manuscript</t>
  </si>
  <si>
    <t>paper2-Hidden Cost of AI-Assisted Software Engineering.pdf, 9 pages. The final supplied manuscript is not used to verify exact earlier drafting outcomes.</t>
  </si>
  <si>
    <t>Expertise</t>
  </si>
  <si>
    <t>sum</t>
  </si>
  <si>
    <t>Domain correction</t>
  </si>
  <si>
    <t>Conceptual discrimination</t>
  </si>
  <si>
    <t>Evidence judgment</t>
  </si>
  <si>
    <t>Methodological judgment</t>
  </si>
  <si>
    <t>Argumentative judgment</t>
  </si>
  <si>
    <t>Genre/ writing expertise</t>
  </si>
  <si>
    <t>Share of prompts</t>
  </si>
  <si>
    <t xml:space="preserve">Paper: </t>
  </si>
  <si>
    <t xml:space="preserve">Human oversight </t>
  </si>
  <si>
    <t>Open Delegation</t>
  </si>
  <si>
    <t>Acceptance/ Rejection</t>
  </si>
  <si>
    <t>Demonstrated human expertise types</t>
  </si>
  <si>
    <t>Open delegation</t>
  </si>
  <si>
    <t>Prompt (interaction) types</t>
  </si>
  <si>
    <t># of prompts (turns)</t>
  </si>
  <si>
    <t>Genre/writing expertise</t>
  </si>
  <si>
    <t>None</t>
  </si>
  <si>
    <t>Subject-matter correction</t>
  </si>
  <si>
    <t>Conceptual differentiation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</si>
</sst>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name val="Carlito"/>
    </font>
    <font>
      <sz val="10"/>
      <color rgb="FF223449"/>
      <name val="Arial"/>
      <family val="2"/>
    </font>
    <font>
      <b/>
      <sz val="10"/>
      <color rgb="FFFFFFFF"/>
      <name val="Arial"/>
      <family val="2"/>
    </font>
    <font>
      <b/>
      <sz val="14"/>
      <color rgb="FF223449"/>
      <name val="Arial"/>
      <family val="2"/>
    </font>
    <font>
      <b/>
      <sz val="10"/>
      <color rgb="FF223449"/>
      <name val="Arial"/>
      <family val="2"/>
    </font>
    <font>
      <sz val="10"/>
      <color rgb="FF223449"/>
      <name val="Arial"/>
      <family val="2"/>
    </font>
    <font>
      <b/>
      <sz val="10"/>
      <color theme="1"/>
      <name val="Arial"/>
      <family val="2"/>
    </font>
    <font>
      <sz val="12"/>
      <name val="Aptos"/>
      <family val="2"/>
    </font>
  </fonts>
  <fills count="7">
    <fill>
      <patternFill patternType="none"/>
    </fill>
    <fill>
      <patternFill patternType="gray125"/>
    </fill>
    <fill>
      <patternFill patternType="solid">
        <fgColor rgb="FF29435C"/>
      </patternFill>
    </fill>
    <fill>
      <patternFill patternType="solid">
        <fgColor theme="6" tint="-0.249977111117893"/>
        <bgColor indexed="64"/>
      </patternFill>
    </fill>
    <fill>
      <patternFill patternType="solid">
        <fgColor theme="1" tint="0.499984740745262"/>
        <bgColor indexed="64"/>
      </patternFill>
    </fill>
    <fill>
      <patternFill patternType="solid">
        <fgColor rgb="FF00B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vertical="top"/>
    </xf>
    <xf numFmtId="0" fontId="2" fillId="2" borderId="0" xfId="0" applyFont="1" applyFill="1" applyAlignment="1">
      <alignment vertical="center" wrapText="1"/>
    </xf>
    <xf numFmtId="0" fontId="1" fillId="0" borderId="0" xfId="0" applyFont="1" applyAlignment="1">
      <alignment vertical="top" wrapText="1"/>
    </xf>
    <xf numFmtId="0" fontId="3" fillId="0" borderId="0" xfId="0" applyFont="1" applyAlignment="1">
      <alignment vertical="top"/>
    </xf>
    <xf numFmtId="164" fontId="1" fillId="0" borderId="0" xfId="0" applyNumberFormat="1" applyFont="1" applyAlignment="1">
      <alignment vertical="top"/>
    </xf>
    <xf numFmtId="0" fontId="4" fillId="0" borderId="0" xfId="0" applyFont="1" applyAlignment="1">
      <alignment vertical="top"/>
    </xf>
    <xf numFmtId="0" fontId="0" fillId="0" borderId="0" xfId="0" applyAlignment="1">
      <alignment horizontal="center"/>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1" fillId="0" borderId="0" xfId="0" applyFont="1" applyAlignment="1">
      <alignment horizontal="center" vertical="top" wrapText="1"/>
    </xf>
    <xf numFmtId="0" fontId="2" fillId="4" borderId="0" xfId="0" applyFont="1" applyFill="1" applyAlignment="1">
      <alignment horizontal="center" vertical="center" wrapText="1"/>
    </xf>
    <xf numFmtId="0" fontId="6" fillId="5" borderId="0" xfId="0" applyFont="1" applyFill="1" applyAlignment="1">
      <alignment horizontal="center" vertical="center" wrapText="1"/>
    </xf>
    <xf numFmtId="0" fontId="5" fillId="0" borderId="0" xfId="0" applyFont="1" applyAlignment="1">
      <alignment vertical="top" wrapText="1"/>
    </xf>
    <xf numFmtId="0" fontId="1" fillId="6" borderId="0" xfId="0" applyFont="1" applyFill="1" applyAlignment="1">
      <alignment vertical="top"/>
    </xf>
    <xf numFmtId="0" fontId="1" fillId="0" borderId="0" xfId="0" applyFont="1"/>
    <xf numFmtId="0" fontId="1" fillId="0" borderId="0" xfId="0" applyFont="1" applyAlignment="1">
      <alignment horizontal="center" vertical="top"/>
    </xf>
    <xf numFmtId="0" fontId="7" fillId="0" borderId="0" xfId="0" applyFont="1" applyAlignment="1">
      <alignment vertical="center"/>
    </xf>
  </cellXfs>
  <cellStyles count="1">
    <cellStyle name="Normal" xfId="0" builtinId="0"/>
  </cellStyles>
  <dxfs count="18">
    <dxf>
      <fill>
        <patternFill patternType="solid">
          <bgColor rgb="FFFFF2CC"/>
        </patternFill>
      </fill>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0"/>
        <color rgb="FF223449"/>
        <name val="Arial"/>
        <scheme val="none"/>
      </font>
      <numFmt numFmtId="0" formatCode="General"/>
      <alignment horizontal="center" vertical="top" textRotation="0" wrapText="1"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0"/>
        <color rgb="FF223449"/>
        <name val="Arial"/>
        <scheme val="none"/>
      </font>
      <numFmt numFmtId="0" formatCode="General"/>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Coding!$Q$1</c:f>
              <c:strCache>
                <c:ptCount val="1"/>
                <c:pt idx="0">
                  <c:v>Open Delegation</c:v>
                </c:pt>
              </c:strCache>
            </c:strRef>
          </c:tx>
          <c:spPr>
            <a:solidFill>
              <a:schemeClr val="accent1"/>
            </a:solidFill>
            <a:ln>
              <a:noFill/>
            </a:ln>
            <a:effectLst/>
          </c:spPr>
          <c:invertIfNegative val="0"/>
          <c:val>
            <c:numRef>
              <c:f>Coding!$Q$2:$Q$91</c:f>
              <c:numCache>
                <c:formatCode>General</c:formatCode>
                <c:ptCount val="90"/>
                <c:pt idx="0">
                  <c:v>1</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extLst>
            <c:ext xmlns:c16="http://schemas.microsoft.com/office/drawing/2014/chart" uri="{C3380CC4-5D6E-409C-BE32-E72D297353CC}">
              <c16:uniqueId val="{00000000-1A92-4A55-AADC-49A1A48F5C91}"/>
            </c:ext>
          </c:extLst>
        </c:ser>
        <c:ser>
          <c:idx val="1"/>
          <c:order val="1"/>
          <c:tx>
            <c:strRef>
              <c:f>Coding!$R$1</c:f>
              <c:strCache>
                <c:ptCount val="1"/>
                <c:pt idx="0">
                  <c:v>Directed delegation</c:v>
                </c:pt>
              </c:strCache>
            </c:strRef>
          </c:tx>
          <c:spPr>
            <a:solidFill>
              <a:schemeClr val="accent2"/>
            </a:solidFill>
            <a:ln>
              <a:noFill/>
            </a:ln>
            <a:effectLst/>
          </c:spPr>
          <c:invertIfNegative val="0"/>
          <c:val>
            <c:numRef>
              <c:f>Coding!$R$2:$R$91</c:f>
              <c:numCache>
                <c:formatCode>General</c:formatCode>
                <c:ptCount val="90"/>
                <c:pt idx="0">
                  <c:v>0</c:v>
                </c:pt>
                <c:pt idx="1">
                  <c:v>1</c:v>
                </c:pt>
                <c:pt idx="2">
                  <c:v>1</c:v>
                </c:pt>
                <c:pt idx="3">
                  <c:v>0</c:v>
                </c:pt>
                <c:pt idx="4">
                  <c:v>1</c:v>
                </c:pt>
                <c:pt idx="5">
                  <c:v>0</c:v>
                </c:pt>
                <c:pt idx="6">
                  <c:v>1</c:v>
                </c:pt>
                <c:pt idx="7">
                  <c:v>1</c:v>
                </c:pt>
                <c:pt idx="8">
                  <c:v>1</c:v>
                </c:pt>
                <c:pt idx="9">
                  <c:v>1</c:v>
                </c:pt>
                <c:pt idx="10">
                  <c:v>0</c:v>
                </c:pt>
                <c:pt idx="11">
                  <c:v>1</c:v>
                </c:pt>
                <c:pt idx="12">
                  <c:v>1</c:v>
                </c:pt>
                <c:pt idx="13">
                  <c:v>0</c:v>
                </c:pt>
                <c:pt idx="14">
                  <c:v>1</c:v>
                </c:pt>
                <c:pt idx="15">
                  <c:v>1</c:v>
                </c:pt>
                <c:pt idx="16">
                  <c:v>1</c:v>
                </c:pt>
                <c:pt idx="17">
                  <c:v>1</c:v>
                </c:pt>
                <c:pt idx="18">
                  <c:v>1</c:v>
                </c:pt>
                <c:pt idx="19">
                  <c:v>1</c:v>
                </c:pt>
                <c:pt idx="20">
                  <c:v>1</c:v>
                </c:pt>
                <c:pt idx="21">
                  <c:v>1</c:v>
                </c:pt>
                <c:pt idx="22">
                  <c:v>1</c:v>
                </c:pt>
                <c:pt idx="23">
                  <c:v>0</c:v>
                </c:pt>
                <c:pt idx="24">
                  <c:v>1</c:v>
                </c:pt>
                <c:pt idx="25">
                  <c:v>1</c:v>
                </c:pt>
                <c:pt idx="26">
                  <c:v>0</c:v>
                </c:pt>
                <c:pt idx="27">
                  <c:v>1</c:v>
                </c:pt>
                <c:pt idx="28">
                  <c:v>0</c:v>
                </c:pt>
                <c:pt idx="29">
                  <c:v>1</c:v>
                </c:pt>
                <c:pt idx="30">
                  <c:v>1</c:v>
                </c:pt>
                <c:pt idx="31">
                  <c:v>1</c:v>
                </c:pt>
                <c:pt idx="32">
                  <c:v>1</c:v>
                </c:pt>
                <c:pt idx="33">
                  <c:v>0</c:v>
                </c:pt>
                <c:pt idx="34">
                  <c:v>0</c:v>
                </c:pt>
                <c:pt idx="35">
                  <c:v>0</c:v>
                </c:pt>
                <c:pt idx="36">
                  <c:v>1</c:v>
                </c:pt>
                <c:pt idx="37">
                  <c:v>1</c:v>
                </c:pt>
                <c:pt idx="38">
                  <c:v>1</c:v>
                </c:pt>
                <c:pt idx="39">
                  <c:v>1</c:v>
                </c:pt>
                <c:pt idx="40">
                  <c:v>1</c:v>
                </c:pt>
                <c:pt idx="41">
                  <c:v>0</c:v>
                </c:pt>
                <c:pt idx="42">
                  <c:v>1</c:v>
                </c:pt>
                <c:pt idx="43">
                  <c:v>1</c:v>
                </c:pt>
                <c:pt idx="44">
                  <c:v>1</c:v>
                </c:pt>
                <c:pt idx="45">
                  <c:v>1</c:v>
                </c:pt>
                <c:pt idx="46">
                  <c:v>0</c:v>
                </c:pt>
                <c:pt idx="47">
                  <c:v>1</c:v>
                </c:pt>
                <c:pt idx="48">
                  <c:v>0</c:v>
                </c:pt>
                <c:pt idx="49">
                  <c:v>0</c:v>
                </c:pt>
                <c:pt idx="50">
                  <c:v>1</c:v>
                </c:pt>
                <c:pt idx="51">
                  <c:v>1</c:v>
                </c:pt>
                <c:pt idx="52">
                  <c:v>1</c:v>
                </c:pt>
                <c:pt idx="53">
                  <c:v>0</c:v>
                </c:pt>
                <c:pt idx="54">
                  <c:v>1</c:v>
                </c:pt>
                <c:pt idx="55">
                  <c:v>1</c:v>
                </c:pt>
                <c:pt idx="56">
                  <c:v>0</c:v>
                </c:pt>
                <c:pt idx="57">
                  <c:v>0</c:v>
                </c:pt>
                <c:pt idx="58">
                  <c:v>1</c:v>
                </c:pt>
                <c:pt idx="59">
                  <c:v>1</c:v>
                </c:pt>
                <c:pt idx="60">
                  <c:v>1</c:v>
                </c:pt>
                <c:pt idx="61">
                  <c:v>1</c:v>
                </c:pt>
                <c:pt idx="62">
                  <c:v>1</c:v>
                </c:pt>
                <c:pt idx="63">
                  <c:v>0</c:v>
                </c:pt>
                <c:pt idx="64">
                  <c:v>1</c:v>
                </c:pt>
                <c:pt idx="65">
                  <c:v>0</c:v>
                </c:pt>
                <c:pt idx="66">
                  <c:v>0</c:v>
                </c:pt>
                <c:pt idx="67">
                  <c:v>1</c:v>
                </c:pt>
                <c:pt idx="68">
                  <c:v>0</c:v>
                </c:pt>
                <c:pt idx="69">
                  <c:v>0</c:v>
                </c:pt>
                <c:pt idx="70">
                  <c:v>1</c:v>
                </c:pt>
                <c:pt idx="71">
                  <c:v>1</c:v>
                </c:pt>
                <c:pt idx="72">
                  <c:v>1</c:v>
                </c:pt>
                <c:pt idx="73">
                  <c:v>0</c:v>
                </c:pt>
                <c:pt idx="74">
                  <c:v>1</c:v>
                </c:pt>
                <c:pt idx="75">
                  <c:v>0</c:v>
                </c:pt>
                <c:pt idx="76">
                  <c:v>0</c:v>
                </c:pt>
                <c:pt idx="77">
                  <c:v>0</c:v>
                </c:pt>
                <c:pt idx="78">
                  <c:v>0</c:v>
                </c:pt>
                <c:pt idx="79">
                  <c:v>1</c:v>
                </c:pt>
                <c:pt idx="80">
                  <c:v>1</c:v>
                </c:pt>
                <c:pt idx="81">
                  <c:v>0</c:v>
                </c:pt>
                <c:pt idx="82">
                  <c:v>0</c:v>
                </c:pt>
                <c:pt idx="83">
                  <c:v>0</c:v>
                </c:pt>
                <c:pt idx="84">
                  <c:v>0</c:v>
                </c:pt>
                <c:pt idx="85">
                  <c:v>1</c:v>
                </c:pt>
                <c:pt idx="86">
                  <c:v>1</c:v>
                </c:pt>
                <c:pt idx="87">
                  <c:v>1</c:v>
                </c:pt>
                <c:pt idx="88">
                  <c:v>1</c:v>
                </c:pt>
                <c:pt idx="89">
                  <c:v>1</c:v>
                </c:pt>
              </c:numCache>
            </c:numRef>
          </c:val>
          <c:extLst>
            <c:ext xmlns:c16="http://schemas.microsoft.com/office/drawing/2014/chart" uri="{C3380CC4-5D6E-409C-BE32-E72D297353CC}">
              <c16:uniqueId val="{00000001-1A92-4A55-AADC-49A1A48F5C91}"/>
            </c:ext>
          </c:extLst>
        </c:ser>
        <c:ser>
          <c:idx val="2"/>
          <c:order val="2"/>
          <c:tx>
            <c:strRef>
              <c:f>Coding!$S$1</c:f>
              <c:strCache>
                <c:ptCount val="1"/>
                <c:pt idx="0">
                  <c:v>Evaluation</c:v>
                </c:pt>
              </c:strCache>
            </c:strRef>
          </c:tx>
          <c:spPr>
            <a:solidFill>
              <a:schemeClr val="accent3"/>
            </a:solidFill>
            <a:ln>
              <a:noFill/>
            </a:ln>
            <a:effectLst/>
          </c:spPr>
          <c:invertIfNegative val="0"/>
          <c:val>
            <c:numRef>
              <c:f>Coding!$S$2:$S$91</c:f>
              <c:numCache>
                <c:formatCode>General</c:formatCode>
                <c:ptCount val="90"/>
                <c:pt idx="0">
                  <c:v>0</c:v>
                </c:pt>
                <c:pt idx="1">
                  <c:v>0</c:v>
                </c:pt>
                <c:pt idx="2">
                  <c:v>0</c:v>
                </c:pt>
                <c:pt idx="3">
                  <c:v>1</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1</c:v>
                </c:pt>
                <c:pt idx="20">
                  <c:v>0</c:v>
                </c:pt>
                <c:pt idx="21">
                  <c:v>0</c:v>
                </c:pt>
                <c:pt idx="22">
                  <c:v>0</c:v>
                </c:pt>
                <c:pt idx="23">
                  <c:v>0</c:v>
                </c:pt>
                <c:pt idx="24">
                  <c:v>0</c:v>
                </c:pt>
                <c:pt idx="25">
                  <c:v>0</c:v>
                </c:pt>
                <c:pt idx="26">
                  <c:v>0</c:v>
                </c:pt>
                <c:pt idx="27">
                  <c:v>0</c:v>
                </c:pt>
                <c:pt idx="28">
                  <c:v>1</c:v>
                </c:pt>
                <c:pt idx="29">
                  <c:v>0</c:v>
                </c:pt>
                <c:pt idx="30">
                  <c:v>0</c:v>
                </c:pt>
                <c:pt idx="31">
                  <c:v>1</c:v>
                </c:pt>
                <c:pt idx="32">
                  <c:v>1</c:v>
                </c:pt>
                <c:pt idx="33">
                  <c:v>1</c:v>
                </c:pt>
                <c:pt idx="34">
                  <c:v>1</c:v>
                </c:pt>
                <c:pt idx="35">
                  <c:v>1</c:v>
                </c:pt>
                <c:pt idx="36">
                  <c:v>0</c:v>
                </c:pt>
                <c:pt idx="37">
                  <c:v>0</c:v>
                </c:pt>
                <c:pt idx="38">
                  <c:v>0</c:v>
                </c:pt>
                <c:pt idx="39">
                  <c:v>0</c:v>
                </c:pt>
                <c:pt idx="40">
                  <c:v>0</c:v>
                </c:pt>
                <c:pt idx="41">
                  <c:v>1</c:v>
                </c:pt>
                <c:pt idx="42">
                  <c:v>0</c:v>
                </c:pt>
                <c:pt idx="43">
                  <c:v>0</c:v>
                </c:pt>
                <c:pt idx="44">
                  <c:v>0</c:v>
                </c:pt>
                <c:pt idx="45">
                  <c:v>0</c:v>
                </c:pt>
                <c:pt idx="46">
                  <c:v>1</c:v>
                </c:pt>
                <c:pt idx="47">
                  <c:v>0</c:v>
                </c:pt>
                <c:pt idx="48">
                  <c:v>0</c:v>
                </c:pt>
                <c:pt idx="49">
                  <c:v>0</c:v>
                </c:pt>
                <c:pt idx="50">
                  <c:v>0</c:v>
                </c:pt>
                <c:pt idx="51">
                  <c:v>0</c:v>
                </c:pt>
                <c:pt idx="52">
                  <c:v>0</c:v>
                </c:pt>
                <c:pt idx="53">
                  <c:v>0</c:v>
                </c:pt>
                <c:pt idx="54">
                  <c:v>0</c:v>
                </c:pt>
                <c:pt idx="55">
                  <c:v>0</c:v>
                </c:pt>
                <c:pt idx="56">
                  <c:v>0</c:v>
                </c:pt>
                <c:pt idx="57">
                  <c:v>0</c:v>
                </c:pt>
                <c:pt idx="58">
                  <c:v>0</c:v>
                </c:pt>
                <c:pt idx="59">
                  <c:v>1</c:v>
                </c:pt>
                <c:pt idx="60">
                  <c:v>1</c:v>
                </c:pt>
                <c:pt idx="61">
                  <c:v>1</c:v>
                </c:pt>
                <c:pt idx="62">
                  <c:v>0</c:v>
                </c:pt>
                <c:pt idx="63">
                  <c:v>0</c:v>
                </c:pt>
                <c:pt idx="64">
                  <c:v>0</c:v>
                </c:pt>
                <c:pt idx="65">
                  <c:v>0</c:v>
                </c:pt>
                <c:pt idx="66">
                  <c:v>1</c:v>
                </c:pt>
                <c:pt idx="67">
                  <c:v>0</c:v>
                </c:pt>
                <c:pt idx="68">
                  <c:v>0</c:v>
                </c:pt>
                <c:pt idx="69">
                  <c:v>0</c:v>
                </c:pt>
                <c:pt idx="70">
                  <c:v>0</c:v>
                </c:pt>
                <c:pt idx="71">
                  <c:v>0</c:v>
                </c:pt>
                <c:pt idx="72">
                  <c:v>0</c:v>
                </c:pt>
                <c:pt idx="73">
                  <c:v>0</c:v>
                </c:pt>
                <c:pt idx="74">
                  <c:v>0</c:v>
                </c:pt>
                <c:pt idx="75">
                  <c:v>1</c:v>
                </c:pt>
                <c:pt idx="76">
                  <c:v>1</c:v>
                </c:pt>
                <c:pt idx="77">
                  <c:v>0</c:v>
                </c:pt>
                <c:pt idx="78">
                  <c:v>1</c:v>
                </c:pt>
                <c:pt idx="79">
                  <c:v>0</c:v>
                </c:pt>
                <c:pt idx="80">
                  <c:v>0</c:v>
                </c:pt>
                <c:pt idx="81">
                  <c:v>0</c:v>
                </c:pt>
                <c:pt idx="82">
                  <c:v>0</c:v>
                </c:pt>
                <c:pt idx="83">
                  <c:v>0</c:v>
                </c:pt>
                <c:pt idx="84">
                  <c:v>0</c:v>
                </c:pt>
                <c:pt idx="85">
                  <c:v>0</c:v>
                </c:pt>
                <c:pt idx="86">
                  <c:v>1</c:v>
                </c:pt>
                <c:pt idx="87">
                  <c:v>0</c:v>
                </c:pt>
                <c:pt idx="88">
                  <c:v>0</c:v>
                </c:pt>
                <c:pt idx="89">
                  <c:v>0</c:v>
                </c:pt>
              </c:numCache>
            </c:numRef>
          </c:val>
          <c:extLst>
            <c:ext xmlns:c16="http://schemas.microsoft.com/office/drawing/2014/chart" uri="{C3380CC4-5D6E-409C-BE32-E72D297353CC}">
              <c16:uniqueId val="{00000002-1A92-4A55-AADC-49A1A48F5C91}"/>
            </c:ext>
          </c:extLst>
        </c:ser>
        <c:ser>
          <c:idx val="3"/>
          <c:order val="3"/>
          <c:tx>
            <c:strRef>
              <c:f>Coding!$T$1</c:f>
              <c:strCache>
                <c:ptCount val="1"/>
                <c:pt idx="0">
                  <c:v>Correction/Challenge</c:v>
                </c:pt>
              </c:strCache>
            </c:strRef>
          </c:tx>
          <c:spPr>
            <a:solidFill>
              <a:schemeClr val="accent4"/>
            </a:solidFill>
            <a:ln>
              <a:noFill/>
            </a:ln>
            <a:effectLst/>
          </c:spPr>
          <c:invertIfNegative val="0"/>
          <c:val>
            <c:numRef>
              <c:f>Coding!$T$2:$T$91</c:f>
              <c:numCache>
                <c:formatCode>General</c:formatCode>
                <c:ptCount val="90"/>
                <c:pt idx="0">
                  <c:v>0</c:v>
                </c:pt>
                <c:pt idx="1">
                  <c:v>0</c:v>
                </c:pt>
                <c:pt idx="2">
                  <c:v>0</c:v>
                </c:pt>
                <c:pt idx="3">
                  <c:v>0</c:v>
                </c:pt>
                <c:pt idx="4">
                  <c:v>0</c:v>
                </c:pt>
                <c:pt idx="5">
                  <c:v>1</c:v>
                </c:pt>
                <c:pt idx="6">
                  <c:v>0</c:v>
                </c:pt>
                <c:pt idx="7">
                  <c:v>0</c:v>
                </c:pt>
                <c:pt idx="8">
                  <c:v>0</c:v>
                </c:pt>
                <c:pt idx="9">
                  <c:v>0</c:v>
                </c:pt>
                <c:pt idx="10">
                  <c:v>0</c:v>
                </c:pt>
                <c:pt idx="11">
                  <c:v>0</c:v>
                </c:pt>
                <c:pt idx="12">
                  <c:v>1</c:v>
                </c:pt>
                <c:pt idx="13">
                  <c:v>1</c:v>
                </c:pt>
                <c:pt idx="14">
                  <c:v>0</c:v>
                </c:pt>
                <c:pt idx="15">
                  <c:v>0</c:v>
                </c:pt>
                <c:pt idx="16">
                  <c:v>0</c:v>
                </c:pt>
                <c:pt idx="17">
                  <c:v>1</c:v>
                </c:pt>
                <c:pt idx="18">
                  <c:v>1</c:v>
                </c:pt>
                <c:pt idx="19">
                  <c:v>0</c:v>
                </c:pt>
                <c:pt idx="20">
                  <c:v>0</c:v>
                </c:pt>
                <c:pt idx="21">
                  <c:v>0</c:v>
                </c:pt>
                <c:pt idx="22">
                  <c:v>1</c:v>
                </c:pt>
                <c:pt idx="23">
                  <c:v>0</c:v>
                </c:pt>
                <c:pt idx="24">
                  <c:v>1</c:v>
                </c:pt>
                <c:pt idx="25">
                  <c:v>0</c:v>
                </c:pt>
                <c:pt idx="26">
                  <c:v>1</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c:v>
                </c:pt>
                <c:pt idx="50">
                  <c:v>0</c:v>
                </c:pt>
                <c:pt idx="51">
                  <c:v>1</c:v>
                </c:pt>
                <c:pt idx="52">
                  <c:v>0</c:v>
                </c:pt>
                <c:pt idx="53">
                  <c:v>0</c:v>
                </c:pt>
                <c:pt idx="54">
                  <c:v>0</c:v>
                </c:pt>
                <c:pt idx="55">
                  <c:v>0</c:v>
                </c:pt>
                <c:pt idx="56">
                  <c:v>1</c:v>
                </c:pt>
                <c:pt idx="57">
                  <c:v>1</c:v>
                </c:pt>
                <c:pt idx="58">
                  <c:v>0</c:v>
                </c:pt>
                <c:pt idx="59">
                  <c:v>0</c:v>
                </c:pt>
                <c:pt idx="60">
                  <c:v>0</c:v>
                </c:pt>
                <c:pt idx="61">
                  <c:v>0</c:v>
                </c:pt>
                <c:pt idx="62">
                  <c:v>0</c:v>
                </c:pt>
                <c:pt idx="63">
                  <c:v>1</c:v>
                </c:pt>
                <c:pt idx="64">
                  <c:v>0</c:v>
                </c:pt>
                <c:pt idx="65">
                  <c:v>0</c:v>
                </c:pt>
                <c:pt idx="66">
                  <c:v>0</c:v>
                </c:pt>
                <c:pt idx="67">
                  <c:v>0</c:v>
                </c:pt>
                <c:pt idx="68">
                  <c:v>1</c:v>
                </c:pt>
                <c:pt idx="69">
                  <c:v>0</c:v>
                </c:pt>
                <c:pt idx="70">
                  <c:v>0</c:v>
                </c:pt>
                <c:pt idx="71">
                  <c:v>0</c:v>
                </c:pt>
                <c:pt idx="72">
                  <c:v>0</c:v>
                </c:pt>
                <c:pt idx="73">
                  <c:v>0</c:v>
                </c:pt>
                <c:pt idx="74">
                  <c:v>1</c:v>
                </c:pt>
                <c:pt idx="75">
                  <c:v>0</c:v>
                </c:pt>
                <c:pt idx="76">
                  <c:v>0</c:v>
                </c:pt>
                <c:pt idx="77">
                  <c:v>0</c:v>
                </c:pt>
                <c:pt idx="78">
                  <c:v>0</c:v>
                </c:pt>
                <c:pt idx="79">
                  <c:v>0</c:v>
                </c:pt>
                <c:pt idx="80">
                  <c:v>0</c:v>
                </c:pt>
                <c:pt idx="81">
                  <c:v>0</c:v>
                </c:pt>
                <c:pt idx="82">
                  <c:v>0</c:v>
                </c:pt>
                <c:pt idx="83">
                  <c:v>1</c:v>
                </c:pt>
                <c:pt idx="84">
                  <c:v>1</c:v>
                </c:pt>
                <c:pt idx="85">
                  <c:v>0</c:v>
                </c:pt>
                <c:pt idx="86">
                  <c:v>0</c:v>
                </c:pt>
                <c:pt idx="87">
                  <c:v>0</c:v>
                </c:pt>
                <c:pt idx="88">
                  <c:v>1</c:v>
                </c:pt>
                <c:pt idx="89">
                  <c:v>1</c:v>
                </c:pt>
              </c:numCache>
            </c:numRef>
          </c:val>
          <c:extLst>
            <c:ext xmlns:c16="http://schemas.microsoft.com/office/drawing/2014/chart" uri="{C3380CC4-5D6E-409C-BE32-E72D297353CC}">
              <c16:uniqueId val="{00000003-1A92-4A55-AADC-49A1A48F5C91}"/>
            </c:ext>
          </c:extLst>
        </c:ser>
        <c:ser>
          <c:idx val="4"/>
          <c:order val="4"/>
          <c:tx>
            <c:strRef>
              <c:f>Coding!$U$1</c:f>
              <c:strCache>
                <c:ptCount val="1"/>
                <c:pt idx="0">
                  <c:v>Redirection</c:v>
                </c:pt>
              </c:strCache>
            </c:strRef>
          </c:tx>
          <c:spPr>
            <a:solidFill>
              <a:schemeClr val="accent5"/>
            </a:solidFill>
            <a:ln>
              <a:noFill/>
            </a:ln>
            <a:effectLst/>
          </c:spPr>
          <c:invertIfNegative val="0"/>
          <c:val>
            <c:numRef>
              <c:f>Coding!$U$2:$U$91</c:f>
              <c:numCache>
                <c:formatCode>General</c:formatCode>
                <c:ptCount val="90"/>
                <c:pt idx="0">
                  <c:v>0</c:v>
                </c:pt>
                <c:pt idx="1">
                  <c:v>1</c:v>
                </c:pt>
                <c:pt idx="2">
                  <c:v>0</c:v>
                </c:pt>
                <c:pt idx="3">
                  <c:v>0</c:v>
                </c:pt>
                <c:pt idx="4">
                  <c:v>0</c:v>
                </c:pt>
                <c:pt idx="5">
                  <c:v>1</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1</c:v>
                </c:pt>
                <c:pt idx="26">
                  <c:v>0</c:v>
                </c:pt>
                <c:pt idx="27">
                  <c:v>0</c:v>
                </c:pt>
                <c:pt idx="28">
                  <c:v>0</c:v>
                </c:pt>
                <c:pt idx="29">
                  <c:v>0</c:v>
                </c:pt>
                <c:pt idx="30">
                  <c:v>0</c:v>
                </c:pt>
                <c:pt idx="31">
                  <c:v>0</c:v>
                </c:pt>
                <c:pt idx="32">
                  <c:v>0</c:v>
                </c:pt>
                <c:pt idx="33">
                  <c:v>0</c:v>
                </c:pt>
                <c:pt idx="34">
                  <c:v>0</c:v>
                </c:pt>
                <c:pt idx="35">
                  <c:v>0</c:v>
                </c:pt>
                <c:pt idx="36">
                  <c:v>1</c:v>
                </c:pt>
                <c:pt idx="37">
                  <c:v>0</c:v>
                </c:pt>
                <c:pt idx="38">
                  <c:v>0</c:v>
                </c:pt>
                <c:pt idx="39">
                  <c:v>0</c:v>
                </c:pt>
                <c:pt idx="40">
                  <c:v>0</c:v>
                </c:pt>
                <c:pt idx="41">
                  <c:v>1</c:v>
                </c:pt>
                <c:pt idx="42">
                  <c:v>0</c:v>
                </c:pt>
                <c:pt idx="43">
                  <c:v>0</c:v>
                </c:pt>
                <c:pt idx="44">
                  <c:v>0</c:v>
                </c:pt>
                <c:pt idx="45">
                  <c:v>0</c:v>
                </c:pt>
                <c:pt idx="46">
                  <c:v>0</c:v>
                </c:pt>
                <c:pt idx="47">
                  <c:v>1</c:v>
                </c:pt>
                <c:pt idx="48">
                  <c:v>1</c:v>
                </c:pt>
                <c:pt idx="49">
                  <c:v>0</c:v>
                </c:pt>
                <c:pt idx="50">
                  <c:v>0</c:v>
                </c:pt>
                <c:pt idx="51">
                  <c:v>1</c:v>
                </c:pt>
                <c:pt idx="52">
                  <c:v>0</c:v>
                </c:pt>
                <c:pt idx="53">
                  <c:v>0</c:v>
                </c:pt>
                <c:pt idx="54">
                  <c:v>0</c:v>
                </c:pt>
                <c:pt idx="55">
                  <c:v>0</c:v>
                </c:pt>
                <c:pt idx="56">
                  <c:v>0</c:v>
                </c:pt>
                <c:pt idx="57">
                  <c:v>0</c:v>
                </c:pt>
                <c:pt idx="58">
                  <c:v>0</c:v>
                </c:pt>
                <c:pt idx="59">
                  <c:v>0</c:v>
                </c:pt>
                <c:pt idx="60">
                  <c:v>0</c:v>
                </c:pt>
                <c:pt idx="61">
                  <c:v>0</c:v>
                </c:pt>
                <c:pt idx="62">
                  <c:v>0</c:v>
                </c:pt>
                <c:pt idx="63">
                  <c:v>0</c:v>
                </c:pt>
                <c:pt idx="64">
                  <c:v>0</c:v>
                </c:pt>
                <c:pt idx="65">
                  <c:v>1</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1</c:v>
                </c:pt>
                <c:pt idx="82">
                  <c:v>1</c:v>
                </c:pt>
                <c:pt idx="83">
                  <c:v>1</c:v>
                </c:pt>
                <c:pt idx="84">
                  <c:v>0</c:v>
                </c:pt>
                <c:pt idx="85">
                  <c:v>1</c:v>
                </c:pt>
                <c:pt idx="86">
                  <c:v>0</c:v>
                </c:pt>
                <c:pt idx="87">
                  <c:v>0</c:v>
                </c:pt>
                <c:pt idx="88">
                  <c:v>1</c:v>
                </c:pt>
                <c:pt idx="89">
                  <c:v>1</c:v>
                </c:pt>
              </c:numCache>
            </c:numRef>
          </c:val>
          <c:extLst>
            <c:ext xmlns:c16="http://schemas.microsoft.com/office/drawing/2014/chart" uri="{C3380CC4-5D6E-409C-BE32-E72D297353CC}">
              <c16:uniqueId val="{00000004-1A92-4A55-AADC-49A1A48F5C91}"/>
            </c:ext>
          </c:extLst>
        </c:ser>
        <c:ser>
          <c:idx val="5"/>
          <c:order val="5"/>
          <c:tx>
            <c:strRef>
              <c:f>Coding!$V$1</c:f>
              <c:strCache>
                <c:ptCount val="1"/>
                <c:pt idx="0">
                  <c:v>Knowledge injection</c:v>
                </c:pt>
              </c:strCache>
            </c:strRef>
          </c:tx>
          <c:spPr>
            <a:solidFill>
              <a:schemeClr val="accent6"/>
            </a:solidFill>
            <a:ln>
              <a:noFill/>
            </a:ln>
            <a:effectLst/>
          </c:spPr>
          <c:invertIfNegative val="0"/>
          <c:val>
            <c:numRef>
              <c:f>Coding!$V$2:$V$91</c:f>
              <c:numCache>
                <c:formatCode>General</c:formatCode>
                <c:ptCount val="90"/>
                <c:pt idx="0">
                  <c:v>0</c:v>
                </c:pt>
                <c:pt idx="1">
                  <c:v>1</c:v>
                </c:pt>
                <c:pt idx="2">
                  <c:v>0</c:v>
                </c:pt>
                <c:pt idx="3">
                  <c:v>1</c:v>
                </c:pt>
                <c:pt idx="4">
                  <c:v>0</c:v>
                </c:pt>
                <c:pt idx="5">
                  <c:v>1</c:v>
                </c:pt>
                <c:pt idx="6">
                  <c:v>0</c:v>
                </c:pt>
                <c:pt idx="7">
                  <c:v>0</c:v>
                </c:pt>
                <c:pt idx="8">
                  <c:v>0</c:v>
                </c:pt>
                <c:pt idx="9">
                  <c:v>1</c:v>
                </c:pt>
                <c:pt idx="10">
                  <c:v>0</c:v>
                </c:pt>
                <c:pt idx="11">
                  <c:v>0</c:v>
                </c:pt>
                <c:pt idx="12">
                  <c:v>0</c:v>
                </c:pt>
                <c:pt idx="13">
                  <c:v>0</c:v>
                </c:pt>
                <c:pt idx="14">
                  <c:v>0</c:v>
                </c:pt>
                <c:pt idx="15">
                  <c:v>0</c:v>
                </c:pt>
                <c:pt idx="16">
                  <c:v>1</c:v>
                </c:pt>
                <c:pt idx="17">
                  <c:v>1</c:v>
                </c:pt>
                <c:pt idx="18">
                  <c:v>0</c:v>
                </c:pt>
                <c:pt idx="19">
                  <c:v>1</c:v>
                </c:pt>
                <c:pt idx="20">
                  <c:v>1</c:v>
                </c:pt>
                <c:pt idx="21">
                  <c:v>1</c:v>
                </c:pt>
                <c:pt idx="22">
                  <c:v>0</c:v>
                </c:pt>
                <c:pt idx="23">
                  <c:v>0</c:v>
                </c:pt>
                <c:pt idx="24">
                  <c:v>0</c:v>
                </c:pt>
                <c:pt idx="25">
                  <c:v>1</c:v>
                </c:pt>
                <c:pt idx="26">
                  <c:v>0</c:v>
                </c:pt>
                <c:pt idx="27">
                  <c:v>1</c:v>
                </c:pt>
                <c:pt idx="28">
                  <c:v>1</c:v>
                </c:pt>
                <c:pt idx="29">
                  <c:v>1</c:v>
                </c:pt>
                <c:pt idx="30">
                  <c:v>0</c:v>
                </c:pt>
                <c:pt idx="31">
                  <c:v>1</c:v>
                </c:pt>
                <c:pt idx="32">
                  <c:v>0</c:v>
                </c:pt>
                <c:pt idx="33">
                  <c:v>1</c:v>
                </c:pt>
                <c:pt idx="34">
                  <c:v>0</c:v>
                </c:pt>
                <c:pt idx="35">
                  <c:v>1</c:v>
                </c:pt>
                <c:pt idx="36">
                  <c:v>1</c:v>
                </c:pt>
                <c:pt idx="37">
                  <c:v>0</c:v>
                </c:pt>
                <c:pt idx="38">
                  <c:v>0</c:v>
                </c:pt>
                <c:pt idx="39">
                  <c:v>1</c:v>
                </c:pt>
                <c:pt idx="40">
                  <c:v>1</c:v>
                </c:pt>
                <c:pt idx="41">
                  <c:v>1</c:v>
                </c:pt>
                <c:pt idx="42">
                  <c:v>0</c:v>
                </c:pt>
                <c:pt idx="43">
                  <c:v>1</c:v>
                </c:pt>
                <c:pt idx="44">
                  <c:v>1</c:v>
                </c:pt>
                <c:pt idx="45">
                  <c:v>1</c:v>
                </c:pt>
                <c:pt idx="46">
                  <c:v>1</c:v>
                </c:pt>
                <c:pt idx="47">
                  <c:v>1</c:v>
                </c:pt>
                <c:pt idx="48">
                  <c:v>1</c:v>
                </c:pt>
                <c:pt idx="49">
                  <c:v>1</c:v>
                </c:pt>
                <c:pt idx="50">
                  <c:v>1</c:v>
                </c:pt>
                <c:pt idx="51">
                  <c:v>0</c:v>
                </c:pt>
                <c:pt idx="52">
                  <c:v>1</c:v>
                </c:pt>
                <c:pt idx="53">
                  <c:v>0</c:v>
                </c:pt>
                <c:pt idx="54">
                  <c:v>1</c:v>
                </c:pt>
                <c:pt idx="55">
                  <c:v>1</c:v>
                </c:pt>
                <c:pt idx="56">
                  <c:v>0</c:v>
                </c:pt>
                <c:pt idx="57">
                  <c:v>0</c:v>
                </c:pt>
                <c:pt idx="58">
                  <c:v>1</c:v>
                </c:pt>
                <c:pt idx="59">
                  <c:v>0</c:v>
                </c:pt>
                <c:pt idx="60">
                  <c:v>1</c:v>
                </c:pt>
                <c:pt idx="61">
                  <c:v>1</c:v>
                </c:pt>
                <c:pt idx="62">
                  <c:v>0</c:v>
                </c:pt>
                <c:pt idx="63">
                  <c:v>0</c:v>
                </c:pt>
                <c:pt idx="64">
                  <c:v>0</c:v>
                </c:pt>
                <c:pt idx="65">
                  <c:v>1</c:v>
                </c:pt>
                <c:pt idx="66">
                  <c:v>1</c:v>
                </c:pt>
                <c:pt idx="67">
                  <c:v>0</c:v>
                </c:pt>
                <c:pt idx="68">
                  <c:v>1</c:v>
                </c:pt>
                <c:pt idx="69">
                  <c:v>0</c:v>
                </c:pt>
                <c:pt idx="70">
                  <c:v>1</c:v>
                </c:pt>
                <c:pt idx="71">
                  <c:v>1</c:v>
                </c:pt>
                <c:pt idx="72">
                  <c:v>1</c:v>
                </c:pt>
                <c:pt idx="73">
                  <c:v>0</c:v>
                </c:pt>
                <c:pt idx="74">
                  <c:v>0</c:v>
                </c:pt>
                <c:pt idx="75">
                  <c:v>1</c:v>
                </c:pt>
                <c:pt idx="76">
                  <c:v>1</c:v>
                </c:pt>
                <c:pt idx="77">
                  <c:v>0</c:v>
                </c:pt>
                <c:pt idx="78">
                  <c:v>1</c:v>
                </c:pt>
                <c:pt idx="79">
                  <c:v>1</c:v>
                </c:pt>
                <c:pt idx="80">
                  <c:v>0</c:v>
                </c:pt>
                <c:pt idx="81">
                  <c:v>0</c:v>
                </c:pt>
                <c:pt idx="82">
                  <c:v>1</c:v>
                </c:pt>
                <c:pt idx="83">
                  <c:v>1</c:v>
                </c:pt>
                <c:pt idx="84">
                  <c:v>1</c:v>
                </c:pt>
                <c:pt idx="85">
                  <c:v>0</c:v>
                </c:pt>
                <c:pt idx="86">
                  <c:v>1</c:v>
                </c:pt>
                <c:pt idx="87">
                  <c:v>1</c:v>
                </c:pt>
                <c:pt idx="88">
                  <c:v>1</c:v>
                </c:pt>
                <c:pt idx="89">
                  <c:v>0</c:v>
                </c:pt>
              </c:numCache>
            </c:numRef>
          </c:val>
          <c:extLst>
            <c:ext xmlns:c16="http://schemas.microsoft.com/office/drawing/2014/chart" uri="{C3380CC4-5D6E-409C-BE32-E72D297353CC}">
              <c16:uniqueId val="{00000005-1A92-4A55-AADC-49A1A48F5C91}"/>
            </c:ext>
          </c:extLst>
        </c:ser>
        <c:ser>
          <c:idx val="6"/>
          <c:order val="6"/>
          <c:tx>
            <c:strRef>
              <c:f>Coding!$W$1</c:f>
              <c:strCache>
                <c:ptCount val="1"/>
                <c:pt idx="0">
                  <c:v>Acceptance/ Rejection</c:v>
                </c:pt>
              </c:strCache>
            </c:strRef>
          </c:tx>
          <c:spPr>
            <a:solidFill>
              <a:schemeClr val="accent1">
                <a:lumMod val="60000"/>
              </a:schemeClr>
            </a:solidFill>
            <a:ln>
              <a:noFill/>
            </a:ln>
            <a:effectLst/>
          </c:spPr>
          <c:invertIfNegative val="0"/>
          <c:val>
            <c:numRef>
              <c:f>Coding!$W$2:$W$91</c:f>
              <c:numCache>
                <c:formatCode>General</c:formatCode>
                <c:ptCount val="90"/>
                <c:pt idx="0">
                  <c:v>0</c:v>
                </c:pt>
                <c:pt idx="1">
                  <c:v>0</c:v>
                </c:pt>
                <c:pt idx="2">
                  <c:v>0</c:v>
                </c:pt>
                <c:pt idx="3">
                  <c:v>0</c:v>
                </c:pt>
                <c:pt idx="4">
                  <c:v>0</c:v>
                </c:pt>
                <c:pt idx="5">
                  <c:v>0</c:v>
                </c:pt>
                <c:pt idx="6">
                  <c:v>0</c:v>
                </c:pt>
                <c:pt idx="7">
                  <c:v>0</c:v>
                </c:pt>
                <c:pt idx="8">
                  <c:v>0</c:v>
                </c:pt>
                <c:pt idx="9">
                  <c:v>1</c:v>
                </c:pt>
                <c:pt idx="10">
                  <c:v>0</c:v>
                </c:pt>
                <c:pt idx="11">
                  <c:v>0</c:v>
                </c:pt>
                <c:pt idx="12">
                  <c:v>1</c:v>
                </c:pt>
                <c:pt idx="13">
                  <c:v>0</c:v>
                </c:pt>
                <c:pt idx="14">
                  <c:v>1</c:v>
                </c:pt>
                <c:pt idx="15">
                  <c:v>0</c:v>
                </c:pt>
                <c:pt idx="16">
                  <c:v>1</c:v>
                </c:pt>
                <c:pt idx="17">
                  <c:v>0</c:v>
                </c:pt>
                <c:pt idx="18">
                  <c:v>1</c:v>
                </c:pt>
                <c:pt idx="19">
                  <c:v>0</c:v>
                </c:pt>
                <c:pt idx="20">
                  <c:v>0</c:v>
                </c:pt>
                <c:pt idx="21">
                  <c:v>0</c:v>
                </c:pt>
                <c:pt idx="22">
                  <c:v>1</c:v>
                </c:pt>
                <c:pt idx="23">
                  <c:v>1</c:v>
                </c:pt>
                <c:pt idx="24">
                  <c:v>0</c:v>
                </c:pt>
                <c:pt idx="25">
                  <c:v>0</c:v>
                </c:pt>
                <c:pt idx="26">
                  <c:v>1</c:v>
                </c:pt>
                <c:pt idx="27">
                  <c:v>1</c:v>
                </c:pt>
                <c:pt idx="28">
                  <c:v>0</c:v>
                </c:pt>
                <c:pt idx="29">
                  <c:v>1</c:v>
                </c:pt>
                <c:pt idx="30">
                  <c:v>1</c:v>
                </c:pt>
                <c:pt idx="31">
                  <c:v>0</c:v>
                </c:pt>
                <c:pt idx="32">
                  <c:v>0</c:v>
                </c:pt>
                <c:pt idx="33">
                  <c:v>0</c:v>
                </c:pt>
                <c:pt idx="34">
                  <c:v>0</c:v>
                </c:pt>
                <c:pt idx="35">
                  <c:v>0</c:v>
                </c:pt>
                <c:pt idx="36">
                  <c:v>0</c:v>
                </c:pt>
                <c:pt idx="37">
                  <c:v>0</c:v>
                </c:pt>
                <c:pt idx="38">
                  <c:v>1</c:v>
                </c:pt>
                <c:pt idx="39">
                  <c:v>1</c:v>
                </c:pt>
                <c:pt idx="40">
                  <c:v>1</c:v>
                </c:pt>
                <c:pt idx="41">
                  <c:v>0</c:v>
                </c:pt>
                <c:pt idx="42">
                  <c:v>0</c:v>
                </c:pt>
                <c:pt idx="43">
                  <c:v>1</c:v>
                </c:pt>
                <c:pt idx="44">
                  <c:v>0</c:v>
                </c:pt>
                <c:pt idx="45">
                  <c:v>0</c:v>
                </c:pt>
                <c:pt idx="46">
                  <c:v>0</c:v>
                </c:pt>
                <c:pt idx="47">
                  <c:v>0</c:v>
                </c:pt>
                <c:pt idx="48">
                  <c:v>1</c:v>
                </c:pt>
                <c:pt idx="49">
                  <c:v>1</c:v>
                </c:pt>
                <c:pt idx="50">
                  <c:v>0</c:v>
                </c:pt>
                <c:pt idx="51">
                  <c:v>1</c:v>
                </c:pt>
                <c:pt idx="52">
                  <c:v>0</c:v>
                </c:pt>
                <c:pt idx="53">
                  <c:v>1</c:v>
                </c:pt>
                <c:pt idx="54">
                  <c:v>0</c:v>
                </c:pt>
                <c:pt idx="55">
                  <c:v>0</c:v>
                </c:pt>
                <c:pt idx="56">
                  <c:v>1</c:v>
                </c:pt>
                <c:pt idx="57">
                  <c:v>1</c:v>
                </c:pt>
                <c:pt idx="58">
                  <c:v>0</c:v>
                </c:pt>
                <c:pt idx="59">
                  <c:v>0</c:v>
                </c:pt>
                <c:pt idx="60">
                  <c:v>0</c:v>
                </c:pt>
                <c:pt idx="61">
                  <c:v>0</c:v>
                </c:pt>
                <c:pt idx="62">
                  <c:v>1</c:v>
                </c:pt>
                <c:pt idx="63">
                  <c:v>0</c:v>
                </c:pt>
                <c:pt idx="64">
                  <c:v>1</c:v>
                </c:pt>
                <c:pt idx="65">
                  <c:v>1</c:v>
                </c:pt>
                <c:pt idx="66">
                  <c:v>0</c:v>
                </c:pt>
                <c:pt idx="67">
                  <c:v>0</c:v>
                </c:pt>
                <c:pt idx="68">
                  <c:v>0</c:v>
                </c:pt>
                <c:pt idx="69">
                  <c:v>0</c:v>
                </c:pt>
                <c:pt idx="70">
                  <c:v>0</c:v>
                </c:pt>
                <c:pt idx="71">
                  <c:v>0</c:v>
                </c:pt>
                <c:pt idx="72">
                  <c:v>0</c:v>
                </c:pt>
                <c:pt idx="73">
                  <c:v>1</c:v>
                </c:pt>
                <c:pt idx="74">
                  <c:v>0</c:v>
                </c:pt>
                <c:pt idx="75">
                  <c:v>0</c:v>
                </c:pt>
                <c:pt idx="76">
                  <c:v>0</c:v>
                </c:pt>
                <c:pt idx="77">
                  <c:v>1</c:v>
                </c:pt>
                <c:pt idx="78">
                  <c:v>0</c:v>
                </c:pt>
                <c:pt idx="79">
                  <c:v>0</c:v>
                </c:pt>
                <c:pt idx="80">
                  <c:v>0</c:v>
                </c:pt>
                <c:pt idx="81">
                  <c:v>0</c:v>
                </c:pt>
                <c:pt idx="82">
                  <c:v>0</c:v>
                </c:pt>
                <c:pt idx="83">
                  <c:v>1</c:v>
                </c:pt>
                <c:pt idx="84">
                  <c:v>1</c:v>
                </c:pt>
                <c:pt idx="85">
                  <c:v>0</c:v>
                </c:pt>
                <c:pt idx="86">
                  <c:v>0</c:v>
                </c:pt>
                <c:pt idx="87">
                  <c:v>0</c:v>
                </c:pt>
                <c:pt idx="88">
                  <c:v>1</c:v>
                </c:pt>
                <c:pt idx="89">
                  <c:v>0</c:v>
                </c:pt>
              </c:numCache>
            </c:numRef>
          </c:val>
          <c:extLst>
            <c:ext xmlns:c16="http://schemas.microsoft.com/office/drawing/2014/chart" uri="{C3380CC4-5D6E-409C-BE32-E72D297353CC}">
              <c16:uniqueId val="{00000006-1A92-4A55-AADC-49A1A48F5C91}"/>
            </c:ext>
          </c:extLst>
        </c:ser>
        <c:ser>
          <c:idx val="7"/>
          <c:order val="7"/>
          <c:tx>
            <c:strRef>
              <c:f>Coding!$X$1</c:f>
              <c:strCache>
                <c:ptCount val="1"/>
                <c:pt idx="0">
                  <c:v>Deliberation</c:v>
                </c:pt>
              </c:strCache>
            </c:strRef>
          </c:tx>
          <c:spPr>
            <a:solidFill>
              <a:schemeClr val="accent2">
                <a:lumMod val="60000"/>
              </a:schemeClr>
            </a:solidFill>
            <a:ln>
              <a:noFill/>
            </a:ln>
            <a:effectLst/>
          </c:spPr>
          <c:invertIfNegative val="0"/>
          <c:val>
            <c:numRef>
              <c:f>Coding!$X$2:$X$91</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c:v>
                </c:pt>
                <c:pt idx="32">
                  <c:v>0</c:v>
                </c:pt>
                <c:pt idx="33">
                  <c:v>1</c:v>
                </c:pt>
                <c:pt idx="34">
                  <c:v>0</c:v>
                </c:pt>
                <c:pt idx="35">
                  <c:v>0</c:v>
                </c:pt>
                <c:pt idx="36">
                  <c:v>0</c:v>
                </c:pt>
                <c:pt idx="37">
                  <c:v>1</c:v>
                </c:pt>
                <c:pt idx="38">
                  <c:v>0</c:v>
                </c:pt>
                <c:pt idx="39">
                  <c:v>0</c:v>
                </c:pt>
                <c:pt idx="40">
                  <c:v>0</c:v>
                </c:pt>
                <c:pt idx="41">
                  <c:v>1</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1</c:v>
                </c:pt>
                <c:pt idx="83">
                  <c:v>0</c:v>
                </c:pt>
                <c:pt idx="84">
                  <c:v>1</c:v>
                </c:pt>
                <c:pt idx="85">
                  <c:v>0</c:v>
                </c:pt>
                <c:pt idx="86">
                  <c:v>0</c:v>
                </c:pt>
                <c:pt idx="87">
                  <c:v>0</c:v>
                </c:pt>
                <c:pt idx="88">
                  <c:v>0</c:v>
                </c:pt>
                <c:pt idx="89">
                  <c:v>0</c:v>
                </c:pt>
              </c:numCache>
            </c:numRef>
          </c:val>
          <c:extLst>
            <c:ext xmlns:c16="http://schemas.microsoft.com/office/drawing/2014/chart" uri="{C3380CC4-5D6E-409C-BE32-E72D297353CC}">
              <c16:uniqueId val="{00000007-1A92-4A55-AADC-49A1A48F5C91}"/>
            </c:ext>
          </c:extLst>
        </c:ser>
        <c:dLbls>
          <c:showLegendKey val="0"/>
          <c:showVal val="0"/>
          <c:showCatName val="0"/>
          <c:showSerName val="0"/>
          <c:showPercent val="0"/>
          <c:showBubbleSize val="0"/>
        </c:dLbls>
        <c:gapWidth val="150"/>
        <c:overlap val="100"/>
        <c:axId val="5906239"/>
        <c:axId val="1731411504"/>
      </c:barChart>
      <c:catAx>
        <c:axId val="590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Prompt (human turn) number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31411504"/>
        <c:crosses val="autoZero"/>
        <c:auto val="1"/>
        <c:lblAlgn val="ctr"/>
        <c:lblOffset val="100"/>
        <c:tickLblSkip val="10"/>
        <c:noMultiLvlLbl val="0"/>
      </c:catAx>
      <c:valAx>
        <c:axId val="1731411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Number of interaction types coded</a:t>
                </a:r>
                <a:endParaRPr lang="en-GB"/>
              </a:p>
            </c:rich>
          </c:tx>
          <c:layout>
            <c:manualLayout>
              <c:xMode val="edge"/>
              <c:yMode val="edge"/>
              <c:x val="1.4010991334637022E-2"/>
              <c:y val="0.223881146368361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906239"/>
        <c:crosses val="autoZero"/>
        <c:crossBetween val="between"/>
      </c:valAx>
      <c:spPr>
        <a:noFill/>
        <a:ln>
          <a:noFill/>
        </a:ln>
        <a:effectLst/>
      </c:spPr>
    </c:plotArea>
    <c:legend>
      <c:legendPos val="t"/>
      <c:layout>
        <c:manualLayout>
          <c:xMode val="edge"/>
          <c:yMode val="edge"/>
          <c:x val="0.26380600550559641"/>
          <c:y val="2.6459141807110773E-2"/>
          <c:w val="0.6374062087936806"/>
          <c:h val="0.152871337735319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Coding!$P$1</c:f>
              <c:strCache>
                <c:ptCount val="1"/>
                <c:pt idx="0">
                  <c:v>sum</c:v>
                </c:pt>
              </c:strCache>
            </c:strRef>
          </c:tx>
          <c:spPr>
            <a:ln w="28575" cap="rnd">
              <a:solidFill>
                <a:schemeClr val="accent1"/>
              </a:solidFill>
              <a:round/>
            </a:ln>
            <a:effectLst/>
          </c:spPr>
          <c:marker>
            <c:symbol val="none"/>
          </c:marker>
          <c:val>
            <c:numRef>
              <c:f>Coding!$P$2:$P$93</c:f>
              <c:numCache>
                <c:formatCode>General</c:formatCode>
                <c:ptCount val="92"/>
                <c:pt idx="0">
                  <c:v>2</c:v>
                </c:pt>
                <c:pt idx="1">
                  <c:v>6</c:v>
                </c:pt>
                <c:pt idx="2">
                  <c:v>2</c:v>
                </c:pt>
                <c:pt idx="3">
                  <c:v>4</c:v>
                </c:pt>
                <c:pt idx="4">
                  <c:v>2</c:v>
                </c:pt>
                <c:pt idx="5">
                  <c:v>7</c:v>
                </c:pt>
                <c:pt idx="6">
                  <c:v>2</c:v>
                </c:pt>
                <c:pt idx="7">
                  <c:v>2</c:v>
                </c:pt>
                <c:pt idx="8">
                  <c:v>3</c:v>
                </c:pt>
                <c:pt idx="9">
                  <c:v>5</c:v>
                </c:pt>
                <c:pt idx="10">
                  <c:v>2</c:v>
                </c:pt>
                <c:pt idx="11">
                  <c:v>3</c:v>
                </c:pt>
                <c:pt idx="12">
                  <c:v>5</c:v>
                </c:pt>
                <c:pt idx="13">
                  <c:v>2</c:v>
                </c:pt>
                <c:pt idx="14">
                  <c:v>3</c:v>
                </c:pt>
                <c:pt idx="15">
                  <c:v>3</c:v>
                </c:pt>
                <c:pt idx="16">
                  <c:v>4</c:v>
                </c:pt>
                <c:pt idx="17">
                  <c:v>4</c:v>
                </c:pt>
                <c:pt idx="18">
                  <c:v>4</c:v>
                </c:pt>
                <c:pt idx="19">
                  <c:v>4</c:v>
                </c:pt>
                <c:pt idx="20">
                  <c:v>4</c:v>
                </c:pt>
                <c:pt idx="21">
                  <c:v>3</c:v>
                </c:pt>
                <c:pt idx="22">
                  <c:v>5</c:v>
                </c:pt>
                <c:pt idx="23">
                  <c:v>2</c:v>
                </c:pt>
                <c:pt idx="24">
                  <c:v>5</c:v>
                </c:pt>
                <c:pt idx="25">
                  <c:v>5</c:v>
                </c:pt>
                <c:pt idx="26">
                  <c:v>3</c:v>
                </c:pt>
                <c:pt idx="27">
                  <c:v>5</c:v>
                </c:pt>
                <c:pt idx="28">
                  <c:v>4</c:v>
                </c:pt>
                <c:pt idx="29">
                  <c:v>5</c:v>
                </c:pt>
                <c:pt idx="30">
                  <c:v>3</c:v>
                </c:pt>
                <c:pt idx="31">
                  <c:v>7</c:v>
                </c:pt>
                <c:pt idx="32">
                  <c:v>3</c:v>
                </c:pt>
                <c:pt idx="33">
                  <c:v>5</c:v>
                </c:pt>
                <c:pt idx="34">
                  <c:v>2</c:v>
                </c:pt>
                <c:pt idx="35">
                  <c:v>3</c:v>
                </c:pt>
                <c:pt idx="36">
                  <c:v>5</c:v>
                </c:pt>
                <c:pt idx="37">
                  <c:v>4</c:v>
                </c:pt>
                <c:pt idx="38">
                  <c:v>3</c:v>
                </c:pt>
                <c:pt idx="39">
                  <c:v>4</c:v>
                </c:pt>
                <c:pt idx="40">
                  <c:v>4</c:v>
                </c:pt>
                <c:pt idx="41">
                  <c:v>7</c:v>
                </c:pt>
                <c:pt idx="42">
                  <c:v>3</c:v>
                </c:pt>
                <c:pt idx="43">
                  <c:v>5</c:v>
                </c:pt>
                <c:pt idx="44">
                  <c:v>3</c:v>
                </c:pt>
                <c:pt idx="45">
                  <c:v>4</c:v>
                </c:pt>
                <c:pt idx="46">
                  <c:v>3</c:v>
                </c:pt>
                <c:pt idx="47">
                  <c:v>5</c:v>
                </c:pt>
                <c:pt idx="48">
                  <c:v>5</c:v>
                </c:pt>
                <c:pt idx="49">
                  <c:v>5</c:v>
                </c:pt>
                <c:pt idx="50">
                  <c:v>4</c:v>
                </c:pt>
                <c:pt idx="51">
                  <c:v>6</c:v>
                </c:pt>
                <c:pt idx="52">
                  <c:v>4</c:v>
                </c:pt>
                <c:pt idx="53">
                  <c:v>2</c:v>
                </c:pt>
                <c:pt idx="54">
                  <c:v>4</c:v>
                </c:pt>
                <c:pt idx="55">
                  <c:v>5</c:v>
                </c:pt>
                <c:pt idx="56">
                  <c:v>3</c:v>
                </c:pt>
                <c:pt idx="57">
                  <c:v>3</c:v>
                </c:pt>
                <c:pt idx="58">
                  <c:v>4</c:v>
                </c:pt>
                <c:pt idx="59">
                  <c:v>4</c:v>
                </c:pt>
                <c:pt idx="60">
                  <c:v>4</c:v>
                </c:pt>
                <c:pt idx="61">
                  <c:v>4</c:v>
                </c:pt>
                <c:pt idx="62">
                  <c:v>3</c:v>
                </c:pt>
                <c:pt idx="63">
                  <c:v>2</c:v>
                </c:pt>
                <c:pt idx="64">
                  <c:v>3</c:v>
                </c:pt>
                <c:pt idx="65">
                  <c:v>5</c:v>
                </c:pt>
                <c:pt idx="66">
                  <c:v>4</c:v>
                </c:pt>
                <c:pt idx="67">
                  <c:v>3</c:v>
                </c:pt>
                <c:pt idx="68">
                  <c:v>3</c:v>
                </c:pt>
                <c:pt idx="69">
                  <c:v>2</c:v>
                </c:pt>
                <c:pt idx="70">
                  <c:v>4</c:v>
                </c:pt>
                <c:pt idx="71">
                  <c:v>4</c:v>
                </c:pt>
                <c:pt idx="72">
                  <c:v>4</c:v>
                </c:pt>
                <c:pt idx="73">
                  <c:v>2</c:v>
                </c:pt>
                <c:pt idx="74">
                  <c:v>4</c:v>
                </c:pt>
                <c:pt idx="75">
                  <c:v>3</c:v>
                </c:pt>
                <c:pt idx="76">
                  <c:v>3</c:v>
                </c:pt>
                <c:pt idx="77">
                  <c:v>2</c:v>
                </c:pt>
                <c:pt idx="78">
                  <c:v>3</c:v>
                </c:pt>
                <c:pt idx="79">
                  <c:v>3</c:v>
                </c:pt>
                <c:pt idx="80">
                  <c:v>2</c:v>
                </c:pt>
                <c:pt idx="81">
                  <c:v>2</c:v>
                </c:pt>
                <c:pt idx="82">
                  <c:v>6</c:v>
                </c:pt>
                <c:pt idx="83">
                  <c:v>8</c:v>
                </c:pt>
                <c:pt idx="84">
                  <c:v>7</c:v>
                </c:pt>
                <c:pt idx="85">
                  <c:v>4</c:v>
                </c:pt>
                <c:pt idx="86">
                  <c:v>5</c:v>
                </c:pt>
                <c:pt idx="87">
                  <c:v>4</c:v>
                </c:pt>
                <c:pt idx="88">
                  <c:v>8</c:v>
                </c:pt>
                <c:pt idx="89">
                  <c:v>4</c:v>
                </c:pt>
              </c:numCache>
            </c:numRef>
          </c:val>
          <c:smooth val="0"/>
          <c:extLst>
            <c:ext xmlns:c16="http://schemas.microsoft.com/office/drawing/2014/chart" uri="{C3380CC4-5D6E-409C-BE32-E72D297353CC}">
              <c16:uniqueId val="{00000000-D62F-4726-8C19-3C420BECB3E6}"/>
            </c:ext>
          </c:extLst>
        </c:ser>
        <c:dLbls>
          <c:showLegendKey val="0"/>
          <c:showVal val="0"/>
          <c:showCatName val="0"/>
          <c:showSerName val="0"/>
          <c:showPercent val="0"/>
          <c:showBubbleSize val="0"/>
        </c:dLbls>
        <c:smooth val="0"/>
        <c:axId val="469079183"/>
        <c:axId val="312529647"/>
      </c:lineChart>
      <c:catAx>
        <c:axId val="4690791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529647"/>
        <c:crosses val="autoZero"/>
        <c:auto val="1"/>
        <c:lblAlgn val="ctr"/>
        <c:lblOffset val="100"/>
        <c:noMultiLvlLbl val="0"/>
      </c:catAx>
      <c:valAx>
        <c:axId val="31252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07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Coding!$Z$1</c:f>
              <c:strCache>
                <c:ptCount val="1"/>
                <c:pt idx="0">
                  <c:v>Subject-matter correction</c:v>
                </c:pt>
              </c:strCache>
            </c:strRef>
          </c:tx>
          <c:spPr>
            <a:solidFill>
              <a:schemeClr val="accent1"/>
            </a:solidFill>
            <a:ln>
              <a:noFill/>
            </a:ln>
            <a:effectLst/>
          </c:spPr>
          <c:invertIfNegative val="0"/>
          <c:val>
            <c:numRef>
              <c:f>Coding!$Z$2:$Z$91</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extLst>
            <c:ext xmlns:c16="http://schemas.microsoft.com/office/drawing/2014/chart" uri="{C3380CC4-5D6E-409C-BE32-E72D297353CC}">
              <c16:uniqueId val="{00000000-B7A8-48DC-BB1B-194371E3F22A}"/>
            </c:ext>
          </c:extLst>
        </c:ser>
        <c:ser>
          <c:idx val="1"/>
          <c:order val="1"/>
          <c:tx>
            <c:strRef>
              <c:f>Coding!$AA$1</c:f>
              <c:strCache>
                <c:ptCount val="1"/>
                <c:pt idx="0">
                  <c:v>Conceptual differentiation</c:v>
                </c:pt>
              </c:strCache>
            </c:strRef>
          </c:tx>
          <c:spPr>
            <a:solidFill>
              <a:schemeClr val="accent2"/>
            </a:solidFill>
            <a:ln>
              <a:noFill/>
            </a:ln>
            <a:effectLst/>
          </c:spPr>
          <c:invertIfNegative val="0"/>
          <c:val>
            <c:numRef>
              <c:f>Coding!$AA$2:$AA$91</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c:v>
                </c:pt>
                <c:pt idx="32">
                  <c:v>0</c:v>
                </c:pt>
                <c:pt idx="33">
                  <c:v>0</c:v>
                </c:pt>
                <c:pt idx="34">
                  <c:v>0</c:v>
                </c:pt>
                <c:pt idx="35">
                  <c:v>0</c:v>
                </c:pt>
                <c:pt idx="36">
                  <c:v>1</c:v>
                </c:pt>
                <c:pt idx="37">
                  <c:v>1</c:v>
                </c:pt>
                <c:pt idx="38">
                  <c:v>0</c:v>
                </c:pt>
                <c:pt idx="39">
                  <c:v>0</c:v>
                </c:pt>
                <c:pt idx="40">
                  <c:v>0</c:v>
                </c:pt>
                <c:pt idx="41">
                  <c:v>1</c:v>
                </c:pt>
                <c:pt idx="42">
                  <c:v>0</c:v>
                </c:pt>
                <c:pt idx="43">
                  <c:v>0</c:v>
                </c:pt>
                <c:pt idx="44">
                  <c:v>0</c:v>
                </c:pt>
                <c:pt idx="45">
                  <c:v>0</c:v>
                </c:pt>
                <c:pt idx="46">
                  <c:v>0</c:v>
                </c:pt>
                <c:pt idx="47">
                  <c:v>0</c:v>
                </c:pt>
                <c:pt idx="48">
                  <c:v>0</c:v>
                </c:pt>
                <c:pt idx="49">
                  <c:v>1</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1</c:v>
                </c:pt>
                <c:pt idx="73">
                  <c:v>0</c:v>
                </c:pt>
                <c:pt idx="74">
                  <c:v>0</c:v>
                </c:pt>
                <c:pt idx="75">
                  <c:v>0</c:v>
                </c:pt>
                <c:pt idx="76">
                  <c:v>0</c:v>
                </c:pt>
                <c:pt idx="77">
                  <c:v>0</c:v>
                </c:pt>
                <c:pt idx="78">
                  <c:v>0</c:v>
                </c:pt>
                <c:pt idx="79">
                  <c:v>0</c:v>
                </c:pt>
                <c:pt idx="80">
                  <c:v>0</c:v>
                </c:pt>
                <c:pt idx="81">
                  <c:v>0</c:v>
                </c:pt>
                <c:pt idx="82">
                  <c:v>0</c:v>
                </c:pt>
                <c:pt idx="83">
                  <c:v>0</c:v>
                </c:pt>
                <c:pt idx="84">
                  <c:v>1</c:v>
                </c:pt>
                <c:pt idx="85">
                  <c:v>0</c:v>
                </c:pt>
                <c:pt idx="86">
                  <c:v>0</c:v>
                </c:pt>
                <c:pt idx="87">
                  <c:v>0</c:v>
                </c:pt>
                <c:pt idx="88">
                  <c:v>1</c:v>
                </c:pt>
                <c:pt idx="89">
                  <c:v>0</c:v>
                </c:pt>
              </c:numCache>
            </c:numRef>
          </c:val>
          <c:extLst>
            <c:ext xmlns:c16="http://schemas.microsoft.com/office/drawing/2014/chart" uri="{C3380CC4-5D6E-409C-BE32-E72D297353CC}">
              <c16:uniqueId val="{00000001-B7A8-48DC-BB1B-194371E3F22A}"/>
            </c:ext>
          </c:extLst>
        </c:ser>
        <c:ser>
          <c:idx val="2"/>
          <c:order val="2"/>
          <c:tx>
            <c:strRef>
              <c:f>Coding!$AB$1</c:f>
              <c:strCache>
                <c:ptCount val="1"/>
                <c:pt idx="0">
                  <c:v>Evidence judgment</c:v>
                </c:pt>
              </c:strCache>
            </c:strRef>
          </c:tx>
          <c:spPr>
            <a:solidFill>
              <a:schemeClr val="accent3"/>
            </a:solidFill>
            <a:ln>
              <a:noFill/>
            </a:ln>
            <a:effectLst/>
          </c:spPr>
          <c:invertIfNegative val="0"/>
          <c:val>
            <c:numRef>
              <c:f>Coding!$AB$2:$AB$91</c:f>
              <c:numCache>
                <c:formatCode>General</c:formatCode>
                <c:ptCount val="90"/>
                <c:pt idx="0">
                  <c:v>0</c:v>
                </c:pt>
                <c:pt idx="1">
                  <c:v>0</c:v>
                </c:pt>
                <c:pt idx="2">
                  <c:v>0</c:v>
                </c:pt>
                <c:pt idx="3">
                  <c:v>0</c:v>
                </c:pt>
                <c:pt idx="4">
                  <c:v>0</c:v>
                </c:pt>
                <c:pt idx="5">
                  <c:v>1</c:v>
                </c:pt>
                <c:pt idx="6">
                  <c:v>0</c:v>
                </c:pt>
                <c:pt idx="7">
                  <c:v>1</c:v>
                </c:pt>
                <c:pt idx="8">
                  <c:v>0</c:v>
                </c:pt>
                <c:pt idx="9">
                  <c:v>1</c:v>
                </c:pt>
                <c:pt idx="10">
                  <c:v>0</c:v>
                </c:pt>
                <c:pt idx="11">
                  <c:v>1</c:v>
                </c:pt>
                <c:pt idx="12">
                  <c:v>1</c:v>
                </c:pt>
                <c:pt idx="13">
                  <c:v>1</c:v>
                </c:pt>
                <c:pt idx="14">
                  <c:v>1</c:v>
                </c:pt>
                <c:pt idx="15">
                  <c:v>1</c:v>
                </c:pt>
                <c:pt idx="16">
                  <c:v>1</c:v>
                </c:pt>
                <c:pt idx="17">
                  <c:v>1</c:v>
                </c:pt>
                <c:pt idx="18">
                  <c:v>0</c:v>
                </c:pt>
                <c:pt idx="19">
                  <c:v>0</c:v>
                </c:pt>
                <c:pt idx="20">
                  <c:v>0</c:v>
                </c:pt>
                <c:pt idx="21">
                  <c:v>0</c:v>
                </c:pt>
                <c:pt idx="22">
                  <c:v>0</c:v>
                </c:pt>
                <c:pt idx="23">
                  <c:v>0</c:v>
                </c:pt>
                <c:pt idx="24">
                  <c:v>1</c:v>
                </c:pt>
                <c:pt idx="25">
                  <c:v>0</c:v>
                </c:pt>
                <c:pt idx="26">
                  <c:v>0</c:v>
                </c:pt>
                <c:pt idx="27">
                  <c:v>0</c:v>
                </c:pt>
                <c:pt idx="28">
                  <c:v>0</c:v>
                </c:pt>
                <c:pt idx="29">
                  <c:v>0</c:v>
                </c:pt>
                <c:pt idx="30">
                  <c:v>0</c:v>
                </c:pt>
                <c:pt idx="31">
                  <c:v>0</c:v>
                </c:pt>
                <c:pt idx="32">
                  <c:v>1</c:v>
                </c:pt>
                <c:pt idx="33">
                  <c:v>0</c:v>
                </c:pt>
                <c:pt idx="34">
                  <c:v>1</c:v>
                </c:pt>
                <c:pt idx="35">
                  <c:v>1</c:v>
                </c:pt>
                <c:pt idx="36">
                  <c:v>0</c:v>
                </c:pt>
                <c:pt idx="37">
                  <c:v>0</c:v>
                </c:pt>
                <c:pt idx="38">
                  <c:v>0</c:v>
                </c:pt>
                <c:pt idx="39">
                  <c:v>1</c:v>
                </c:pt>
                <c:pt idx="40">
                  <c:v>1</c:v>
                </c:pt>
                <c:pt idx="41">
                  <c:v>0</c:v>
                </c:pt>
                <c:pt idx="42">
                  <c:v>0</c:v>
                </c:pt>
                <c:pt idx="43">
                  <c:v>0</c:v>
                </c:pt>
                <c:pt idx="44">
                  <c:v>0</c:v>
                </c:pt>
                <c:pt idx="45">
                  <c:v>1</c:v>
                </c:pt>
                <c:pt idx="46">
                  <c:v>0</c:v>
                </c:pt>
                <c:pt idx="47">
                  <c:v>1</c:v>
                </c:pt>
                <c:pt idx="48">
                  <c:v>0</c:v>
                </c:pt>
                <c:pt idx="49">
                  <c:v>0</c:v>
                </c:pt>
                <c:pt idx="50">
                  <c:v>1</c:v>
                </c:pt>
                <c:pt idx="51">
                  <c:v>0</c:v>
                </c:pt>
                <c:pt idx="52">
                  <c:v>0</c:v>
                </c:pt>
                <c:pt idx="53">
                  <c:v>0</c:v>
                </c:pt>
                <c:pt idx="54">
                  <c:v>0</c:v>
                </c:pt>
                <c:pt idx="55">
                  <c:v>1</c:v>
                </c:pt>
                <c:pt idx="56">
                  <c:v>0</c:v>
                </c:pt>
                <c:pt idx="57">
                  <c:v>0</c:v>
                </c:pt>
                <c:pt idx="58">
                  <c:v>1</c:v>
                </c:pt>
                <c:pt idx="59">
                  <c:v>1</c:v>
                </c:pt>
                <c:pt idx="60">
                  <c:v>1</c:v>
                </c:pt>
                <c:pt idx="61">
                  <c:v>1</c:v>
                </c:pt>
                <c:pt idx="62">
                  <c:v>0</c:v>
                </c:pt>
                <c:pt idx="63">
                  <c:v>1</c:v>
                </c:pt>
                <c:pt idx="64">
                  <c:v>0</c:v>
                </c:pt>
                <c:pt idx="65">
                  <c:v>1</c:v>
                </c:pt>
                <c:pt idx="66">
                  <c:v>1</c:v>
                </c:pt>
                <c:pt idx="67">
                  <c:v>1</c:v>
                </c:pt>
                <c:pt idx="68">
                  <c:v>1</c:v>
                </c:pt>
                <c:pt idx="69">
                  <c:v>0</c:v>
                </c:pt>
                <c:pt idx="70">
                  <c:v>0</c:v>
                </c:pt>
                <c:pt idx="71">
                  <c:v>0</c:v>
                </c:pt>
                <c:pt idx="72">
                  <c:v>1</c:v>
                </c:pt>
                <c:pt idx="73">
                  <c:v>0</c:v>
                </c:pt>
                <c:pt idx="74">
                  <c:v>0</c:v>
                </c:pt>
                <c:pt idx="75">
                  <c:v>0</c:v>
                </c:pt>
                <c:pt idx="76">
                  <c:v>0</c:v>
                </c:pt>
                <c:pt idx="77">
                  <c:v>0</c:v>
                </c:pt>
                <c:pt idx="78">
                  <c:v>0</c:v>
                </c:pt>
                <c:pt idx="79">
                  <c:v>0</c:v>
                </c:pt>
                <c:pt idx="80">
                  <c:v>0</c:v>
                </c:pt>
                <c:pt idx="81">
                  <c:v>0</c:v>
                </c:pt>
                <c:pt idx="82">
                  <c:v>0</c:v>
                </c:pt>
                <c:pt idx="83">
                  <c:v>1</c:v>
                </c:pt>
                <c:pt idx="84">
                  <c:v>0</c:v>
                </c:pt>
                <c:pt idx="85">
                  <c:v>0</c:v>
                </c:pt>
                <c:pt idx="86">
                  <c:v>0</c:v>
                </c:pt>
                <c:pt idx="87">
                  <c:v>0</c:v>
                </c:pt>
                <c:pt idx="88">
                  <c:v>0</c:v>
                </c:pt>
                <c:pt idx="89">
                  <c:v>0</c:v>
                </c:pt>
              </c:numCache>
            </c:numRef>
          </c:val>
          <c:extLst>
            <c:ext xmlns:c16="http://schemas.microsoft.com/office/drawing/2014/chart" uri="{C3380CC4-5D6E-409C-BE32-E72D297353CC}">
              <c16:uniqueId val="{00000002-B7A8-48DC-BB1B-194371E3F22A}"/>
            </c:ext>
          </c:extLst>
        </c:ser>
        <c:ser>
          <c:idx val="3"/>
          <c:order val="3"/>
          <c:tx>
            <c:strRef>
              <c:f>Coding!$AC$1</c:f>
              <c:strCache>
                <c:ptCount val="1"/>
                <c:pt idx="0">
                  <c:v>Methodological judgment</c:v>
                </c:pt>
              </c:strCache>
            </c:strRef>
          </c:tx>
          <c:spPr>
            <a:solidFill>
              <a:schemeClr val="accent4"/>
            </a:solidFill>
            <a:ln>
              <a:noFill/>
            </a:ln>
            <a:effectLst/>
          </c:spPr>
          <c:invertIfNegative val="0"/>
          <c:val>
            <c:numRef>
              <c:f>Coding!$AC$2:$AC$91</c:f>
              <c:numCache>
                <c:formatCode>General</c:formatCode>
                <c:ptCount val="90"/>
                <c:pt idx="0">
                  <c:v>0</c:v>
                </c:pt>
                <c:pt idx="1">
                  <c:v>1</c:v>
                </c:pt>
                <c:pt idx="2">
                  <c:v>0</c:v>
                </c:pt>
                <c:pt idx="3">
                  <c:v>0</c:v>
                </c:pt>
                <c:pt idx="4">
                  <c:v>0</c:v>
                </c:pt>
                <c:pt idx="5">
                  <c:v>0</c:v>
                </c:pt>
                <c:pt idx="6">
                  <c:v>0</c:v>
                </c:pt>
                <c:pt idx="7">
                  <c:v>0</c:v>
                </c:pt>
                <c:pt idx="8">
                  <c:v>0</c:v>
                </c:pt>
                <c:pt idx="9">
                  <c:v>0</c:v>
                </c:pt>
                <c:pt idx="10">
                  <c:v>0</c:v>
                </c:pt>
                <c:pt idx="11">
                  <c:v>0</c:v>
                </c:pt>
                <c:pt idx="12">
                  <c:v>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1</c:v>
                </c:pt>
                <c:pt idx="42">
                  <c:v>0</c:v>
                </c:pt>
                <c:pt idx="43">
                  <c:v>0</c:v>
                </c:pt>
                <c:pt idx="44">
                  <c:v>0</c:v>
                </c:pt>
                <c:pt idx="45">
                  <c:v>1</c:v>
                </c:pt>
                <c:pt idx="46">
                  <c:v>0</c:v>
                </c:pt>
                <c:pt idx="47">
                  <c:v>1</c:v>
                </c:pt>
                <c:pt idx="48">
                  <c:v>0</c:v>
                </c:pt>
                <c:pt idx="49">
                  <c:v>1</c:v>
                </c:pt>
                <c:pt idx="50">
                  <c:v>0</c:v>
                </c:pt>
                <c:pt idx="51">
                  <c:v>0</c:v>
                </c:pt>
                <c:pt idx="52">
                  <c:v>0</c:v>
                </c:pt>
                <c:pt idx="53">
                  <c:v>0</c:v>
                </c:pt>
                <c:pt idx="54">
                  <c:v>0</c:v>
                </c:pt>
                <c:pt idx="55">
                  <c:v>0</c:v>
                </c:pt>
                <c:pt idx="56">
                  <c:v>0</c:v>
                </c:pt>
                <c:pt idx="57">
                  <c:v>0</c:v>
                </c:pt>
                <c:pt idx="58">
                  <c:v>0</c:v>
                </c:pt>
                <c:pt idx="59">
                  <c:v>1</c:v>
                </c:pt>
                <c:pt idx="60">
                  <c:v>0</c:v>
                </c:pt>
                <c:pt idx="61">
                  <c:v>0</c:v>
                </c:pt>
                <c:pt idx="62">
                  <c:v>0</c:v>
                </c:pt>
                <c:pt idx="63">
                  <c:v>0</c:v>
                </c:pt>
                <c:pt idx="64">
                  <c:v>0</c:v>
                </c:pt>
                <c:pt idx="65">
                  <c:v>1</c:v>
                </c:pt>
                <c:pt idx="66">
                  <c:v>1</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1</c:v>
                </c:pt>
                <c:pt idx="83">
                  <c:v>1</c:v>
                </c:pt>
                <c:pt idx="84">
                  <c:v>0</c:v>
                </c:pt>
                <c:pt idx="85">
                  <c:v>0</c:v>
                </c:pt>
                <c:pt idx="86">
                  <c:v>0</c:v>
                </c:pt>
                <c:pt idx="87">
                  <c:v>0</c:v>
                </c:pt>
                <c:pt idx="88">
                  <c:v>1</c:v>
                </c:pt>
                <c:pt idx="89">
                  <c:v>0</c:v>
                </c:pt>
              </c:numCache>
            </c:numRef>
          </c:val>
          <c:extLst>
            <c:ext xmlns:c16="http://schemas.microsoft.com/office/drawing/2014/chart" uri="{C3380CC4-5D6E-409C-BE32-E72D297353CC}">
              <c16:uniqueId val="{00000003-B7A8-48DC-BB1B-194371E3F22A}"/>
            </c:ext>
          </c:extLst>
        </c:ser>
        <c:ser>
          <c:idx val="4"/>
          <c:order val="4"/>
          <c:tx>
            <c:strRef>
              <c:f>Coding!$AD$1</c:f>
              <c:strCache>
                <c:ptCount val="1"/>
                <c:pt idx="0">
                  <c:v>Argumentative judgment</c:v>
                </c:pt>
              </c:strCache>
            </c:strRef>
          </c:tx>
          <c:spPr>
            <a:solidFill>
              <a:schemeClr val="accent5"/>
            </a:solidFill>
            <a:ln>
              <a:noFill/>
            </a:ln>
            <a:effectLst/>
          </c:spPr>
          <c:invertIfNegative val="0"/>
          <c:val>
            <c:numRef>
              <c:f>Coding!$AD$2:$AD$91</c:f>
              <c:numCache>
                <c:formatCode>General</c:formatCode>
                <c:ptCount val="90"/>
                <c:pt idx="0">
                  <c:v>0</c:v>
                </c:pt>
                <c:pt idx="1">
                  <c:v>1</c:v>
                </c:pt>
                <c:pt idx="2">
                  <c:v>0</c:v>
                </c:pt>
                <c:pt idx="3">
                  <c:v>1</c:v>
                </c:pt>
                <c:pt idx="4">
                  <c:v>0</c:v>
                </c:pt>
                <c:pt idx="5">
                  <c:v>1</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pt idx="20">
                  <c:v>1</c:v>
                </c:pt>
                <c:pt idx="21">
                  <c:v>1</c:v>
                </c:pt>
                <c:pt idx="22">
                  <c:v>1</c:v>
                </c:pt>
                <c:pt idx="23">
                  <c:v>0</c:v>
                </c:pt>
                <c:pt idx="24">
                  <c:v>1</c:v>
                </c:pt>
                <c:pt idx="25">
                  <c:v>1</c:v>
                </c:pt>
                <c:pt idx="26">
                  <c:v>0</c:v>
                </c:pt>
                <c:pt idx="27">
                  <c:v>1</c:v>
                </c:pt>
                <c:pt idx="28">
                  <c:v>1</c:v>
                </c:pt>
                <c:pt idx="29">
                  <c:v>1</c:v>
                </c:pt>
                <c:pt idx="30">
                  <c:v>0</c:v>
                </c:pt>
                <c:pt idx="31">
                  <c:v>1</c:v>
                </c:pt>
                <c:pt idx="32">
                  <c:v>0</c:v>
                </c:pt>
                <c:pt idx="33">
                  <c:v>1</c:v>
                </c:pt>
                <c:pt idx="34">
                  <c:v>0</c:v>
                </c:pt>
                <c:pt idx="35">
                  <c:v>0</c:v>
                </c:pt>
                <c:pt idx="36">
                  <c:v>1</c:v>
                </c:pt>
                <c:pt idx="37">
                  <c:v>1</c:v>
                </c:pt>
                <c:pt idx="38">
                  <c:v>0</c:v>
                </c:pt>
                <c:pt idx="39">
                  <c:v>0</c:v>
                </c:pt>
                <c:pt idx="40">
                  <c:v>0</c:v>
                </c:pt>
                <c:pt idx="41">
                  <c:v>1</c:v>
                </c:pt>
                <c:pt idx="42">
                  <c:v>1</c:v>
                </c:pt>
                <c:pt idx="43">
                  <c:v>1</c:v>
                </c:pt>
                <c:pt idx="44">
                  <c:v>0</c:v>
                </c:pt>
                <c:pt idx="45">
                  <c:v>0</c:v>
                </c:pt>
                <c:pt idx="46">
                  <c:v>0</c:v>
                </c:pt>
                <c:pt idx="47">
                  <c:v>0</c:v>
                </c:pt>
                <c:pt idx="48">
                  <c:v>1</c:v>
                </c:pt>
                <c:pt idx="49">
                  <c:v>0</c:v>
                </c:pt>
                <c:pt idx="50">
                  <c:v>0</c:v>
                </c:pt>
                <c:pt idx="51">
                  <c:v>1</c:v>
                </c:pt>
                <c:pt idx="52">
                  <c:v>1</c:v>
                </c:pt>
                <c:pt idx="53">
                  <c:v>0</c:v>
                </c:pt>
                <c:pt idx="54">
                  <c:v>1</c:v>
                </c:pt>
                <c:pt idx="55">
                  <c:v>1</c:v>
                </c:pt>
                <c:pt idx="56">
                  <c:v>0</c:v>
                </c:pt>
                <c:pt idx="57">
                  <c:v>0</c:v>
                </c:pt>
                <c:pt idx="58">
                  <c:v>1</c:v>
                </c:pt>
                <c:pt idx="59">
                  <c:v>0</c:v>
                </c:pt>
                <c:pt idx="60">
                  <c:v>0</c:v>
                </c:pt>
                <c:pt idx="61">
                  <c:v>0</c:v>
                </c:pt>
                <c:pt idx="62">
                  <c:v>0</c:v>
                </c:pt>
                <c:pt idx="63">
                  <c:v>0</c:v>
                </c:pt>
                <c:pt idx="64">
                  <c:v>0</c:v>
                </c:pt>
                <c:pt idx="65">
                  <c:v>0</c:v>
                </c:pt>
                <c:pt idx="66">
                  <c:v>0</c:v>
                </c:pt>
                <c:pt idx="67">
                  <c:v>0</c:v>
                </c:pt>
                <c:pt idx="68">
                  <c:v>0</c:v>
                </c:pt>
                <c:pt idx="69">
                  <c:v>0</c:v>
                </c:pt>
                <c:pt idx="70">
                  <c:v>1</c:v>
                </c:pt>
                <c:pt idx="71">
                  <c:v>1</c:v>
                </c:pt>
                <c:pt idx="72">
                  <c:v>0</c:v>
                </c:pt>
                <c:pt idx="73">
                  <c:v>0</c:v>
                </c:pt>
                <c:pt idx="74">
                  <c:v>1</c:v>
                </c:pt>
                <c:pt idx="75">
                  <c:v>0</c:v>
                </c:pt>
                <c:pt idx="76">
                  <c:v>0</c:v>
                </c:pt>
                <c:pt idx="77">
                  <c:v>0</c:v>
                </c:pt>
                <c:pt idx="78">
                  <c:v>0</c:v>
                </c:pt>
                <c:pt idx="79">
                  <c:v>0</c:v>
                </c:pt>
                <c:pt idx="80">
                  <c:v>0</c:v>
                </c:pt>
                <c:pt idx="81">
                  <c:v>0</c:v>
                </c:pt>
                <c:pt idx="82">
                  <c:v>1</c:v>
                </c:pt>
                <c:pt idx="83">
                  <c:v>1</c:v>
                </c:pt>
                <c:pt idx="84">
                  <c:v>1</c:v>
                </c:pt>
                <c:pt idx="85">
                  <c:v>1</c:v>
                </c:pt>
                <c:pt idx="86">
                  <c:v>1</c:v>
                </c:pt>
                <c:pt idx="87">
                  <c:v>1</c:v>
                </c:pt>
                <c:pt idx="88">
                  <c:v>0</c:v>
                </c:pt>
                <c:pt idx="89">
                  <c:v>0</c:v>
                </c:pt>
              </c:numCache>
            </c:numRef>
          </c:val>
          <c:extLst>
            <c:ext xmlns:c16="http://schemas.microsoft.com/office/drawing/2014/chart" uri="{C3380CC4-5D6E-409C-BE32-E72D297353CC}">
              <c16:uniqueId val="{00000004-B7A8-48DC-BB1B-194371E3F22A}"/>
            </c:ext>
          </c:extLst>
        </c:ser>
        <c:ser>
          <c:idx val="5"/>
          <c:order val="5"/>
          <c:tx>
            <c:strRef>
              <c:f>Coding!$AE$1</c:f>
              <c:strCache>
                <c:ptCount val="1"/>
                <c:pt idx="0">
                  <c:v>Genre/ writing expertise</c:v>
                </c:pt>
              </c:strCache>
            </c:strRef>
          </c:tx>
          <c:spPr>
            <a:solidFill>
              <a:schemeClr val="accent6"/>
            </a:solidFill>
            <a:ln>
              <a:noFill/>
            </a:ln>
            <a:effectLst/>
          </c:spPr>
          <c:invertIfNegative val="0"/>
          <c:val>
            <c:numRef>
              <c:f>Coding!$AE$2:$AE$91</c:f>
              <c:numCache>
                <c:formatCode>General</c:formatCode>
                <c:ptCount val="90"/>
                <c:pt idx="0">
                  <c:v>0</c:v>
                </c:pt>
                <c:pt idx="1">
                  <c:v>1</c:v>
                </c:pt>
                <c:pt idx="2">
                  <c:v>1</c:v>
                </c:pt>
                <c:pt idx="3">
                  <c:v>1</c:v>
                </c:pt>
                <c:pt idx="4">
                  <c:v>0</c:v>
                </c:pt>
                <c:pt idx="5">
                  <c:v>1</c:v>
                </c:pt>
                <c:pt idx="6">
                  <c:v>1</c:v>
                </c:pt>
                <c:pt idx="7">
                  <c:v>0</c:v>
                </c:pt>
                <c:pt idx="8">
                  <c:v>0</c:v>
                </c:pt>
                <c:pt idx="9">
                  <c:v>0</c:v>
                </c:pt>
                <c:pt idx="10">
                  <c:v>0</c:v>
                </c:pt>
                <c:pt idx="11">
                  <c:v>1</c:v>
                </c:pt>
                <c:pt idx="12">
                  <c:v>0</c:v>
                </c:pt>
                <c:pt idx="13">
                  <c:v>0</c:v>
                </c:pt>
                <c:pt idx="14">
                  <c:v>0</c:v>
                </c:pt>
                <c:pt idx="15">
                  <c:v>1</c:v>
                </c:pt>
                <c:pt idx="16">
                  <c:v>0</c:v>
                </c:pt>
                <c:pt idx="17">
                  <c:v>0</c:v>
                </c:pt>
                <c:pt idx="18">
                  <c:v>1</c:v>
                </c:pt>
                <c:pt idx="19">
                  <c:v>1</c:v>
                </c:pt>
                <c:pt idx="20">
                  <c:v>1</c:v>
                </c:pt>
                <c:pt idx="21">
                  <c:v>0</c:v>
                </c:pt>
                <c:pt idx="22">
                  <c:v>1</c:v>
                </c:pt>
                <c:pt idx="23">
                  <c:v>0</c:v>
                </c:pt>
                <c:pt idx="24">
                  <c:v>1</c:v>
                </c:pt>
                <c:pt idx="25">
                  <c:v>1</c:v>
                </c:pt>
                <c:pt idx="26">
                  <c:v>1</c:v>
                </c:pt>
                <c:pt idx="27">
                  <c:v>1</c:v>
                </c:pt>
                <c:pt idx="28">
                  <c:v>1</c:v>
                </c:pt>
                <c:pt idx="29">
                  <c:v>1</c:v>
                </c:pt>
                <c:pt idx="30">
                  <c:v>1</c:v>
                </c:pt>
                <c:pt idx="31">
                  <c:v>1</c:v>
                </c:pt>
                <c:pt idx="32">
                  <c:v>0</c:v>
                </c:pt>
                <c:pt idx="33">
                  <c:v>1</c:v>
                </c:pt>
                <c:pt idx="34">
                  <c:v>0</c:v>
                </c:pt>
                <c:pt idx="35">
                  <c:v>0</c:v>
                </c:pt>
                <c:pt idx="36">
                  <c:v>0</c:v>
                </c:pt>
                <c:pt idx="37">
                  <c:v>0</c:v>
                </c:pt>
                <c:pt idx="38">
                  <c:v>0</c:v>
                </c:pt>
                <c:pt idx="39">
                  <c:v>0</c:v>
                </c:pt>
                <c:pt idx="40">
                  <c:v>0</c:v>
                </c:pt>
                <c:pt idx="41">
                  <c:v>0</c:v>
                </c:pt>
                <c:pt idx="42">
                  <c:v>1</c:v>
                </c:pt>
                <c:pt idx="43">
                  <c:v>1</c:v>
                </c:pt>
                <c:pt idx="44">
                  <c:v>1</c:v>
                </c:pt>
                <c:pt idx="45">
                  <c:v>0</c:v>
                </c:pt>
                <c:pt idx="46">
                  <c:v>0</c:v>
                </c:pt>
                <c:pt idx="47">
                  <c:v>0</c:v>
                </c:pt>
                <c:pt idx="48">
                  <c:v>1</c:v>
                </c:pt>
                <c:pt idx="49">
                  <c:v>0</c:v>
                </c:pt>
                <c:pt idx="50">
                  <c:v>1</c:v>
                </c:pt>
                <c:pt idx="51">
                  <c:v>1</c:v>
                </c:pt>
                <c:pt idx="52">
                  <c:v>1</c:v>
                </c:pt>
                <c:pt idx="53">
                  <c:v>0</c:v>
                </c:pt>
                <c:pt idx="54">
                  <c:v>1</c:v>
                </c:pt>
                <c:pt idx="55">
                  <c:v>1</c:v>
                </c:pt>
                <c:pt idx="56">
                  <c:v>1</c:v>
                </c:pt>
                <c:pt idx="57">
                  <c:v>1</c:v>
                </c:pt>
                <c:pt idx="58">
                  <c:v>0</c:v>
                </c:pt>
                <c:pt idx="59">
                  <c:v>0</c:v>
                </c:pt>
                <c:pt idx="60">
                  <c:v>0</c:v>
                </c:pt>
                <c:pt idx="61">
                  <c:v>0</c:v>
                </c:pt>
                <c:pt idx="62">
                  <c:v>0</c:v>
                </c:pt>
                <c:pt idx="63">
                  <c:v>0</c:v>
                </c:pt>
                <c:pt idx="64">
                  <c:v>0</c:v>
                </c:pt>
                <c:pt idx="65">
                  <c:v>0</c:v>
                </c:pt>
                <c:pt idx="66">
                  <c:v>0</c:v>
                </c:pt>
                <c:pt idx="67">
                  <c:v>1</c:v>
                </c:pt>
                <c:pt idx="68">
                  <c:v>0</c:v>
                </c:pt>
                <c:pt idx="69">
                  <c:v>0</c:v>
                </c:pt>
                <c:pt idx="70">
                  <c:v>1</c:v>
                </c:pt>
                <c:pt idx="71">
                  <c:v>1</c:v>
                </c:pt>
                <c:pt idx="72">
                  <c:v>0</c:v>
                </c:pt>
                <c:pt idx="73">
                  <c:v>0</c:v>
                </c:pt>
                <c:pt idx="74">
                  <c:v>1</c:v>
                </c:pt>
                <c:pt idx="75">
                  <c:v>0</c:v>
                </c:pt>
                <c:pt idx="76">
                  <c:v>0</c:v>
                </c:pt>
                <c:pt idx="77">
                  <c:v>0</c:v>
                </c:pt>
                <c:pt idx="78">
                  <c:v>0</c:v>
                </c:pt>
                <c:pt idx="79">
                  <c:v>0</c:v>
                </c:pt>
                <c:pt idx="80">
                  <c:v>1</c:v>
                </c:pt>
                <c:pt idx="81">
                  <c:v>0</c:v>
                </c:pt>
                <c:pt idx="82">
                  <c:v>1</c:v>
                </c:pt>
                <c:pt idx="83">
                  <c:v>1</c:v>
                </c:pt>
                <c:pt idx="84">
                  <c:v>1</c:v>
                </c:pt>
                <c:pt idx="85">
                  <c:v>1</c:v>
                </c:pt>
                <c:pt idx="86">
                  <c:v>1</c:v>
                </c:pt>
                <c:pt idx="87">
                  <c:v>1</c:v>
                </c:pt>
                <c:pt idx="88">
                  <c:v>1</c:v>
                </c:pt>
                <c:pt idx="89">
                  <c:v>1</c:v>
                </c:pt>
              </c:numCache>
            </c:numRef>
          </c:val>
          <c:extLst>
            <c:ext xmlns:c16="http://schemas.microsoft.com/office/drawing/2014/chart" uri="{C3380CC4-5D6E-409C-BE32-E72D297353CC}">
              <c16:uniqueId val="{00000005-B7A8-48DC-BB1B-194371E3F22A}"/>
            </c:ext>
          </c:extLst>
        </c:ser>
        <c:dLbls>
          <c:showLegendKey val="0"/>
          <c:showVal val="0"/>
          <c:showCatName val="0"/>
          <c:showSerName val="0"/>
          <c:showPercent val="0"/>
          <c:showBubbleSize val="0"/>
        </c:dLbls>
        <c:gapWidth val="150"/>
        <c:overlap val="100"/>
        <c:axId val="5906239"/>
        <c:axId val="1731411504"/>
      </c:barChart>
      <c:catAx>
        <c:axId val="590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Prompt (human turn)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31411504"/>
        <c:crosses val="autoZero"/>
        <c:auto val="1"/>
        <c:lblAlgn val="ctr"/>
        <c:lblOffset val="100"/>
        <c:tickLblSkip val="10"/>
        <c:noMultiLvlLbl val="0"/>
      </c:catAx>
      <c:valAx>
        <c:axId val="1731411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Number of expertise-evidence categories coded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906239"/>
        <c:crosses val="autoZero"/>
        <c:crossBetween val="between"/>
        <c:majorUnit val="1"/>
        <c:min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19</xdr:col>
      <xdr:colOff>238686</xdr:colOff>
      <xdr:row>1</xdr:row>
      <xdr:rowOff>396689</xdr:rowOff>
    </xdr:from>
    <xdr:to>
      <xdr:col>24</xdr:col>
      <xdr:colOff>1168773</xdr:colOff>
      <xdr:row>6</xdr:row>
      <xdr:rowOff>251013</xdr:rowOff>
    </xdr:to>
    <xdr:graphicFrame macro="">
      <xdr:nvGraphicFramePr>
        <xdr:cNvPr id="2" name="Chart 1">
          <a:extLst>
            <a:ext uri="{FF2B5EF4-FFF2-40B4-BE49-F238E27FC236}">
              <a16:creationId xmlns:a16="http://schemas.microsoft.com/office/drawing/2014/main" id="{E925A8CE-7E07-C3E7-D5F2-3CF6D56A8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106453</xdr:colOff>
      <xdr:row>12</xdr:row>
      <xdr:rowOff>56029</xdr:rowOff>
    </xdr:from>
    <xdr:to>
      <xdr:col>21</xdr:col>
      <xdr:colOff>459440</xdr:colOff>
      <xdr:row>16</xdr:row>
      <xdr:rowOff>351863</xdr:rowOff>
    </xdr:to>
    <xdr:graphicFrame macro="">
      <xdr:nvGraphicFramePr>
        <xdr:cNvPr id="3" name="Chart 2">
          <a:extLst>
            <a:ext uri="{FF2B5EF4-FFF2-40B4-BE49-F238E27FC236}">
              <a16:creationId xmlns:a16="http://schemas.microsoft.com/office/drawing/2014/main" id="{D4E45CB4-E8EF-BC42-E3F3-F4274CBBD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152400</xdr:colOff>
      <xdr:row>1</xdr:row>
      <xdr:rowOff>479613</xdr:rowOff>
    </xdr:from>
    <xdr:to>
      <xdr:col>30</xdr:col>
      <xdr:colOff>1194547</xdr:colOff>
      <xdr:row>6</xdr:row>
      <xdr:rowOff>183778</xdr:rowOff>
    </xdr:to>
    <xdr:graphicFrame macro="">
      <xdr:nvGraphicFramePr>
        <xdr:cNvPr id="4" name="Chart 3">
          <a:extLst>
            <a:ext uri="{FF2B5EF4-FFF2-40B4-BE49-F238E27FC236}">
              <a16:creationId xmlns:a16="http://schemas.microsoft.com/office/drawing/2014/main" id="{6AA23042-070B-4741-A508-3FE30B65E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0.03782</cdr:x>
      <cdr:y>0.02931</cdr:y>
    </cdr:from>
    <cdr:to>
      <cdr:x>0.23013</cdr:x>
      <cdr:y>0.18106</cdr:y>
    </cdr:to>
    <cdr:sp macro="" textlink="">
      <cdr:nvSpPr>
        <cdr:cNvPr id="2" name="TextBox 1">
          <a:extLst xmlns:a="http://schemas.openxmlformats.org/drawingml/2006/main">
            <a:ext uri="{FF2B5EF4-FFF2-40B4-BE49-F238E27FC236}">
              <a16:creationId xmlns:a16="http://schemas.microsoft.com/office/drawing/2014/main" id="{BB2F6D27-E361-65F4-CFDC-BA4C5BD4C100}"/>
            </a:ext>
          </a:extLst>
        </cdr:cNvPr>
        <cdr:cNvSpPr txBox="1"/>
      </cdr:nvSpPr>
      <cdr:spPr>
        <a:xfrm xmlns:a="http://schemas.openxmlformats.org/drawingml/2006/main">
          <a:off x="308535" y="84418"/>
          <a:ext cx="1568824" cy="4370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b="1" kern="1200"/>
            <a:t>Prompt (interaction) types</a:t>
          </a:r>
        </a:p>
      </cdr:txBody>
    </cdr:sp>
  </cdr:relSizeAnchor>
</c:userShapes>
</file>

<file path=xl/drawings/drawing3.xml><?xml version="1.0" encoding="utf-8"?>
<c:userShapes xmlns:c="http://schemas.openxmlformats.org/drawingml/2006/chart">
  <cdr:relSizeAnchor xmlns:cdr="http://schemas.openxmlformats.org/drawingml/2006/chartDrawing">
    <cdr:from>
      <cdr:x>0.01274</cdr:x>
      <cdr:y>0.03366</cdr:y>
    </cdr:from>
    <cdr:to>
      <cdr:x>0.20244</cdr:x>
      <cdr:y>0.19376</cdr:y>
    </cdr:to>
    <cdr:sp macro="" textlink="">
      <cdr:nvSpPr>
        <cdr:cNvPr id="2" name="TextBox 1">
          <a:extLst xmlns:a="http://schemas.openxmlformats.org/drawingml/2006/main">
            <a:ext uri="{FF2B5EF4-FFF2-40B4-BE49-F238E27FC236}">
              <a16:creationId xmlns:a16="http://schemas.microsoft.com/office/drawing/2014/main" id="{DCD04B98-C698-E7E2-B8DC-73C8CC80152B}"/>
            </a:ext>
          </a:extLst>
        </cdr:cNvPr>
        <cdr:cNvSpPr txBox="1"/>
      </cdr:nvSpPr>
      <cdr:spPr>
        <a:xfrm xmlns:a="http://schemas.openxmlformats.org/drawingml/2006/main">
          <a:off x="105336" y="91887"/>
          <a:ext cx="1568824" cy="4370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t>Demonstrated human expertise types</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per2Coding" displayName="Paper2Coding" ref="A1:AF91" totalsRowShown="0">
  <tableColumns count="32">
    <tableColumn id="1" xr3:uid="{00000000-0010-0000-0000-000001000000}" name="Turn ID"/>
    <tableColumn id="2" xr3:uid="{00000000-0010-0000-0000-000002000000}" name="Sequence"/>
    <tableColumn id="3" xr3:uid="{00000000-0010-0000-0000-000003000000}" name="Phase"/>
    <tableColumn id="4" xr3:uid="{00000000-0010-0000-0000-000004000000}" name="Prompt excerpt"/>
    <tableColumn id="5" xr3:uid="{00000000-0010-0000-0000-000005000000}" name="Primary interaction type"/>
    <tableColumn id="6" xr3:uid="{00000000-0010-0000-0000-000006000000}" name="Additional interaction types"/>
    <tableColumn id="7" xr3:uid="{00000000-0010-0000-0000-000007000000}" name="Agency mode"/>
    <tableColumn id="8" xr3:uid="{00000000-0010-0000-0000-000008000000}" name="Expertise evidence"/>
    <tableColumn id="9" xr3:uid="{00000000-0010-0000-0000-000009000000}" name="Coding rationale"/>
    <tableColumn id="10" xr3:uid="{00000000-0010-0000-0000-00000A000000}" name="Observed outcome / notes"/>
    <tableColumn id="11" xr3:uid="{00000000-0010-0000-0000-00000B000000}" name="Prompt provenance"/>
    <tableColumn id="12" xr3:uid="{00000000-0010-0000-0000-00000C000000}" name="Response provenance"/>
    <tableColumn id="13" xr3:uid="{00000000-0010-0000-0000-00000D000000}" name="Attachment metadata"/>
    <tableColumn id="14" xr3:uid="{00000000-0010-0000-0000-00000E000000}" name="Response availability"/>
    <tableColumn id="15" xr3:uid="{00000000-0010-0000-0000-00000F000000}" name="Coding caution"/>
    <tableColumn id="32" xr3:uid="{D937E01E-5D84-44ED-A105-1D3BB6047706}" name="sum" dataDxfId="17">
      <calculatedColumnFormula>SUM(Paper2Coding[[#This Row],[Open Delegation]:[Expertise]])</calculatedColumnFormula>
    </tableColumn>
    <tableColumn id="16" xr3:uid="{00000000-0010-0000-0000-000010000000}" name="Open Delegation" dataDxfId="16"/>
    <tableColumn id="17" xr3:uid="{00000000-0010-0000-0000-000011000000}" name="Directed delegation" dataDxfId="15"/>
    <tableColumn id="18" xr3:uid="{00000000-0010-0000-0000-000012000000}" name="Evaluation" dataDxfId="14"/>
    <tableColumn id="19" xr3:uid="{00000000-0010-0000-0000-000013000000}" name="Correction/Challenge" dataDxfId="13"/>
    <tableColumn id="20" xr3:uid="{00000000-0010-0000-0000-000014000000}" name="Redirection" dataDxfId="12"/>
    <tableColumn id="21" xr3:uid="{00000000-0010-0000-0000-000015000000}" name="Knowledge injection" dataDxfId="11"/>
    <tableColumn id="22" xr3:uid="{00000000-0010-0000-0000-000016000000}" name="Acceptance/ Rejection" dataDxfId="10"/>
    <tableColumn id="23" xr3:uid="{00000000-0010-0000-0000-000017000000}" name="Deliberation" dataDxfId="9"/>
    <tableColumn id="31" xr3:uid="{FE1C9787-F9EC-41BF-A442-EA7EF99303F4}" name="Expertise" dataDxfId="8">
      <calculatedColumnFormula>SUM(Paper2Coding[[#This Row],[Subject-matter correction]:[none]])</calculatedColumnFormula>
    </tableColumn>
    <tableColumn id="24" xr3:uid="{00000000-0010-0000-0000-000018000000}" name="Subject-matter correction" dataDxfId="7"/>
    <tableColumn id="25" xr3:uid="{00000000-0010-0000-0000-000019000000}" name="Conceptual differentiation" dataDxfId="6"/>
    <tableColumn id="26" xr3:uid="{00000000-0010-0000-0000-00001A000000}" name="Evidence judgment" dataDxfId="5"/>
    <tableColumn id="27" xr3:uid="{00000000-0010-0000-0000-00001B000000}" name="Methodological judgment" dataDxfId="4"/>
    <tableColumn id="28" xr3:uid="{00000000-0010-0000-0000-00001C000000}" name="Argumentative judgment" dataDxfId="3"/>
    <tableColumn id="29" xr3:uid="{00000000-0010-0000-0000-00001D000000}" name="Genre/ writing expertise" dataDxfId="2"/>
    <tableColumn id="30" xr3:uid="{00000000-0010-0000-0000-00001E000000}" name="none"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aper2HumanPrompts" displayName="Paper2HumanPrompts" ref="A1:E91" totalsRowShown="0">
  <tableColumns count="5">
    <tableColumn id="1" xr3:uid="{00000000-0010-0000-0100-000001000000}" name="Turn ID"/>
    <tableColumn id="2" xr3:uid="{00000000-0010-0000-0100-000002000000}" name="Sequence"/>
    <tableColumn id="3" xr3:uid="{00000000-0010-0000-0100-000003000000}" name="Prompt provenance"/>
    <tableColumn id="4" xr3:uid="{00000000-0010-0000-0100-000004000000}" name="Attachment metadata"/>
    <tableColumn id="5" xr3:uid="{00000000-0010-0000-0100-000005000000}" name="Full human promp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aper2Codebook" displayName="Paper2Codebook" ref="A1:C40" totalsRowShown="0">
  <tableColumns count="3">
    <tableColumn id="1" xr3:uid="{00000000-0010-0000-0200-000001000000}" name="Dimension"/>
    <tableColumn id="2" xr3:uid="{00000000-0010-0000-0200-000002000000}" name="Code / rule"/>
    <tableColumn id="3" xr3:uid="{00000000-0010-0000-0200-000003000000}" name="Definition / interpretation limi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7"/>
  <sheetViews>
    <sheetView zoomScale="85" zoomScaleNormal="85" workbookViewId="0">
      <selection activeCell="L8" sqref="L8:L14"/>
    </sheetView>
  </sheetViews>
  <sheetFormatPr defaultRowHeight="14.25" x14ac:dyDescent="0.2"/>
  <cols>
    <col min="1" max="1" width="45" customWidth="1"/>
    <col min="2" max="3" width="13" customWidth="1"/>
    <col min="4" max="4" width="22" customWidth="1"/>
    <col min="5" max="5" width="14" customWidth="1"/>
    <col min="6" max="6" width="20" customWidth="1"/>
    <col min="7" max="9" width="14" customWidth="1"/>
    <col min="10" max="10" width="30" customWidth="1"/>
    <col min="11" max="12" width="12" customWidth="1"/>
    <col min="13" max="14" width="8" customWidth="1"/>
  </cols>
  <sheetData>
    <row r="1" spans="1:14" x14ac:dyDescent="0.2">
      <c r="A1" s="1"/>
      <c r="B1" s="1"/>
      <c r="C1" s="1"/>
      <c r="D1" s="1"/>
      <c r="E1" s="1"/>
      <c r="F1" s="1"/>
      <c r="G1" s="1"/>
      <c r="H1" s="1"/>
      <c r="I1" s="1"/>
      <c r="J1" s="1"/>
      <c r="K1" s="1"/>
      <c r="L1" s="1"/>
      <c r="M1" s="1"/>
      <c r="N1" s="1"/>
    </row>
    <row r="2" spans="1:14" ht="18" x14ac:dyDescent="0.2">
      <c r="A2" s="4" t="s">
        <v>763</v>
      </c>
      <c r="B2" s="1" t="s">
        <v>764</v>
      </c>
      <c r="C2" s="1"/>
      <c r="D2" s="1"/>
      <c r="E2" s="1"/>
      <c r="F2" s="1"/>
      <c r="G2" s="1"/>
      <c r="H2" s="1"/>
      <c r="I2" s="1"/>
      <c r="J2" s="1"/>
      <c r="K2" s="1"/>
      <c r="L2" s="1"/>
      <c r="M2" s="1"/>
      <c r="N2" s="1"/>
    </row>
    <row r="3" spans="1:14" x14ac:dyDescent="0.2">
      <c r="A3" s="1"/>
      <c r="B3" s="1"/>
      <c r="C3" s="1"/>
      <c r="D3" s="1"/>
      <c r="E3" s="1"/>
      <c r="F3" s="1"/>
      <c r="G3" s="1"/>
      <c r="H3" s="1"/>
      <c r="I3" s="1"/>
      <c r="J3" s="1"/>
      <c r="K3" s="1"/>
      <c r="L3" s="1"/>
      <c r="M3" s="1"/>
      <c r="N3" s="1"/>
    </row>
    <row r="4" spans="1:14" x14ac:dyDescent="0.2">
      <c r="A4" s="14" t="s">
        <v>0</v>
      </c>
      <c r="B4" s="14">
        <v>90</v>
      </c>
      <c r="C4" s="1"/>
      <c r="D4" s="1"/>
      <c r="E4" s="1"/>
      <c r="F4" s="1"/>
      <c r="G4" s="1"/>
      <c r="H4" s="1"/>
      <c r="I4" s="1"/>
      <c r="J4" s="1"/>
      <c r="K4" s="1"/>
      <c r="L4" s="1"/>
      <c r="M4" s="1"/>
      <c r="N4" s="1"/>
    </row>
    <row r="5" spans="1:14" x14ac:dyDescent="0.2">
      <c r="A5" s="1" t="s">
        <v>1</v>
      </c>
      <c r="B5" s="1">
        <v>12</v>
      </c>
      <c r="C5" s="1"/>
      <c r="D5" s="1"/>
      <c r="E5" s="1"/>
      <c r="F5" s="1"/>
      <c r="G5" s="1"/>
      <c r="H5" s="1"/>
      <c r="I5" s="1"/>
      <c r="J5" s="1"/>
      <c r="K5" s="1"/>
      <c r="L5" s="1"/>
      <c r="M5" s="1"/>
      <c r="N5" s="1"/>
    </row>
    <row r="6" spans="1:14" x14ac:dyDescent="0.2">
      <c r="A6" s="1"/>
      <c r="B6" s="1"/>
      <c r="C6" s="1"/>
      <c r="D6" s="1"/>
      <c r="E6" s="1"/>
      <c r="F6" s="1"/>
      <c r="G6" s="1"/>
      <c r="H6" s="1"/>
      <c r="I6" s="1"/>
      <c r="J6" s="2" t="s">
        <v>8</v>
      </c>
      <c r="K6" s="1"/>
      <c r="L6" s="1"/>
      <c r="M6" s="1"/>
      <c r="N6" s="1"/>
    </row>
    <row r="7" spans="1:14" ht="36" customHeight="1" x14ac:dyDescent="0.2">
      <c r="A7" s="2" t="s">
        <v>769</v>
      </c>
      <c r="B7" s="2" t="s">
        <v>3</v>
      </c>
      <c r="C7" s="2" t="s">
        <v>4</v>
      </c>
      <c r="D7" s="8" t="s">
        <v>762</v>
      </c>
      <c r="E7" s="1"/>
      <c r="F7" s="2" t="s">
        <v>5</v>
      </c>
      <c r="G7" s="2" t="s">
        <v>6</v>
      </c>
      <c r="H7" s="2" t="s">
        <v>7</v>
      </c>
      <c r="I7" s="1"/>
      <c r="J7" s="2" t="s">
        <v>767</v>
      </c>
      <c r="K7" s="2" t="s">
        <v>6</v>
      </c>
      <c r="L7" s="2" t="s">
        <v>7</v>
      </c>
      <c r="M7" s="1"/>
      <c r="N7" s="1"/>
    </row>
    <row r="8" spans="1:14" ht="15.75" x14ac:dyDescent="0.2">
      <c r="A8" s="15" t="s">
        <v>768</v>
      </c>
      <c r="B8" s="1">
        <f>COUNTIFS(Coding!$E$2:$E$91,A8)</f>
        <v>0</v>
      </c>
      <c r="C8" s="1">
        <f>SUM(Coding!Q2:Q91)</f>
        <v>3</v>
      </c>
      <c r="D8" s="5">
        <f t="shared" ref="D8:D15" si="0">C8/$B$4</f>
        <v>3.3333333333333333E-2</v>
      </c>
      <c r="E8" s="1"/>
      <c r="F8" s="1" t="s">
        <v>10</v>
      </c>
      <c r="G8" s="1">
        <f>COUNTIFS(Coding!$G$2:$G$91,F8)</f>
        <v>3</v>
      </c>
      <c r="H8" s="5">
        <f>G8/$B$4</f>
        <v>3.3333333333333333E-2</v>
      </c>
      <c r="I8" s="1"/>
      <c r="J8" s="17" t="s">
        <v>756</v>
      </c>
      <c r="K8" s="1">
        <f>SUM(Coding!Z2:Z91)</f>
        <v>0</v>
      </c>
      <c r="L8" s="5">
        <f t="shared" ref="L8:L14" si="1">K8/$B$4</f>
        <v>0</v>
      </c>
      <c r="M8" s="1"/>
      <c r="N8" s="1"/>
    </row>
    <row r="9" spans="1:14" ht="15.75" x14ac:dyDescent="0.2">
      <c r="A9" s="1" t="s">
        <v>12</v>
      </c>
      <c r="B9" s="1">
        <f>COUNTIFS(Coding!$E$2:$E$91,A9)</f>
        <v>29</v>
      </c>
      <c r="C9" s="1">
        <f>SUM(Coding!R2:R91)</f>
        <v>58</v>
      </c>
      <c r="D9" s="5">
        <f t="shared" si="0"/>
        <v>0.64444444444444449</v>
      </c>
      <c r="E9" s="1"/>
      <c r="F9" s="1" t="s">
        <v>13</v>
      </c>
      <c r="G9" s="1">
        <f>COUNTIFS(Coding!$G$2:$G$91,F9)</f>
        <v>47</v>
      </c>
      <c r="H9" s="5">
        <f>G9/$B$4</f>
        <v>0.52222222222222225</v>
      </c>
      <c r="I9" s="1"/>
      <c r="J9" s="17" t="s">
        <v>757</v>
      </c>
      <c r="K9" s="1">
        <f>SUM(Coding!AA2:AA91)</f>
        <v>8</v>
      </c>
      <c r="L9" s="5">
        <f t="shared" si="1"/>
        <v>8.8888888888888892E-2</v>
      </c>
      <c r="M9" s="1"/>
      <c r="N9" s="1"/>
    </row>
    <row r="10" spans="1:14" ht="15.75" x14ac:dyDescent="0.2">
      <c r="A10" s="1" t="s">
        <v>15</v>
      </c>
      <c r="B10" s="1">
        <f>COUNTIFS(Coding!$E$2:$E$91,A10)</f>
        <v>14</v>
      </c>
      <c r="C10" s="1">
        <f>SUM(Coding!S2:S91)</f>
        <v>19</v>
      </c>
      <c r="D10" s="5">
        <f t="shared" si="0"/>
        <v>0.21111111111111111</v>
      </c>
      <c r="E10" s="1"/>
      <c r="F10" s="1" t="s">
        <v>16</v>
      </c>
      <c r="G10" s="1">
        <f>COUNTIFS(Coding!$G$2:$G$91,F10)</f>
        <v>15</v>
      </c>
      <c r="H10" s="5">
        <f>G10/$B$4</f>
        <v>0.16666666666666666</v>
      </c>
      <c r="I10" s="1"/>
      <c r="J10" s="17" t="s">
        <v>758</v>
      </c>
      <c r="K10" s="1">
        <f>SUM(Coding!AB2:AB91)</f>
        <v>31</v>
      </c>
      <c r="L10" s="5">
        <f t="shared" si="1"/>
        <v>0.34444444444444444</v>
      </c>
      <c r="M10" s="1"/>
      <c r="N10" s="1"/>
    </row>
    <row r="11" spans="1:14" ht="15.75" x14ac:dyDescent="0.2">
      <c r="A11" s="1" t="s">
        <v>18</v>
      </c>
      <c r="B11" s="1">
        <f>COUNTIFS(Coding!$E$2:$E$91,A11)</f>
        <v>13</v>
      </c>
      <c r="C11" s="1">
        <f>SUM(Coding!T2:T91)</f>
        <v>19</v>
      </c>
      <c r="D11" s="5">
        <f t="shared" si="0"/>
        <v>0.21111111111111111</v>
      </c>
      <c r="E11" s="1"/>
      <c r="F11" s="1" t="s">
        <v>19</v>
      </c>
      <c r="G11" s="1">
        <f>COUNTIFS(Coding!$G$2:$G$91,F11)</f>
        <v>19</v>
      </c>
      <c r="H11" s="5">
        <f>G11/$B$4</f>
        <v>0.21111111111111111</v>
      </c>
      <c r="I11" s="1"/>
      <c r="J11" s="17" t="s">
        <v>759</v>
      </c>
      <c r="K11" s="1">
        <f>SUM(Coding!AC2:AC91)</f>
        <v>12</v>
      </c>
      <c r="L11" s="5">
        <f t="shared" si="1"/>
        <v>0.13333333333333333</v>
      </c>
      <c r="M11" s="1"/>
      <c r="N11" s="1"/>
    </row>
    <row r="12" spans="1:14" ht="15.75" x14ac:dyDescent="0.2">
      <c r="A12" s="1" t="s">
        <v>21</v>
      </c>
      <c r="B12" s="1">
        <f>COUNTIFS(Coding!$E$2:$E$91,A12)</f>
        <v>6</v>
      </c>
      <c r="C12" s="1">
        <f>SUM(Coding!U2:U91)</f>
        <v>16</v>
      </c>
      <c r="D12" s="5">
        <f t="shared" si="0"/>
        <v>0.17777777777777778</v>
      </c>
      <c r="E12" s="1"/>
      <c r="F12" s="1" t="s">
        <v>22</v>
      </c>
      <c r="G12" s="1">
        <f>COUNTIFS(Coding!$G$2:$G$91,F12)</f>
        <v>6</v>
      </c>
      <c r="H12" s="5">
        <f>G12/$B$4</f>
        <v>6.6666666666666666E-2</v>
      </c>
      <c r="I12" s="1"/>
      <c r="J12" s="17" t="s">
        <v>760</v>
      </c>
      <c r="K12" s="1">
        <f>SUM(Coding!AD2:AD91)</f>
        <v>34</v>
      </c>
      <c r="L12" s="5">
        <f t="shared" si="1"/>
        <v>0.37777777777777777</v>
      </c>
      <c r="M12" s="1"/>
      <c r="N12" s="1"/>
    </row>
    <row r="13" spans="1:14" ht="15.75" x14ac:dyDescent="0.2">
      <c r="A13" s="1" t="s">
        <v>24</v>
      </c>
      <c r="B13" s="1">
        <f>COUNTIFS(Coding!$E$2:$E$91,A13)</f>
        <v>7</v>
      </c>
      <c r="C13" s="1">
        <f>SUM(Coding!V2:V91)</f>
        <v>50</v>
      </c>
      <c r="D13" s="5">
        <f t="shared" si="0"/>
        <v>0.55555555555555558</v>
      </c>
      <c r="E13" s="1"/>
      <c r="F13" s="1"/>
      <c r="G13" s="1"/>
      <c r="H13" s="1"/>
      <c r="I13" s="1"/>
      <c r="J13" s="17" t="s">
        <v>771</v>
      </c>
      <c r="K13" s="1">
        <f>SUM(Coding!AE2:AE91)</f>
        <v>44</v>
      </c>
      <c r="L13" s="5">
        <f t="shared" si="1"/>
        <v>0.48888888888888887</v>
      </c>
      <c r="M13" s="1"/>
      <c r="N13" s="1"/>
    </row>
    <row r="14" spans="1:14" ht="15.75" x14ac:dyDescent="0.2">
      <c r="A14" s="1" t="s">
        <v>26</v>
      </c>
      <c r="B14" s="1">
        <f>COUNTIFS(Coding!$E$2:$E$91,A14)</f>
        <v>12</v>
      </c>
      <c r="C14" s="1">
        <f>SUM(Coding!W2:W91)</f>
        <v>29</v>
      </c>
      <c r="D14" s="5">
        <f t="shared" si="0"/>
        <v>0.32222222222222224</v>
      </c>
      <c r="E14" s="1"/>
      <c r="F14" s="1"/>
      <c r="G14" s="1"/>
      <c r="H14" s="1"/>
      <c r="I14" s="1"/>
      <c r="J14" s="17" t="s">
        <v>772</v>
      </c>
      <c r="K14" s="1">
        <f>SUM(Coding!AF2:AF91)</f>
        <v>18</v>
      </c>
      <c r="L14" s="5">
        <f t="shared" si="1"/>
        <v>0.2</v>
      </c>
      <c r="M14" s="1"/>
      <c r="N14" s="1"/>
    </row>
    <row r="15" spans="1:14" x14ac:dyDescent="0.2">
      <c r="A15" s="1" t="s">
        <v>28</v>
      </c>
      <c r="B15" s="1">
        <f>COUNTIFS(Coding!$E$2:$E$91,A15)</f>
        <v>6</v>
      </c>
      <c r="C15" s="1">
        <f>SUM(Coding!X2:X91)</f>
        <v>6</v>
      </c>
      <c r="D15" s="5">
        <f t="shared" si="0"/>
        <v>6.6666666666666666E-2</v>
      </c>
      <c r="E15" s="1"/>
      <c r="F15" s="1"/>
      <c r="G15" s="1"/>
      <c r="H15" s="1"/>
      <c r="I15" s="1"/>
      <c r="J15" s="1"/>
      <c r="K15" s="1"/>
      <c r="L15" s="1"/>
      <c r="M15" s="1"/>
      <c r="N15" s="1"/>
    </row>
    <row r="16" spans="1:14" x14ac:dyDescent="0.2">
      <c r="A16" s="1"/>
      <c r="B16" s="1"/>
      <c r="C16" s="1"/>
      <c r="D16" s="1"/>
      <c r="E16" s="1"/>
      <c r="F16" s="1"/>
      <c r="G16" s="1"/>
      <c r="H16" s="1"/>
      <c r="I16" s="1"/>
      <c r="J16" s="1"/>
      <c r="K16" s="1"/>
      <c r="L16" s="1"/>
      <c r="M16" s="1"/>
      <c r="N16" s="1"/>
    </row>
    <row r="17" spans="1:14" x14ac:dyDescent="0.2">
      <c r="A17" s="1"/>
      <c r="B17" s="1"/>
      <c r="C17" s="1"/>
      <c r="D17" s="1"/>
      <c r="E17" s="1"/>
      <c r="F17" s="1"/>
      <c r="G17" s="1"/>
      <c r="H17" s="1"/>
      <c r="I17" s="1"/>
      <c r="J17" s="1"/>
      <c r="K17" s="1"/>
      <c r="L17" s="1"/>
      <c r="M17" s="1"/>
      <c r="N17" s="1"/>
    </row>
    <row r="18" spans="1:14" x14ac:dyDescent="0.2">
      <c r="A18" s="2" t="s">
        <v>29</v>
      </c>
      <c r="B18" s="8" t="s">
        <v>30</v>
      </c>
      <c r="C18" s="8" t="s">
        <v>31</v>
      </c>
      <c r="D18" s="8" t="s">
        <v>770</v>
      </c>
      <c r="E18" s="8" t="s">
        <v>10</v>
      </c>
      <c r="F18" s="8" t="s">
        <v>13</v>
      </c>
      <c r="G18" s="8" t="s">
        <v>16</v>
      </c>
      <c r="H18" s="8" t="s">
        <v>19</v>
      </c>
      <c r="I18" s="8" t="s">
        <v>22</v>
      </c>
      <c r="J18" s="1"/>
      <c r="K18" s="1"/>
      <c r="L18" s="1"/>
      <c r="M18" s="1"/>
      <c r="N18" s="1"/>
    </row>
    <row r="19" spans="1:14" x14ac:dyDescent="0.2">
      <c r="A19" s="3" t="s">
        <v>32</v>
      </c>
      <c r="B19" s="16">
        <v>1</v>
      </c>
      <c r="C19" s="16">
        <v>7</v>
      </c>
      <c r="D19" s="16">
        <f t="shared" ref="D19:D26" si="2">C19-B19+1</f>
        <v>7</v>
      </c>
      <c r="E19" s="16">
        <f>COUNTIFS(Coding!$B$2:$B$91,"&gt;="&amp;B19,Coding!$B$2:$B$91,"&lt;="&amp;C19,Coding!$G$2:$G$91,"Delegative")</f>
        <v>1</v>
      </c>
      <c r="F19" s="16">
        <f>COUNTIFS(Coding!$B$2:$B$91,"&gt;="&amp;B19,Coding!$B$2:$B$91,"&lt;="&amp;C19,Coding!$G$2:$G$91,"Directive")</f>
        <v>4</v>
      </c>
      <c r="G19" s="16">
        <f>COUNTIFS(Coding!$B$2:$B$91,"&gt;="&amp;B19,Coding!$B$2:$B$91,"&lt;="&amp;C19,Coding!$G$2:$G$91,"Evaluative")</f>
        <v>1</v>
      </c>
      <c r="H19" s="16">
        <f>COUNTIFS(Coding!$B$2:$B$91,"&gt;="&amp;B19,Coding!$B$2:$B$91,"&lt;="&amp;C19,Coding!$G$2:$G$91,"Critical")</f>
        <v>1</v>
      </c>
      <c r="I19" s="16">
        <f>COUNTIFS(Coding!$B$2:$B$91,"&gt;="&amp;B19,Coding!$B$2:$B$91,"&lt;="&amp;C19,Coding!$G$2:$G$91,"Deliberative")</f>
        <v>0</v>
      </c>
      <c r="J19" s="1"/>
      <c r="K19" s="1"/>
      <c r="L19" s="1"/>
      <c r="M19" s="1"/>
      <c r="N19" s="1"/>
    </row>
    <row r="20" spans="1:14" x14ac:dyDescent="0.2">
      <c r="A20" s="3" t="s">
        <v>33</v>
      </c>
      <c r="B20" s="16">
        <v>8</v>
      </c>
      <c r="C20" s="16">
        <v>19</v>
      </c>
      <c r="D20" s="16">
        <f t="shared" si="2"/>
        <v>12</v>
      </c>
      <c r="E20" s="16">
        <f>COUNTIFS(Coding!$B$2:$B$91,"&gt;="&amp;B20,Coding!$B$2:$B$91,"&lt;="&amp;C20,Coding!$G$2:$G$91,"Delegative")</f>
        <v>1</v>
      </c>
      <c r="F20" s="16">
        <f>COUNTIFS(Coding!$B$2:$B$91,"&gt;="&amp;B20,Coding!$B$2:$B$91,"&lt;="&amp;C20,Coding!$G$2:$G$91,"Directive")</f>
        <v>7</v>
      </c>
      <c r="G20" s="16">
        <f>COUNTIFS(Coding!$B$2:$B$91,"&gt;="&amp;B20,Coding!$B$2:$B$91,"&lt;="&amp;C20,Coding!$G$2:$G$91,"Evaluative")</f>
        <v>0</v>
      </c>
      <c r="H20" s="16">
        <f>COUNTIFS(Coding!$B$2:$B$91,"&gt;="&amp;B20,Coding!$B$2:$B$91,"&lt;="&amp;C20,Coding!$G$2:$G$91,"Critical")</f>
        <v>4</v>
      </c>
      <c r="I20" s="16">
        <f>COUNTIFS(Coding!$B$2:$B$91,"&gt;="&amp;B20,Coding!$B$2:$B$91,"&lt;="&amp;C20,Coding!$G$2:$G$91,"Deliberative")</f>
        <v>0</v>
      </c>
      <c r="J20" s="1"/>
      <c r="K20" s="1"/>
      <c r="L20" s="1"/>
      <c r="M20" s="1"/>
      <c r="N20" s="1"/>
    </row>
    <row r="21" spans="1:14" x14ac:dyDescent="0.2">
      <c r="A21" s="3" t="s">
        <v>34</v>
      </c>
      <c r="B21" s="16">
        <v>20</v>
      </c>
      <c r="C21" s="16">
        <v>36</v>
      </c>
      <c r="D21" s="16">
        <f t="shared" si="2"/>
        <v>17</v>
      </c>
      <c r="E21" s="16">
        <f>COUNTIFS(Coding!$B$2:$B$91,"&gt;="&amp;B21,Coding!$B$2:$B$91,"&lt;="&amp;C21,Coding!$G$2:$G$91,"Delegative")</f>
        <v>0</v>
      </c>
      <c r="F21" s="16">
        <f>COUNTIFS(Coding!$B$2:$B$91,"&gt;="&amp;B21,Coding!$B$2:$B$91,"&lt;="&amp;C21,Coding!$G$2:$G$91,"Directive")</f>
        <v>7</v>
      </c>
      <c r="G21" s="16">
        <f>COUNTIFS(Coding!$B$2:$B$91,"&gt;="&amp;B21,Coding!$B$2:$B$91,"&lt;="&amp;C21,Coding!$G$2:$G$91,"Evaluative")</f>
        <v>5</v>
      </c>
      <c r="H21" s="16">
        <f>COUNTIFS(Coding!$B$2:$B$91,"&gt;="&amp;B21,Coding!$B$2:$B$91,"&lt;="&amp;C21,Coding!$G$2:$G$91,"Critical")</f>
        <v>3</v>
      </c>
      <c r="I21" s="16">
        <f>COUNTIFS(Coding!$B$2:$B$91,"&gt;="&amp;B21,Coding!$B$2:$B$91,"&lt;="&amp;C21,Coding!$G$2:$G$91,"Deliberative")</f>
        <v>2</v>
      </c>
      <c r="J21" s="1"/>
      <c r="K21" s="1"/>
      <c r="L21" s="1"/>
      <c r="M21" s="1"/>
      <c r="N21" s="1"/>
    </row>
    <row r="22" spans="1:14" x14ac:dyDescent="0.2">
      <c r="A22" s="3" t="s">
        <v>35</v>
      </c>
      <c r="B22" s="16">
        <v>37</v>
      </c>
      <c r="C22" s="16">
        <v>44</v>
      </c>
      <c r="D22" s="16">
        <f t="shared" si="2"/>
        <v>8</v>
      </c>
      <c r="E22" s="16">
        <f>COUNTIFS(Coding!$B$2:$B$91,"&gt;="&amp;B22,Coding!$B$2:$B$91,"&lt;="&amp;C22,Coding!$G$2:$G$91,"Delegative")</f>
        <v>0</v>
      </c>
      <c r="F22" s="16">
        <f>COUNTIFS(Coding!$B$2:$B$91,"&gt;="&amp;B22,Coding!$B$2:$B$91,"&lt;="&amp;C22,Coding!$G$2:$G$91,"Directive")</f>
        <v>6</v>
      </c>
      <c r="G22" s="16">
        <f>COUNTIFS(Coding!$B$2:$B$91,"&gt;="&amp;B22,Coding!$B$2:$B$91,"&lt;="&amp;C22,Coding!$G$2:$G$91,"Evaluative")</f>
        <v>0</v>
      </c>
      <c r="H22" s="16">
        <f>COUNTIFS(Coding!$B$2:$B$91,"&gt;="&amp;B22,Coding!$B$2:$B$91,"&lt;="&amp;C22,Coding!$G$2:$G$91,"Critical")</f>
        <v>0</v>
      </c>
      <c r="I22" s="16">
        <f>COUNTIFS(Coding!$B$2:$B$91,"&gt;="&amp;B22,Coding!$B$2:$B$91,"&lt;="&amp;C22,Coding!$G$2:$G$91,"Deliberative")</f>
        <v>2</v>
      </c>
      <c r="J22" s="1"/>
      <c r="K22" s="1"/>
      <c r="L22" s="1"/>
      <c r="M22" s="1"/>
      <c r="N22" s="1"/>
    </row>
    <row r="23" spans="1:14" x14ac:dyDescent="0.2">
      <c r="A23" s="3" t="s">
        <v>36</v>
      </c>
      <c r="B23" s="16">
        <v>45</v>
      </c>
      <c r="C23" s="16">
        <v>59</v>
      </c>
      <c r="D23" s="16">
        <f t="shared" si="2"/>
        <v>15</v>
      </c>
      <c r="E23" s="16">
        <f>COUNTIFS(Coding!$B$2:$B$91,"&gt;="&amp;B23,Coding!$B$2:$B$91,"&lt;="&amp;C23,Coding!$G$2:$G$91,"Delegative")</f>
        <v>0</v>
      </c>
      <c r="F23" s="16">
        <f>COUNTIFS(Coding!$B$2:$B$91,"&gt;="&amp;B23,Coding!$B$2:$B$91,"&lt;="&amp;C23,Coding!$G$2:$G$91,"Directive")</f>
        <v>10</v>
      </c>
      <c r="G23" s="16">
        <f>COUNTIFS(Coding!$B$2:$B$91,"&gt;="&amp;B23,Coding!$B$2:$B$91,"&lt;="&amp;C23,Coding!$G$2:$G$91,"Evaluative")</f>
        <v>1</v>
      </c>
      <c r="H23" s="16">
        <f>COUNTIFS(Coding!$B$2:$B$91,"&gt;="&amp;B23,Coding!$B$2:$B$91,"&lt;="&amp;C23,Coding!$G$2:$G$91,"Critical")</f>
        <v>4</v>
      </c>
      <c r="I23" s="16">
        <f>COUNTIFS(Coding!$B$2:$B$91,"&gt;="&amp;B23,Coding!$B$2:$B$91,"&lt;="&amp;C23,Coding!$G$2:$G$91,"Deliberative")</f>
        <v>0</v>
      </c>
      <c r="J23" s="1"/>
      <c r="K23" s="1"/>
      <c r="L23" s="1"/>
      <c r="M23" s="1"/>
      <c r="N23" s="1"/>
    </row>
    <row r="24" spans="1:14" x14ac:dyDescent="0.2">
      <c r="A24" s="3" t="s">
        <v>37</v>
      </c>
      <c r="B24" s="16">
        <v>60</v>
      </c>
      <c r="C24" s="16">
        <v>69</v>
      </c>
      <c r="D24" s="16">
        <f t="shared" si="2"/>
        <v>10</v>
      </c>
      <c r="E24" s="16">
        <f>COUNTIFS(Coding!$B$2:$B$91,"&gt;="&amp;B24,Coding!$B$2:$B$91,"&lt;="&amp;C24,Coding!$G$2:$G$91,"Delegative")</f>
        <v>0</v>
      </c>
      <c r="F24" s="16">
        <f>COUNTIFS(Coding!$B$2:$B$91,"&gt;="&amp;B24,Coding!$B$2:$B$91,"&lt;="&amp;C24,Coding!$G$2:$G$91,"Directive")</f>
        <v>3</v>
      </c>
      <c r="G24" s="16">
        <f>COUNTIFS(Coding!$B$2:$B$91,"&gt;="&amp;B24,Coding!$B$2:$B$91,"&lt;="&amp;C24,Coding!$G$2:$G$91,"Evaluative")</f>
        <v>4</v>
      </c>
      <c r="H24" s="16">
        <f>COUNTIFS(Coding!$B$2:$B$91,"&gt;="&amp;B24,Coding!$B$2:$B$91,"&lt;="&amp;C24,Coding!$G$2:$G$91,"Critical")</f>
        <v>3</v>
      </c>
      <c r="I24" s="16">
        <f>COUNTIFS(Coding!$B$2:$B$91,"&gt;="&amp;B24,Coding!$B$2:$B$91,"&lt;="&amp;C24,Coding!$G$2:$G$91,"Deliberative")</f>
        <v>0</v>
      </c>
      <c r="J24" s="1"/>
      <c r="K24" s="1"/>
      <c r="L24" s="1"/>
      <c r="M24" s="1"/>
      <c r="N24" s="1"/>
    </row>
    <row r="25" spans="1:14" x14ac:dyDescent="0.2">
      <c r="A25" s="3" t="s">
        <v>38</v>
      </c>
      <c r="B25" s="16">
        <v>70</v>
      </c>
      <c r="C25" s="16">
        <v>78</v>
      </c>
      <c r="D25" s="16">
        <f t="shared" si="2"/>
        <v>9</v>
      </c>
      <c r="E25" s="16">
        <f>COUNTIFS(Coding!$B$2:$B$91,"&gt;="&amp;B25,Coding!$B$2:$B$91,"&lt;="&amp;C25,Coding!$G$2:$G$91,"Delegative")</f>
        <v>1</v>
      </c>
      <c r="F25" s="16">
        <f>COUNTIFS(Coding!$B$2:$B$91,"&gt;="&amp;B25,Coding!$B$2:$B$91,"&lt;="&amp;C25,Coding!$G$2:$G$91,"Directive")</f>
        <v>5</v>
      </c>
      <c r="G25" s="16">
        <f>COUNTIFS(Coding!$B$2:$B$91,"&gt;="&amp;B25,Coding!$B$2:$B$91,"&lt;="&amp;C25,Coding!$G$2:$G$91,"Evaluative")</f>
        <v>2</v>
      </c>
      <c r="H25" s="16">
        <f>COUNTIFS(Coding!$B$2:$B$91,"&gt;="&amp;B25,Coding!$B$2:$B$91,"&lt;="&amp;C25,Coding!$G$2:$G$91,"Critical")</f>
        <v>1</v>
      </c>
      <c r="I25" s="16">
        <f>COUNTIFS(Coding!$B$2:$B$91,"&gt;="&amp;B25,Coding!$B$2:$B$91,"&lt;="&amp;C25,Coding!$G$2:$G$91,"Deliberative")</f>
        <v>0</v>
      </c>
      <c r="J25" s="1"/>
      <c r="K25" s="1"/>
      <c r="L25" s="1"/>
      <c r="M25" s="1"/>
      <c r="N25" s="1"/>
    </row>
    <row r="26" spans="1:14" x14ac:dyDescent="0.2">
      <c r="A26" s="3" t="s">
        <v>39</v>
      </c>
      <c r="B26" s="16">
        <v>79</v>
      </c>
      <c r="C26" s="16">
        <v>90</v>
      </c>
      <c r="D26" s="16">
        <f t="shared" si="2"/>
        <v>12</v>
      </c>
      <c r="E26" s="16">
        <f>COUNTIFS(Coding!$B$2:$B$91,"&gt;="&amp;B26,Coding!$B$2:$B$91,"&lt;="&amp;C26,Coding!$G$2:$G$91,"Delegative")</f>
        <v>0</v>
      </c>
      <c r="F26" s="16">
        <f>COUNTIFS(Coding!$B$2:$B$91,"&gt;="&amp;B26,Coding!$B$2:$B$91,"&lt;="&amp;C26,Coding!$G$2:$G$91,"Directive")</f>
        <v>5</v>
      </c>
      <c r="G26" s="16">
        <f>COUNTIFS(Coding!$B$2:$B$91,"&gt;="&amp;B26,Coding!$B$2:$B$91,"&lt;="&amp;C26,Coding!$G$2:$G$91,"Evaluative")</f>
        <v>2</v>
      </c>
      <c r="H26" s="16">
        <f>COUNTIFS(Coding!$B$2:$B$91,"&gt;="&amp;B26,Coding!$B$2:$B$91,"&lt;="&amp;C26,Coding!$G$2:$G$91,"Critical")</f>
        <v>3</v>
      </c>
      <c r="I26" s="16">
        <f>COUNTIFS(Coding!$B$2:$B$91,"&gt;="&amp;B26,Coding!$B$2:$B$91,"&lt;="&amp;C26,Coding!$G$2:$G$91,"Deliberative")</f>
        <v>2</v>
      </c>
      <c r="J26" s="1"/>
      <c r="K26" s="1"/>
      <c r="L26" s="1"/>
      <c r="M26" s="1"/>
      <c r="N26" s="1"/>
    </row>
    <row r="27" spans="1:14" x14ac:dyDescent="0.2">
      <c r="A27" s="1"/>
      <c r="B27" s="1"/>
      <c r="C27" s="1"/>
      <c r="D27" s="1"/>
      <c r="E27" s="1"/>
      <c r="F27" s="1"/>
      <c r="G27" s="1"/>
      <c r="H27" s="1"/>
      <c r="I27" s="1"/>
      <c r="J27" s="1"/>
      <c r="K27" s="1"/>
      <c r="L27" s="1"/>
      <c r="M27" s="1"/>
      <c r="N27" s="1"/>
    </row>
    <row r="28" spans="1:14" x14ac:dyDescent="0.2">
      <c r="A28" s="1"/>
      <c r="B28" s="1"/>
      <c r="C28" s="1"/>
      <c r="D28" s="1"/>
      <c r="E28" s="1"/>
      <c r="F28" s="1"/>
      <c r="G28" s="1"/>
      <c r="H28" s="1"/>
      <c r="I28" s="1"/>
      <c r="J28" s="1"/>
      <c r="K28" s="1"/>
      <c r="L28" s="1"/>
      <c r="M28" s="1"/>
      <c r="N28" s="1"/>
    </row>
    <row r="29" spans="1:14" x14ac:dyDescent="0.2">
      <c r="A29" s="6" t="s">
        <v>40</v>
      </c>
      <c r="B29" s="1"/>
      <c r="C29" s="1"/>
      <c r="D29" s="1"/>
      <c r="E29" s="1"/>
      <c r="F29" s="1"/>
      <c r="G29" s="1"/>
      <c r="H29" s="1"/>
      <c r="I29" s="1"/>
      <c r="J29" s="1"/>
      <c r="K29" s="1"/>
      <c r="L29" s="1"/>
      <c r="M29" s="1"/>
      <c r="N29" s="1"/>
    </row>
    <row r="30" spans="1:14" ht="26.1" customHeight="1" x14ac:dyDescent="0.2">
      <c r="A30" s="1" t="s">
        <v>41</v>
      </c>
      <c r="B30" s="1"/>
      <c r="C30" s="1"/>
      <c r="D30" s="1"/>
      <c r="E30" s="1"/>
      <c r="F30" s="1"/>
      <c r="G30" s="1"/>
      <c r="H30" s="1"/>
      <c r="I30" s="1"/>
      <c r="J30" s="1"/>
      <c r="K30" s="1"/>
      <c r="L30" s="1"/>
      <c r="M30" s="1"/>
      <c r="N30" s="1"/>
    </row>
    <row r="31" spans="1:14" ht="26.1" customHeight="1" x14ac:dyDescent="0.2">
      <c r="A31" s="1" t="s">
        <v>42</v>
      </c>
      <c r="B31" s="1"/>
      <c r="C31" s="1"/>
      <c r="D31" s="1"/>
      <c r="E31" s="1"/>
      <c r="F31" s="1"/>
      <c r="G31" s="1"/>
      <c r="H31" s="1"/>
      <c r="I31" s="1"/>
      <c r="J31" s="1"/>
      <c r="K31" s="1"/>
      <c r="L31" s="1"/>
      <c r="M31" s="1"/>
      <c r="N31" s="1"/>
    </row>
    <row r="32" spans="1:14" ht="26.1" customHeight="1" x14ac:dyDescent="0.2">
      <c r="A32" s="1" t="s">
        <v>43</v>
      </c>
      <c r="B32" s="1"/>
      <c r="C32" s="1"/>
      <c r="D32" s="1"/>
      <c r="E32" s="1"/>
      <c r="F32" s="1"/>
      <c r="G32" s="1"/>
      <c r="H32" s="1"/>
      <c r="I32" s="1"/>
      <c r="J32" s="1"/>
      <c r="K32" s="1"/>
      <c r="L32" s="1"/>
      <c r="M32" s="1"/>
      <c r="N32" s="1"/>
    </row>
    <row r="33" spans="1:14" ht="26.1" customHeight="1" x14ac:dyDescent="0.2">
      <c r="A33" s="1" t="s">
        <v>44</v>
      </c>
      <c r="B33" s="1"/>
      <c r="C33" s="1"/>
      <c r="D33" s="1"/>
      <c r="E33" s="1"/>
      <c r="F33" s="1"/>
      <c r="G33" s="1"/>
      <c r="H33" s="1"/>
      <c r="I33" s="1"/>
      <c r="J33" s="1"/>
      <c r="K33" s="1"/>
      <c r="L33" s="1"/>
      <c r="M33" s="1"/>
      <c r="N33" s="1"/>
    </row>
    <row r="34" spans="1:14" ht="26.1" customHeight="1" x14ac:dyDescent="0.2">
      <c r="A34" s="1" t="s">
        <v>45</v>
      </c>
      <c r="B34" s="1"/>
      <c r="C34" s="1"/>
      <c r="D34" s="1"/>
      <c r="E34" s="1"/>
      <c r="F34" s="1"/>
      <c r="G34" s="1"/>
      <c r="H34" s="1"/>
      <c r="I34" s="1"/>
      <c r="J34" s="1"/>
      <c r="K34" s="1"/>
      <c r="L34" s="1"/>
      <c r="M34" s="1"/>
      <c r="N34" s="1"/>
    </row>
    <row r="35" spans="1:14" ht="26.1" customHeight="1" x14ac:dyDescent="0.2">
      <c r="A35" s="1" t="s">
        <v>46</v>
      </c>
      <c r="B35" s="1"/>
      <c r="C35" s="1"/>
      <c r="D35" s="1"/>
      <c r="E35" s="1"/>
      <c r="F35" s="1"/>
      <c r="G35" s="1"/>
      <c r="H35" s="1"/>
      <c r="I35" s="1"/>
      <c r="J35" s="1"/>
      <c r="K35" s="1"/>
      <c r="L35" s="1"/>
      <c r="M35" s="1"/>
      <c r="N35" s="1"/>
    </row>
    <row r="36" spans="1:14" ht="26.1" customHeight="1" x14ac:dyDescent="0.2">
      <c r="A36" s="1" t="s">
        <v>47</v>
      </c>
      <c r="B36" s="1"/>
      <c r="C36" s="1"/>
      <c r="D36" s="1"/>
      <c r="E36" s="1"/>
      <c r="F36" s="1"/>
      <c r="G36" s="1"/>
      <c r="H36" s="1"/>
      <c r="I36" s="1"/>
      <c r="J36" s="1"/>
      <c r="K36" s="1"/>
      <c r="L36" s="1"/>
      <c r="M36" s="1"/>
      <c r="N36" s="1"/>
    </row>
    <row r="37" spans="1:14" ht="26.1" customHeight="1" x14ac:dyDescent="0.2">
      <c r="A37" s="1" t="s">
        <v>48</v>
      </c>
      <c r="B37" s="1"/>
      <c r="C37" s="1"/>
      <c r="D37" s="1"/>
      <c r="E37" s="1"/>
      <c r="F37" s="1"/>
      <c r="G37" s="1"/>
      <c r="H37" s="1"/>
      <c r="I37" s="1"/>
      <c r="J37" s="1"/>
      <c r="K37" s="1"/>
      <c r="L37" s="1"/>
      <c r="M37" s="1"/>
      <c r="N37" s="1"/>
    </row>
    <row r="38" spans="1:14" ht="26.1" customHeight="1" x14ac:dyDescent="0.2">
      <c r="A38" s="1" t="s">
        <v>49</v>
      </c>
      <c r="B38" s="1"/>
      <c r="C38" s="1"/>
      <c r="D38" s="1"/>
      <c r="E38" s="1"/>
      <c r="F38" s="1"/>
      <c r="G38" s="1"/>
      <c r="H38" s="1"/>
      <c r="I38" s="1"/>
      <c r="J38" s="1"/>
      <c r="K38" s="1"/>
      <c r="L38" s="1"/>
      <c r="M38" s="1"/>
      <c r="N38" s="1"/>
    </row>
    <row r="39" spans="1:14" ht="26.1" customHeight="1" x14ac:dyDescent="0.2">
      <c r="A39" s="1" t="s">
        <v>50</v>
      </c>
      <c r="B39" s="1"/>
      <c r="C39" s="1"/>
      <c r="D39" s="1"/>
      <c r="E39" s="1"/>
      <c r="F39" s="1"/>
      <c r="G39" s="1"/>
      <c r="H39" s="1"/>
      <c r="I39" s="1"/>
      <c r="J39" s="1"/>
      <c r="K39" s="1"/>
      <c r="L39" s="1"/>
      <c r="M39" s="1"/>
      <c r="N39" s="1"/>
    </row>
    <row r="40" spans="1:14" ht="26.1" customHeight="1" x14ac:dyDescent="0.2">
      <c r="A40" s="1" t="s">
        <v>51</v>
      </c>
      <c r="B40" s="1"/>
      <c r="C40" s="1"/>
      <c r="D40" s="1"/>
      <c r="E40" s="1"/>
      <c r="F40" s="1"/>
      <c r="G40" s="1"/>
      <c r="H40" s="1"/>
      <c r="I40" s="1"/>
      <c r="J40" s="1"/>
      <c r="K40" s="1"/>
      <c r="L40" s="1"/>
      <c r="M40" s="1"/>
      <c r="N40" s="1"/>
    </row>
    <row r="41" spans="1:14" x14ac:dyDescent="0.2">
      <c r="A41" s="1"/>
      <c r="B41" s="1"/>
      <c r="C41" s="1"/>
      <c r="D41" s="1"/>
      <c r="E41" s="1"/>
      <c r="F41" s="1"/>
      <c r="G41" s="1"/>
      <c r="H41" s="1"/>
      <c r="I41" s="1"/>
      <c r="J41" s="1"/>
      <c r="K41" s="1"/>
      <c r="L41" s="1"/>
      <c r="M41" s="1"/>
      <c r="N41" s="1"/>
    </row>
    <row r="42" spans="1:14" x14ac:dyDescent="0.2">
      <c r="A42" s="1"/>
      <c r="B42" s="1"/>
      <c r="C42" s="1"/>
      <c r="D42" s="1"/>
      <c r="E42" s="1"/>
      <c r="F42" s="1"/>
      <c r="G42" s="1"/>
      <c r="H42" s="1"/>
      <c r="I42" s="1"/>
      <c r="J42" s="1"/>
      <c r="K42" s="1"/>
      <c r="L42" s="1"/>
      <c r="M42" s="1"/>
      <c r="N42" s="1"/>
    </row>
    <row r="43" spans="1:14" x14ac:dyDescent="0.2">
      <c r="A43" s="1"/>
      <c r="B43" s="1"/>
      <c r="C43" s="1"/>
      <c r="D43" s="1"/>
      <c r="E43" s="1"/>
      <c r="F43" s="1"/>
      <c r="G43" s="1"/>
      <c r="H43" s="1"/>
      <c r="I43" s="1"/>
      <c r="J43" s="1"/>
      <c r="K43" s="1"/>
      <c r="L43" s="1"/>
      <c r="M43" s="1"/>
      <c r="N43" s="1"/>
    </row>
    <row r="44" spans="1:14" x14ac:dyDescent="0.2">
      <c r="A44" s="1"/>
      <c r="B44" s="1"/>
      <c r="C44" s="1"/>
      <c r="D44" s="1"/>
      <c r="E44" s="1"/>
      <c r="F44" s="1"/>
      <c r="G44" s="1"/>
      <c r="H44" s="1"/>
      <c r="I44" s="1"/>
      <c r="J44" s="1"/>
      <c r="K44" s="1"/>
      <c r="L44" s="1"/>
      <c r="M44" s="1"/>
      <c r="N44" s="1"/>
    </row>
    <row r="45" spans="1:14" x14ac:dyDescent="0.2">
      <c r="A45" s="1"/>
      <c r="B45" s="1"/>
      <c r="C45" s="1"/>
      <c r="D45" s="1"/>
      <c r="E45" s="1"/>
      <c r="F45" s="1"/>
      <c r="G45" s="1"/>
      <c r="H45" s="1"/>
      <c r="I45" s="1"/>
      <c r="J45" s="1"/>
      <c r="K45" s="1"/>
      <c r="L45" s="1"/>
      <c r="M45" s="1"/>
      <c r="N45" s="1"/>
    </row>
    <row r="46" spans="1:14" x14ac:dyDescent="0.2">
      <c r="A46" s="1"/>
      <c r="B46" s="1"/>
      <c r="C46" s="1"/>
      <c r="D46" s="1"/>
      <c r="E46" s="1"/>
      <c r="F46" s="1"/>
      <c r="G46" s="1"/>
      <c r="H46" s="1"/>
      <c r="I46" s="1"/>
      <c r="J46" s="1"/>
      <c r="K46" s="1"/>
      <c r="L46" s="1"/>
      <c r="M46" s="1"/>
      <c r="N46" s="1"/>
    </row>
    <row r="47" spans="1:14" x14ac:dyDescent="0.2">
      <c r="A47" s="1"/>
      <c r="B47" s="1"/>
      <c r="C47" s="1"/>
      <c r="D47" s="1"/>
      <c r="E47" s="1"/>
      <c r="F47" s="1"/>
      <c r="G47" s="1"/>
      <c r="H47" s="1"/>
      <c r="I47" s="1"/>
      <c r="J47" s="1"/>
      <c r="K47" s="1"/>
      <c r="L47" s="1"/>
      <c r="M47" s="1"/>
      <c r="N47" s="1"/>
    </row>
    <row r="48" spans="1:14" x14ac:dyDescent="0.2">
      <c r="A48" s="1"/>
      <c r="B48" s="1"/>
      <c r="C48" s="1"/>
      <c r="D48" s="1"/>
      <c r="E48" s="1"/>
      <c r="F48" s="1"/>
      <c r="G48" s="1"/>
      <c r="H48" s="1"/>
      <c r="I48" s="1"/>
      <c r="J48" s="1"/>
      <c r="K48" s="1"/>
      <c r="L48" s="1"/>
      <c r="M48" s="1"/>
      <c r="N48" s="1"/>
    </row>
    <row r="49" spans="1:14" x14ac:dyDescent="0.2">
      <c r="A49" s="1"/>
      <c r="B49" s="1"/>
      <c r="C49" s="1"/>
      <c r="D49" s="1"/>
      <c r="E49" s="1"/>
      <c r="F49" s="1"/>
      <c r="G49" s="1"/>
      <c r="H49" s="1"/>
      <c r="I49" s="1"/>
      <c r="J49" s="1"/>
      <c r="K49" s="1"/>
      <c r="L49" s="1"/>
      <c r="M49" s="1"/>
      <c r="N49" s="1"/>
    </row>
    <row r="50" spans="1:14" x14ac:dyDescent="0.2">
      <c r="A50" s="1"/>
      <c r="B50" s="1"/>
      <c r="C50" s="1"/>
      <c r="D50" s="1"/>
      <c r="E50" s="1"/>
      <c r="F50" s="1"/>
      <c r="G50" s="1"/>
      <c r="H50" s="1"/>
      <c r="I50" s="1"/>
      <c r="J50" s="1"/>
      <c r="K50" s="1"/>
      <c r="L50" s="1"/>
      <c r="M50" s="1"/>
      <c r="N50" s="1"/>
    </row>
    <row r="51" spans="1:14" x14ac:dyDescent="0.2">
      <c r="A51" s="1"/>
      <c r="B51" s="1"/>
      <c r="C51" s="1"/>
      <c r="D51" s="1"/>
      <c r="E51" s="1"/>
      <c r="F51" s="1"/>
      <c r="G51" s="1"/>
      <c r="H51" s="1"/>
      <c r="I51" s="1"/>
      <c r="J51" s="1"/>
      <c r="K51" s="1"/>
      <c r="L51" s="1"/>
      <c r="M51" s="1"/>
      <c r="N51" s="1"/>
    </row>
    <row r="52" spans="1:14" x14ac:dyDescent="0.2">
      <c r="A52" s="1"/>
      <c r="B52" s="1"/>
      <c r="C52" s="1"/>
      <c r="D52" s="1"/>
      <c r="E52" s="1"/>
      <c r="F52" s="1"/>
      <c r="G52" s="1"/>
      <c r="H52" s="1"/>
      <c r="I52" s="1"/>
      <c r="J52" s="1"/>
      <c r="K52" s="1"/>
      <c r="L52" s="1"/>
      <c r="M52" s="1"/>
      <c r="N52" s="1"/>
    </row>
    <row r="53" spans="1:14" x14ac:dyDescent="0.2">
      <c r="A53" s="1"/>
      <c r="B53" s="1"/>
      <c r="C53" s="1"/>
      <c r="D53" s="1"/>
      <c r="E53" s="1"/>
      <c r="F53" s="1"/>
      <c r="G53" s="1"/>
      <c r="H53" s="1"/>
      <c r="I53" s="1"/>
      <c r="J53" s="1"/>
      <c r="K53" s="1"/>
      <c r="L53" s="1"/>
      <c r="M53" s="1"/>
      <c r="N53" s="1"/>
    </row>
    <row r="54" spans="1:14" x14ac:dyDescent="0.2">
      <c r="A54" s="1"/>
      <c r="B54" s="1"/>
      <c r="C54" s="1"/>
      <c r="D54" s="1"/>
      <c r="E54" s="1"/>
      <c r="F54" s="1"/>
      <c r="G54" s="1"/>
      <c r="H54" s="1"/>
      <c r="I54" s="1"/>
      <c r="J54" s="1"/>
      <c r="K54" s="1"/>
      <c r="L54" s="1"/>
      <c r="M54" s="1"/>
      <c r="N54" s="1"/>
    </row>
    <row r="55" spans="1:14" x14ac:dyDescent="0.2">
      <c r="A55" s="1"/>
      <c r="B55" s="1"/>
      <c r="C55" s="1"/>
      <c r="D55" s="1"/>
      <c r="E55" s="1"/>
      <c r="F55" s="1"/>
      <c r="G55" s="1"/>
      <c r="H55" s="1"/>
      <c r="I55" s="1"/>
      <c r="J55" s="1"/>
      <c r="K55" s="1"/>
      <c r="L55" s="1"/>
      <c r="M55" s="1"/>
      <c r="N55" s="1"/>
    </row>
    <row r="56" spans="1:14" x14ac:dyDescent="0.2">
      <c r="A56" s="1"/>
      <c r="B56" s="1"/>
      <c r="C56" s="1"/>
      <c r="D56" s="1"/>
      <c r="E56" s="1"/>
      <c r="F56" s="1"/>
      <c r="G56" s="1"/>
      <c r="H56" s="1"/>
      <c r="I56" s="1"/>
      <c r="J56" s="1"/>
      <c r="K56" s="1"/>
      <c r="L56" s="1"/>
      <c r="M56" s="1"/>
      <c r="N56" s="1"/>
    </row>
    <row r="57" spans="1:14" x14ac:dyDescent="0.2">
      <c r="A57" s="1"/>
      <c r="B57" s="1"/>
      <c r="C57" s="1"/>
      <c r="D57" s="1"/>
      <c r="E57" s="1"/>
      <c r="F57" s="1"/>
      <c r="G57" s="1"/>
      <c r="H57" s="1"/>
      <c r="I57" s="1"/>
      <c r="J57" s="1"/>
      <c r="K57" s="1"/>
      <c r="L57" s="1"/>
      <c r="M57" s="1"/>
      <c r="N5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1"/>
  <sheetViews>
    <sheetView tabSelected="1" topLeftCell="S1" zoomScale="85" zoomScaleNormal="85" workbookViewId="0">
      <pane ySplit="1" topLeftCell="A2" activePane="bottomLeft" state="frozen"/>
      <selection activeCell="M1" sqref="M1"/>
      <selection pane="bottomLeft" activeCell="Z1" sqref="Z1:AA1"/>
    </sheetView>
  </sheetViews>
  <sheetFormatPr defaultRowHeight="14.25" x14ac:dyDescent="0.2"/>
  <cols>
    <col min="1" max="1" width="12" customWidth="1"/>
    <col min="2" max="2" width="9" customWidth="1"/>
    <col min="3" max="3" width="30" customWidth="1"/>
    <col min="4" max="4" width="65" customWidth="1"/>
    <col min="5" max="5" width="25" customWidth="1"/>
    <col min="6" max="6" width="44" customWidth="1"/>
    <col min="7" max="7" width="18" customWidth="1"/>
    <col min="8" max="8" width="42" customWidth="1"/>
    <col min="9" max="9" width="65" customWidth="1"/>
    <col min="10" max="10" width="75" customWidth="1"/>
    <col min="11" max="12" width="23" customWidth="1"/>
    <col min="13" max="13" width="44" customWidth="1"/>
    <col min="14" max="14" width="30" customWidth="1"/>
    <col min="15" max="15" width="60" customWidth="1"/>
    <col min="16" max="16" width="20.625" style="7" customWidth="1"/>
    <col min="17" max="32" width="19" style="7" customWidth="1"/>
  </cols>
  <sheetData>
    <row r="1" spans="1:32" ht="36" customHeight="1" x14ac:dyDescent="0.2">
      <c r="A1" s="2" t="s">
        <v>52</v>
      </c>
      <c r="B1" s="2" t="s">
        <v>53</v>
      </c>
      <c r="C1" s="2" t="s">
        <v>29</v>
      </c>
      <c r="D1" s="2" t="s">
        <v>54</v>
      </c>
      <c r="E1" s="2" t="s">
        <v>55</v>
      </c>
      <c r="F1" s="2" t="s">
        <v>56</v>
      </c>
      <c r="G1" s="2" t="s">
        <v>5</v>
      </c>
      <c r="H1" s="2" t="s">
        <v>8</v>
      </c>
      <c r="I1" s="2" t="s">
        <v>57</v>
      </c>
      <c r="J1" s="2" t="s">
        <v>58</v>
      </c>
      <c r="K1" s="2" t="s">
        <v>59</v>
      </c>
      <c r="L1" s="2" t="s">
        <v>60</v>
      </c>
      <c r="M1" s="2" t="s">
        <v>61</v>
      </c>
      <c r="N1" s="2" t="s">
        <v>62</v>
      </c>
      <c r="O1" s="2" t="s">
        <v>63</v>
      </c>
      <c r="P1" s="8" t="s">
        <v>755</v>
      </c>
      <c r="Q1" s="12" t="s">
        <v>765</v>
      </c>
      <c r="R1" s="12" t="s">
        <v>12</v>
      </c>
      <c r="S1" s="12" t="s">
        <v>15</v>
      </c>
      <c r="T1" s="12" t="s">
        <v>18</v>
      </c>
      <c r="U1" s="12" t="s">
        <v>21</v>
      </c>
      <c r="V1" s="12" t="s">
        <v>24</v>
      </c>
      <c r="W1" s="12" t="s">
        <v>766</v>
      </c>
      <c r="X1" s="12" t="s">
        <v>28</v>
      </c>
      <c r="Y1" s="12" t="s">
        <v>754</v>
      </c>
      <c r="Z1" s="9" t="s">
        <v>773</v>
      </c>
      <c r="AA1" s="9" t="s">
        <v>774</v>
      </c>
      <c r="AB1" s="9" t="s">
        <v>758</v>
      </c>
      <c r="AC1" s="9" t="s">
        <v>759</v>
      </c>
      <c r="AD1" s="9" t="s">
        <v>760</v>
      </c>
      <c r="AE1" s="9" t="s">
        <v>761</v>
      </c>
      <c r="AF1" s="11" t="s">
        <v>27</v>
      </c>
    </row>
    <row r="2" spans="1:32" ht="48" customHeight="1" x14ac:dyDescent="0.2">
      <c r="A2" s="3" t="s">
        <v>64</v>
      </c>
      <c r="B2" s="3">
        <v>1</v>
      </c>
      <c r="C2" s="3" t="s">
        <v>32</v>
      </c>
      <c r="D2" s="3" t="s">
        <v>65</v>
      </c>
      <c r="E2" s="3" t="s">
        <v>9</v>
      </c>
      <c r="F2" s="3"/>
      <c r="G2" s="3" t="s">
        <v>10</v>
      </c>
      <c r="H2" s="3" t="s">
        <v>27</v>
      </c>
      <c r="I2" s="3" t="s">
        <v>66</v>
      </c>
      <c r="J2" s="3" t="s">
        <v>67</v>
      </c>
      <c r="K2" s="3" t="s">
        <v>68</v>
      </c>
      <c r="L2" s="3" t="s">
        <v>69</v>
      </c>
      <c r="M2" s="3"/>
      <c r="N2" s="3" t="s">
        <v>70</v>
      </c>
      <c r="O2" s="3"/>
      <c r="P2" s="10">
        <f>SUM(Paper2Coding[[#This Row],[Open Delegation]:[Expertise]])</f>
        <v>2</v>
      </c>
      <c r="Q2" s="10">
        <f t="shared" ref="Q2:Q33" si="0">IF(OR(E2="Delegation",ISNUMBER(SEARCH("; Delegation; ","; "&amp;F2&amp;"; "))),1,0)</f>
        <v>1</v>
      </c>
      <c r="R2" s="10">
        <f t="shared" ref="R2:R33" si="1">IF(OR(E2="Directed delegation",ISNUMBER(SEARCH("; Directed delegation; ","; "&amp;F2&amp;"; "))),1,0)</f>
        <v>0</v>
      </c>
      <c r="S2" s="10">
        <f t="shared" ref="S2:S33" si="2">IF(OR(E2="Evaluation",ISNUMBER(SEARCH("; Evaluation; ","; "&amp;F2&amp;"; "))),1,0)</f>
        <v>0</v>
      </c>
      <c r="T2" s="10">
        <f t="shared" ref="T2:T33" si="3">IF(OR(E2="Correction/Challenge",ISNUMBER(SEARCH("; Correction/Challenge; ","; "&amp;F2&amp;"; "))),1,0)</f>
        <v>0</v>
      </c>
      <c r="U2" s="10">
        <f t="shared" ref="U2:U33" si="4">IF(OR(E2="Redirection",ISNUMBER(SEARCH("; Redirection; ","; "&amp;F2&amp;"; "))),1,0)</f>
        <v>0</v>
      </c>
      <c r="V2" s="10">
        <f t="shared" ref="V2:V33" si="5">IF(OR(E2="Knowledge injection",ISNUMBER(SEARCH("; Knowledge injection; ","; "&amp;F2&amp;"; "))),1,0)</f>
        <v>0</v>
      </c>
      <c r="W2" s="10">
        <f t="shared" ref="W2:W33" si="6">IF(OR(E2="Selection/Rejection",ISNUMBER(SEARCH("; Selection/Rejection; ","; "&amp;F2&amp;"; "))),1,0)</f>
        <v>0</v>
      </c>
      <c r="X2" s="10">
        <f t="shared" ref="X2:X33" si="7">IF(OR(E2="Deliberation",ISNUMBER(SEARCH("; Deliberation; ","; "&amp;F2&amp;"; "))),1,0)</f>
        <v>0</v>
      </c>
      <c r="Y2" s="10">
        <f>SUM(Paper2Coding[[#This Row],[Subject-matter correction]:[none]])</f>
        <v>1</v>
      </c>
      <c r="Z2" s="10">
        <f t="shared" ref="Z2:Z33" si="8">IF(ISNUMBER(SEARCH("; domain correction; ","; "&amp;H2&amp;"; ")),1,0)</f>
        <v>0</v>
      </c>
      <c r="AA2" s="10">
        <f t="shared" ref="AA2:AA33" si="9">IF(ISNUMBER(SEARCH("; conceptual discrimination; ","; "&amp;H2&amp;"; ")),1,0)</f>
        <v>0</v>
      </c>
      <c r="AB2" s="10">
        <f t="shared" ref="AB2:AB33" si="10">IF(ISNUMBER(SEARCH("; evidence judgment; ","; "&amp;H2&amp;"; ")),1,0)</f>
        <v>0</v>
      </c>
      <c r="AC2" s="10">
        <f t="shared" ref="AC2:AC33" si="11">IF(ISNUMBER(SEARCH("; methodological judgment; ","; "&amp;H2&amp;"; ")),1,0)</f>
        <v>0</v>
      </c>
      <c r="AD2" s="10">
        <f t="shared" ref="AD2:AD33" si="12">IF(ISNUMBER(SEARCH("; argumentative judgment; ","; "&amp;H2&amp;"; ")),1,0)</f>
        <v>0</v>
      </c>
      <c r="AE2" s="10">
        <f t="shared" ref="AE2:AE33" si="13">IF(ISNUMBER(SEARCH("; genre/writing expertise; ","; "&amp;H2&amp;"; ")),1,0)</f>
        <v>0</v>
      </c>
      <c r="AF2" s="10">
        <f t="shared" ref="AF2:AF33" si="14">IF(ISNUMBER(SEARCH("; none; ","; "&amp;H2&amp;"; ")),1,0)</f>
        <v>1</v>
      </c>
    </row>
    <row r="3" spans="1:32" ht="48" customHeight="1" x14ac:dyDescent="0.2">
      <c r="A3" s="3" t="s">
        <v>71</v>
      </c>
      <c r="B3" s="3">
        <v>2</v>
      </c>
      <c r="C3" s="3" t="s">
        <v>32</v>
      </c>
      <c r="D3" s="13" t="s">
        <v>72</v>
      </c>
      <c r="E3" s="3" t="s">
        <v>12</v>
      </c>
      <c r="F3" s="3" t="s">
        <v>73</v>
      </c>
      <c r="G3" s="3" t="s">
        <v>13</v>
      </c>
      <c r="H3" s="3" t="s">
        <v>74</v>
      </c>
      <c r="I3" s="3" t="s">
        <v>75</v>
      </c>
      <c r="J3" s="3" t="s">
        <v>76</v>
      </c>
      <c r="K3" s="3" t="s">
        <v>77</v>
      </c>
      <c r="L3" s="3" t="s">
        <v>78</v>
      </c>
      <c r="M3" s="3"/>
      <c r="N3" s="3" t="s">
        <v>70</v>
      </c>
      <c r="O3" s="3"/>
      <c r="P3" s="10">
        <f>SUM(Paper2Coding[[#This Row],[Open Delegation]:[Expertise]])</f>
        <v>6</v>
      </c>
      <c r="Q3" s="10">
        <f t="shared" si="0"/>
        <v>0</v>
      </c>
      <c r="R3" s="10">
        <f t="shared" si="1"/>
        <v>1</v>
      </c>
      <c r="S3" s="10">
        <f t="shared" si="2"/>
        <v>0</v>
      </c>
      <c r="T3" s="10">
        <f t="shared" si="3"/>
        <v>0</v>
      </c>
      <c r="U3" s="10">
        <f t="shared" si="4"/>
        <v>1</v>
      </c>
      <c r="V3" s="10">
        <f t="shared" si="5"/>
        <v>1</v>
      </c>
      <c r="W3" s="10">
        <f t="shared" si="6"/>
        <v>0</v>
      </c>
      <c r="X3" s="10">
        <f t="shared" si="7"/>
        <v>0</v>
      </c>
      <c r="Y3" s="10">
        <f>SUM(Paper2Coding[[#This Row],[Subject-matter correction]:[none]])</f>
        <v>3</v>
      </c>
      <c r="Z3" s="10">
        <f t="shared" si="8"/>
        <v>0</v>
      </c>
      <c r="AA3" s="10">
        <f t="shared" si="9"/>
        <v>0</v>
      </c>
      <c r="AB3" s="10">
        <f t="shared" si="10"/>
        <v>0</v>
      </c>
      <c r="AC3" s="10">
        <f t="shared" si="11"/>
        <v>1</v>
      </c>
      <c r="AD3" s="10">
        <f t="shared" si="12"/>
        <v>1</v>
      </c>
      <c r="AE3" s="10">
        <f t="shared" si="13"/>
        <v>1</v>
      </c>
      <c r="AF3" s="10">
        <f t="shared" si="14"/>
        <v>0</v>
      </c>
    </row>
    <row r="4" spans="1:32" ht="48" customHeight="1" x14ac:dyDescent="0.2">
      <c r="A4" s="3" t="s">
        <v>79</v>
      </c>
      <c r="B4" s="3">
        <v>3</v>
      </c>
      <c r="C4" s="3" t="s">
        <v>32</v>
      </c>
      <c r="D4" s="3" t="s">
        <v>80</v>
      </c>
      <c r="E4" s="3" t="s">
        <v>12</v>
      </c>
      <c r="F4" s="3"/>
      <c r="G4" s="3" t="s">
        <v>13</v>
      </c>
      <c r="H4" s="3" t="s">
        <v>25</v>
      </c>
      <c r="I4" s="3" t="s">
        <v>81</v>
      </c>
      <c r="J4" s="3" t="s">
        <v>82</v>
      </c>
      <c r="K4" s="3" t="s">
        <v>83</v>
      </c>
      <c r="L4" s="3" t="s">
        <v>84</v>
      </c>
      <c r="M4" s="3"/>
      <c r="N4" s="3" t="s">
        <v>70</v>
      </c>
      <c r="O4" s="3"/>
      <c r="P4" s="10">
        <f>SUM(Paper2Coding[[#This Row],[Open Delegation]:[Expertise]])</f>
        <v>2</v>
      </c>
      <c r="Q4" s="10">
        <f t="shared" si="0"/>
        <v>0</v>
      </c>
      <c r="R4" s="10">
        <f t="shared" si="1"/>
        <v>1</v>
      </c>
      <c r="S4" s="10">
        <f t="shared" si="2"/>
        <v>0</v>
      </c>
      <c r="T4" s="10">
        <f t="shared" si="3"/>
        <v>0</v>
      </c>
      <c r="U4" s="10">
        <f t="shared" si="4"/>
        <v>0</v>
      </c>
      <c r="V4" s="10">
        <f t="shared" si="5"/>
        <v>0</v>
      </c>
      <c r="W4" s="10">
        <f t="shared" si="6"/>
        <v>0</v>
      </c>
      <c r="X4" s="10">
        <f t="shared" si="7"/>
        <v>0</v>
      </c>
      <c r="Y4" s="10">
        <f>SUM(Paper2Coding[[#This Row],[Subject-matter correction]:[none]])</f>
        <v>1</v>
      </c>
      <c r="Z4" s="10">
        <f t="shared" si="8"/>
        <v>0</v>
      </c>
      <c r="AA4" s="10">
        <f t="shared" si="9"/>
        <v>0</v>
      </c>
      <c r="AB4" s="10">
        <f t="shared" si="10"/>
        <v>0</v>
      </c>
      <c r="AC4" s="10">
        <f t="shared" si="11"/>
        <v>0</v>
      </c>
      <c r="AD4" s="10">
        <f t="shared" si="12"/>
        <v>0</v>
      </c>
      <c r="AE4" s="10">
        <f t="shared" si="13"/>
        <v>1</v>
      </c>
      <c r="AF4" s="10">
        <f t="shared" si="14"/>
        <v>0</v>
      </c>
    </row>
    <row r="5" spans="1:32" ht="48" customHeight="1" x14ac:dyDescent="0.2">
      <c r="A5" s="3" t="s">
        <v>85</v>
      </c>
      <c r="B5" s="3">
        <v>4</v>
      </c>
      <c r="C5" s="3" t="s">
        <v>32</v>
      </c>
      <c r="D5" s="3" t="s">
        <v>86</v>
      </c>
      <c r="E5" s="3" t="s">
        <v>15</v>
      </c>
      <c r="F5" s="3" t="s">
        <v>24</v>
      </c>
      <c r="G5" s="3" t="s">
        <v>16</v>
      </c>
      <c r="H5" s="3" t="s">
        <v>87</v>
      </c>
      <c r="I5" s="3" t="s">
        <v>88</v>
      </c>
      <c r="J5" s="3" t="s">
        <v>89</v>
      </c>
      <c r="K5" s="3" t="s">
        <v>90</v>
      </c>
      <c r="L5" s="3" t="s">
        <v>91</v>
      </c>
      <c r="M5" s="3"/>
      <c r="N5" s="3" t="s">
        <v>70</v>
      </c>
      <c r="O5" s="3"/>
      <c r="P5" s="10">
        <f>SUM(Paper2Coding[[#This Row],[Open Delegation]:[Expertise]])</f>
        <v>4</v>
      </c>
      <c r="Q5" s="10">
        <f t="shared" si="0"/>
        <v>0</v>
      </c>
      <c r="R5" s="10">
        <f t="shared" si="1"/>
        <v>0</v>
      </c>
      <c r="S5" s="10">
        <f t="shared" si="2"/>
        <v>1</v>
      </c>
      <c r="T5" s="10">
        <f t="shared" si="3"/>
        <v>0</v>
      </c>
      <c r="U5" s="10">
        <f t="shared" si="4"/>
        <v>0</v>
      </c>
      <c r="V5" s="10">
        <f t="shared" si="5"/>
        <v>1</v>
      </c>
      <c r="W5" s="10">
        <f t="shared" si="6"/>
        <v>0</v>
      </c>
      <c r="X5" s="10">
        <f t="shared" si="7"/>
        <v>0</v>
      </c>
      <c r="Y5" s="10">
        <f>SUM(Paper2Coding[[#This Row],[Subject-matter correction]:[none]])</f>
        <v>2</v>
      </c>
      <c r="Z5" s="10">
        <f t="shared" si="8"/>
        <v>0</v>
      </c>
      <c r="AA5" s="10">
        <f t="shared" si="9"/>
        <v>0</v>
      </c>
      <c r="AB5" s="10">
        <f t="shared" si="10"/>
        <v>0</v>
      </c>
      <c r="AC5" s="10">
        <f t="shared" si="11"/>
        <v>0</v>
      </c>
      <c r="AD5" s="10">
        <f t="shared" si="12"/>
        <v>1</v>
      </c>
      <c r="AE5" s="10">
        <f t="shared" si="13"/>
        <v>1</v>
      </c>
      <c r="AF5" s="10">
        <f t="shared" si="14"/>
        <v>0</v>
      </c>
    </row>
    <row r="6" spans="1:32" ht="48" customHeight="1" x14ac:dyDescent="0.2">
      <c r="A6" s="3" t="s">
        <v>92</v>
      </c>
      <c r="B6" s="3">
        <v>5</v>
      </c>
      <c r="C6" s="3" t="s">
        <v>32</v>
      </c>
      <c r="D6" s="3" t="s">
        <v>93</v>
      </c>
      <c r="E6" s="3" t="s">
        <v>12</v>
      </c>
      <c r="F6" s="3"/>
      <c r="G6" s="3" t="s">
        <v>13</v>
      </c>
      <c r="H6" s="3" t="s">
        <v>27</v>
      </c>
      <c r="I6" s="3" t="s">
        <v>94</v>
      </c>
      <c r="J6" s="3" t="s">
        <v>95</v>
      </c>
      <c r="K6" s="3" t="s">
        <v>96</v>
      </c>
      <c r="L6" s="3" t="s">
        <v>97</v>
      </c>
      <c r="M6" s="3"/>
      <c r="N6" s="3" t="s">
        <v>70</v>
      </c>
      <c r="O6" s="3"/>
      <c r="P6" s="10">
        <f>SUM(Paper2Coding[[#This Row],[Open Delegation]:[Expertise]])</f>
        <v>2</v>
      </c>
      <c r="Q6" s="10">
        <f t="shared" si="0"/>
        <v>0</v>
      </c>
      <c r="R6" s="10">
        <f t="shared" si="1"/>
        <v>1</v>
      </c>
      <c r="S6" s="10">
        <f t="shared" si="2"/>
        <v>0</v>
      </c>
      <c r="T6" s="10">
        <f t="shared" si="3"/>
        <v>0</v>
      </c>
      <c r="U6" s="10">
        <f t="shared" si="4"/>
        <v>0</v>
      </c>
      <c r="V6" s="10">
        <f t="shared" si="5"/>
        <v>0</v>
      </c>
      <c r="W6" s="10">
        <f t="shared" si="6"/>
        <v>0</v>
      </c>
      <c r="X6" s="10">
        <f t="shared" si="7"/>
        <v>0</v>
      </c>
      <c r="Y6" s="10">
        <f>SUM(Paper2Coding[[#This Row],[Subject-matter correction]:[none]])</f>
        <v>1</v>
      </c>
      <c r="Z6" s="10">
        <f t="shared" si="8"/>
        <v>0</v>
      </c>
      <c r="AA6" s="10">
        <f t="shared" si="9"/>
        <v>0</v>
      </c>
      <c r="AB6" s="10">
        <f t="shared" si="10"/>
        <v>0</v>
      </c>
      <c r="AC6" s="10">
        <f t="shared" si="11"/>
        <v>0</v>
      </c>
      <c r="AD6" s="10">
        <f t="shared" si="12"/>
        <v>0</v>
      </c>
      <c r="AE6" s="10">
        <f t="shared" si="13"/>
        <v>0</v>
      </c>
      <c r="AF6" s="10">
        <f t="shared" si="14"/>
        <v>1</v>
      </c>
    </row>
    <row r="7" spans="1:32" ht="48" customHeight="1" x14ac:dyDescent="0.2">
      <c r="A7" s="3" t="s">
        <v>98</v>
      </c>
      <c r="B7" s="3">
        <v>6</v>
      </c>
      <c r="C7" s="3" t="s">
        <v>32</v>
      </c>
      <c r="D7" s="3" t="s">
        <v>99</v>
      </c>
      <c r="E7" s="3" t="s">
        <v>18</v>
      </c>
      <c r="F7" s="3" t="s">
        <v>100</v>
      </c>
      <c r="G7" s="3" t="s">
        <v>19</v>
      </c>
      <c r="H7" s="3" t="s">
        <v>101</v>
      </c>
      <c r="I7" s="3" t="s">
        <v>102</v>
      </c>
      <c r="J7" s="3" t="s">
        <v>103</v>
      </c>
      <c r="K7" s="3" t="s">
        <v>104</v>
      </c>
      <c r="L7" s="3" t="s">
        <v>105</v>
      </c>
      <c r="M7" s="3"/>
      <c r="N7" s="3" t="s">
        <v>70</v>
      </c>
      <c r="O7" s="3"/>
      <c r="P7" s="10">
        <f>SUM(Paper2Coding[[#This Row],[Open Delegation]:[Expertise]])</f>
        <v>7</v>
      </c>
      <c r="Q7" s="10">
        <f t="shared" si="0"/>
        <v>0</v>
      </c>
      <c r="R7" s="10">
        <f t="shared" si="1"/>
        <v>0</v>
      </c>
      <c r="S7" s="10">
        <f t="shared" si="2"/>
        <v>1</v>
      </c>
      <c r="T7" s="10">
        <f t="shared" si="3"/>
        <v>1</v>
      </c>
      <c r="U7" s="10">
        <f t="shared" si="4"/>
        <v>1</v>
      </c>
      <c r="V7" s="10">
        <f t="shared" si="5"/>
        <v>1</v>
      </c>
      <c r="W7" s="10">
        <f t="shared" si="6"/>
        <v>0</v>
      </c>
      <c r="X7" s="10">
        <f t="shared" si="7"/>
        <v>0</v>
      </c>
      <c r="Y7" s="10">
        <f>SUM(Paper2Coding[[#This Row],[Subject-matter correction]:[none]])</f>
        <v>3</v>
      </c>
      <c r="Z7" s="10">
        <f t="shared" si="8"/>
        <v>0</v>
      </c>
      <c r="AA7" s="10">
        <f t="shared" si="9"/>
        <v>0</v>
      </c>
      <c r="AB7" s="10">
        <f t="shared" si="10"/>
        <v>1</v>
      </c>
      <c r="AC7" s="10">
        <f t="shared" si="11"/>
        <v>0</v>
      </c>
      <c r="AD7" s="10">
        <f t="shared" si="12"/>
        <v>1</v>
      </c>
      <c r="AE7" s="10">
        <f t="shared" si="13"/>
        <v>1</v>
      </c>
      <c r="AF7" s="10">
        <f t="shared" si="14"/>
        <v>0</v>
      </c>
    </row>
    <row r="8" spans="1:32" ht="48" customHeight="1" x14ac:dyDescent="0.2">
      <c r="A8" s="3" t="s">
        <v>106</v>
      </c>
      <c r="B8" s="3">
        <v>7</v>
      </c>
      <c r="C8" s="3" t="s">
        <v>32</v>
      </c>
      <c r="D8" s="3" t="s">
        <v>107</v>
      </c>
      <c r="E8" s="3" t="s">
        <v>12</v>
      </c>
      <c r="F8" s="3"/>
      <c r="G8" s="3" t="s">
        <v>13</v>
      </c>
      <c r="H8" s="3" t="s">
        <v>25</v>
      </c>
      <c r="I8" s="3" t="s">
        <v>108</v>
      </c>
      <c r="J8" s="3" t="s">
        <v>109</v>
      </c>
      <c r="K8" s="3" t="s">
        <v>110</v>
      </c>
      <c r="L8" s="3" t="s">
        <v>111</v>
      </c>
      <c r="M8" s="3"/>
      <c r="N8" s="3" t="s">
        <v>70</v>
      </c>
      <c r="O8" s="3"/>
      <c r="P8" s="10">
        <f>SUM(Paper2Coding[[#This Row],[Open Delegation]:[Expertise]])</f>
        <v>2</v>
      </c>
      <c r="Q8" s="10">
        <f t="shared" si="0"/>
        <v>0</v>
      </c>
      <c r="R8" s="10">
        <f t="shared" si="1"/>
        <v>1</v>
      </c>
      <c r="S8" s="10">
        <f t="shared" si="2"/>
        <v>0</v>
      </c>
      <c r="T8" s="10">
        <f t="shared" si="3"/>
        <v>0</v>
      </c>
      <c r="U8" s="10">
        <f t="shared" si="4"/>
        <v>0</v>
      </c>
      <c r="V8" s="10">
        <f t="shared" si="5"/>
        <v>0</v>
      </c>
      <c r="W8" s="10">
        <f t="shared" si="6"/>
        <v>0</v>
      </c>
      <c r="X8" s="10">
        <f t="shared" si="7"/>
        <v>0</v>
      </c>
      <c r="Y8" s="10">
        <f>SUM(Paper2Coding[[#This Row],[Subject-matter correction]:[none]])</f>
        <v>1</v>
      </c>
      <c r="Z8" s="10">
        <f t="shared" si="8"/>
        <v>0</v>
      </c>
      <c r="AA8" s="10">
        <f t="shared" si="9"/>
        <v>0</v>
      </c>
      <c r="AB8" s="10">
        <f t="shared" si="10"/>
        <v>0</v>
      </c>
      <c r="AC8" s="10">
        <f t="shared" si="11"/>
        <v>0</v>
      </c>
      <c r="AD8" s="10">
        <f t="shared" si="12"/>
        <v>0</v>
      </c>
      <c r="AE8" s="10">
        <f t="shared" si="13"/>
        <v>1</v>
      </c>
      <c r="AF8" s="10">
        <f t="shared" si="14"/>
        <v>0</v>
      </c>
    </row>
    <row r="9" spans="1:32" ht="48" customHeight="1" x14ac:dyDescent="0.2">
      <c r="A9" s="3" t="s">
        <v>112</v>
      </c>
      <c r="B9" s="3">
        <v>8</v>
      </c>
      <c r="C9" s="3" t="s">
        <v>33</v>
      </c>
      <c r="D9" s="3" t="s">
        <v>113</v>
      </c>
      <c r="E9" s="3" t="s">
        <v>12</v>
      </c>
      <c r="F9" s="3"/>
      <c r="G9" s="3" t="s">
        <v>13</v>
      </c>
      <c r="H9" s="3" t="s">
        <v>17</v>
      </c>
      <c r="I9" s="3" t="s">
        <v>114</v>
      </c>
      <c r="J9" s="3" t="s">
        <v>115</v>
      </c>
      <c r="K9" s="3" t="s">
        <v>116</v>
      </c>
      <c r="L9" s="3" t="s">
        <v>117</v>
      </c>
      <c r="M9" s="3"/>
      <c r="N9" s="3" t="s">
        <v>70</v>
      </c>
      <c r="O9" s="3"/>
      <c r="P9" s="10">
        <f>SUM(Paper2Coding[[#This Row],[Open Delegation]:[Expertise]])</f>
        <v>2</v>
      </c>
      <c r="Q9" s="10">
        <f t="shared" si="0"/>
        <v>0</v>
      </c>
      <c r="R9" s="10">
        <f t="shared" si="1"/>
        <v>1</v>
      </c>
      <c r="S9" s="10">
        <f t="shared" si="2"/>
        <v>0</v>
      </c>
      <c r="T9" s="10">
        <f t="shared" si="3"/>
        <v>0</v>
      </c>
      <c r="U9" s="10">
        <f t="shared" si="4"/>
        <v>0</v>
      </c>
      <c r="V9" s="10">
        <f t="shared" si="5"/>
        <v>0</v>
      </c>
      <c r="W9" s="10">
        <f t="shared" si="6"/>
        <v>0</v>
      </c>
      <c r="X9" s="10">
        <f t="shared" si="7"/>
        <v>0</v>
      </c>
      <c r="Y9" s="10">
        <f>SUM(Paper2Coding[[#This Row],[Subject-matter correction]:[none]])</f>
        <v>1</v>
      </c>
      <c r="Z9" s="10">
        <f t="shared" si="8"/>
        <v>0</v>
      </c>
      <c r="AA9" s="10">
        <f t="shared" si="9"/>
        <v>0</v>
      </c>
      <c r="AB9" s="10">
        <f t="shared" si="10"/>
        <v>1</v>
      </c>
      <c r="AC9" s="10">
        <f t="shared" si="11"/>
        <v>0</v>
      </c>
      <c r="AD9" s="10">
        <f t="shared" si="12"/>
        <v>0</v>
      </c>
      <c r="AE9" s="10">
        <f t="shared" si="13"/>
        <v>0</v>
      </c>
      <c r="AF9" s="10">
        <f t="shared" si="14"/>
        <v>0</v>
      </c>
    </row>
    <row r="10" spans="1:32" ht="48" customHeight="1" x14ac:dyDescent="0.2">
      <c r="A10" s="3" t="s">
        <v>118</v>
      </c>
      <c r="B10" s="3">
        <v>9</v>
      </c>
      <c r="C10" s="3" t="s">
        <v>33</v>
      </c>
      <c r="D10" s="3" t="s">
        <v>119</v>
      </c>
      <c r="E10" s="3" t="s">
        <v>12</v>
      </c>
      <c r="F10" s="3" t="s">
        <v>21</v>
      </c>
      <c r="G10" s="3" t="s">
        <v>13</v>
      </c>
      <c r="H10" s="3" t="s">
        <v>27</v>
      </c>
      <c r="I10" s="3" t="s">
        <v>120</v>
      </c>
      <c r="J10" s="3" t="s">
        <v>121</v>
      </c>
      <c r="K10" s="3" t="s">
        <v>122</v>
      </c>
      <c r="L10" s="3" t="s">
        <v>123</v>
      </c>
      <c r="M10" s="3"/>
      <c r="N10" s="3" t="s">
        <v>70</v>
      </c>
      <c r="O10" s="3"/>
      <c r="P10" s="10">
        <f>SUM(Paper2Coding[[#This Row],[Open Delegation]:[Expertise]])</f>
        <v>3</v>
      </c>
      <c r="Q10" s="10">
        <f t="shared" si="0"/>
        <v>0</v>
      </c>
      <c r="R10" s="10">
        <f t="shared" si="1"/>
        <v>1</v>
      </c>
      <c r="S10" s="10">
        <f t="shared" si="2"/>
        <v>0</v>
      </c>
      <c r="T10" s="10">
        <f t="shared" si="3"/>
        <v>0</v>
      </c>
      <c r="U10" s="10">
        <f t="shared" si="4"/>
        <v>1</v>
      </c>
      <c r="V10" s="10">
        <f t="shared" si="5"/>
        <v>0</v>
      </c>
      <c r="W10" s="10">
        <f t="shared" si="6"/>
        <v>0</v>
      </c>
      <c r="X10" s="10">
        <f t="shared" si="7"/>
        <v>0</v>
      </c>
      <c r="Y10" s="10">
        <f>SUM(Paper2Coding[[#This Row],[Subject-matter correction]:[none]])</f>
        <v>1</v>
      </c>
      <c r="Z10" s="10">
        <f t="shared" si="8"/>
        <v>0</v>
      </c>
      <c r="AA10" s="10">
        <f t="shared" si="9"/>
        <v>0</v>
      </c>
      <c r="AB10" s="10">
        <f t="shared" si="10"/>
        <v>0</v>
      </c>
      <c r="AC10" s="10">
        <f t="shared" si="11"/>
        <v>0</v>
      </c>
      <c r="AD10" s="10">
        <f t="shared" si="12"/>
        <v>0</v>
      </c>
      <c r="AE10" s="10">
        <f t="shared" si="13"/>
        <v>0</v>
      </c>
      <c r="AF10" s="10">
        <f t="shared" si="14"/>
        <v>1</v>
      </c>
    </row>
    <row r="11" spans="1:32" ht="48" customHeight="1" x14ac:dyDescent="0.2">
      <c r="A11" s="3" t="s">
        <v>124</v>
      </c>
      <c r="B11" s="3">
        <v>10</v>
      </c>
      <c r="C11" s="3" t="s">
        <v>33</v>
      </c>
      <c r="D11" s="3" t="s">
        <v>125</v>
      </c>
      <c r="E11" s="3" t="s">
        <v>24</v>
      </c>
      <c r="F11" s="3" t="s">
        <v>126</v>
      </c>
      <c r="G11" s="3" t="s">
        <v>13</v>
      </c>
      <c r="H11" s="3" t="s">
        <v>127</v>
      </c>
      <c r="I11" s="3" t="s">
        <v>128</v>
      </c>
      <c r="J11" s="3" t="s">
        <v>129</v>
      </c>
      <c r="K11" s="3" t="s">
        <v>130</v>
      </c>
      <c r="L11" s="3" t="s">
        <v>131</v>
      </c>
      <c r="M11" s="3"/>
      <c r="N11" s="3" t="s">
        <v>70</v>
      </c>
      <c r="O11" s="3"/>
      <c r="P11" s="10">
        <f>SUM(Paper2Coding[[#This Row],[Open Delegation]:[Expertise]])</f>
        <v>5</v>
      </c>
      <c r="Q11" s="10">
        <f t="shared" si="0"/>
        <v>0</v>
      </c>
      <c r="R11" s="10">
        <f t="shared" si="1"/>
        <v>1</v>
      </c>
      <c r="S11" s="10">
        <f t="shared" si="2"/>
        <v>0</v>
      </c>
      <c r="T11" s="10">
        <f t="shared" si="3"/>
        <v>0</v>
      </c>
      <c r="U11" s="10">
        <f t="shared" si="4"/>
        <v>0</v>
      </c>
      <c r="V11" s="10">
        <f t="shared" si="5"/>
        <v>1</v>
      </c>
      <c r="W11" s="10">
        <f t="shared" si="6"/>
        <v>1</v>
      </c>
      <c r="X11" s="10">
        <f t="shared" si="7"/>
        <v>0</v>
      </c>
      <c r="Y11" s="10">
        <f>SUM(Paper2Coding[[#This Row],[Subject-matter correction]:[none]])</f>
        <v>2</v>
      </c>
      <c r="Z11" s="10">
        <f t="shared" si="8"/>
        <v>0</v>
      </c>
      <c r="AA11" s="10">
        <f t="shared" si="9"/>
        <v>0</v>
      </c>
      <c r="AB11" s="10">
        <f t="shared" si="10"/>
        <v>1</v>
      </c>
      <c r="AC11" s="10">
        <f t="shared" si="11"/>
        <v>0</v>
      </c>
      <c r="AD11" s="10">
        <f t="shared" si="12"/>
        <v>1</v>
      </c>
      <c r="AE11" s="10">
        <f t="shared" si="13"/>
        <v>0</v>
      </c>
      <c r="AF11" s="10">
        <f t="shared" si="14"/>
        <v>0</v>
      </c>
    </row>
    <row r="12" spans="1:32" ht="48" customHeight="1" x14ac:dyDescent="0.2">
      <c r="A12" s="3" t="s">
        <v>132</v>
      </c>
      <c r="B12" s="3">
        <v>11</v>
      </c>
      <c r="C12" s="3" t="s">
        <v>33</v>
      </c>
      <c r="D12" s="3" t="s">
        <v>133</v>
      </c>
      <c r="E12" s="3" t="s">
        <v>9</v>
      </c>
      <c r="F12" s="3"/>
      <c r="G12" s="3" t="s">
        <v>10</v>
      </c>
      <c r="H12" s="3" t="s">
        <v>27</v>
      </c>
      <c r="I12" s="3" t="s">
        <v>134</v>
      </c>
      <c r="J12" s="3" t="s">
        <v>135</v>
      </c>
      <c r="K12" s="3" t="s">
        <v>136</v>
      </c>
      <c r="L12" s="3" t="s">
        <v>137</v>
      </c>
      <c r="M12" s="3"/>
      <c r="N12" s="3" t="s">
        <v>70</v>
      </c>
      <c r="O12" s="3"/>
      <c r="P12" s="10">
        <f>SUM(Paper2Coding[[#This Row],[Open Delegation]:[Expertise]])</f>
        <v>2</v>
      </c>
      <c r="Q12" s="10">
        <f t="shared" si="0"/>
        <v>1</v>
      </c>
      <c r="R12" s="10">
        <f t="shared" si="1"/>
        <v>0</v>
      </c>
      <c r="S12" s="10">
        <f t="shared" si="2"/>
        <v>0</v>
      </c>
      <c r="T12" s="10">
        <f t="shared" si="3"/>
        <v>0</v>
      </c>
      <c r="U12" s="10">
        <f t="shared" si="4"/>
        <v>0</v>
      </c>
      <c r="V12" s="10">
        <f t="shared" si="5"/>
        <v>0</v>
      </c>
      <c r="W12" s="10">
        <f t="shared" si="6"/>
        <v>0</v>
      </c>
      <c r="X12" s="10">
        <f t="shared" si="7"/>
        <v>0</v>
      </c>
      <c r="Y12" s="10">
        <f>SUM(Paper2Coding[[#This Row],[Subject-matter correction]:[none]])</f>
        <v>1</v>
      </c>
      <c r="Z12" s="10">
        <f t="shared" si="8"/>
        <v>0</v>
      </c>
      <c r="AA12" s="10">
        <f t="shared" si="9"/>
        <v>0</v>
      </c>
      <c r="AB12" s="10">
        <f t="shared" si="10"/>
        <v>0</v>
      </c>
      <c r="AC12" s="10">
        <f t="shared" si="11"/>
        <v>0</v>
      </c>
      <c r="AD12" s="10">
        <f t="shared" si="12"/>
        <v>0</v>
      </c>
      <c r="AE12" s="10">
        <f t="shared" si="13"/>
        <v>0</v>
      </c>
      <c r="AF12" s="10">
        <f t="shared" si="14"/>
        <v>1</v>
      </c>
    </row>
    <row r="13" spans="1:32" ht="48" customHeight="1" x14ac:dyDescent="0.2">
      <c r="A13" s="3" t="s">
        <v>138</v>
      </c>
      <c r="B13" s="3">
        <v>12</v>
      </c>
      <c r="C13" s="3" t="s">
        <v>33</v>
      </c>
      <c r="D13" s="3" t="s">
        <v>139</v>
      </c>
      <c r="E13" s="3" t="s">
        <v>12</v>
      </c>
      <c r="F13" s="3"/>
      <c r="G13" s="3" t="s">
        <v>13</v>
      </c>
      <c r="H13" s="3" t="s">
        <v>140</v>
      </c>
      <c r="I13" s="3" t="s">
        <v>141</v>
      </c>
      <c r="J13" s="3" t="s">
        <v>142</v>
      </c>
      <c r="K13" s="3" t="s">
        <v>143</v>
      </c>
      <c r="L13" s="3" t="s">
        <v>144</v>
      </c>
      <c r="M13" s="3"/>
      <c r="N13" s="3" t="s">
        <v>70</v>
      </c>
      <c r="O13" s="3"/>
      <c r="P13" s="10">
        <f>SUM(Paper2Coding[[#This Row],[Open Delegation]:[Expertise]])</f>
        <v>3</v>
      </c>
      <c r="Q13" s="10">
        <f t="shared" si="0"/>
        <v>0</v>
      </c>
      <c r="R13" s="10">
        <f t="shared" si="1"/>
        <v>1</v>
      </c>
      <c r="S13" s="10">
        <f t="shared" si="2"/>
        <v>0</v>
      </c>
      <c r="T13" s="10">
        <f t="shared" si="3"/>
        <v>0</v>
      </c>
      <c r="U13" s="10">
        <f t="shared" si="4"/>
        <v>0</v>
      </c>
      <c r="V13" s="10">
        <f t="shared" si="5"/>
        <v>0</v>
      </c>
      <c r="W13" s="10">
        <f t="shared" si="6"/>
        <v>0</v>
      </c>
      <c r="X13" s="10">
        <f t="shared" si="7"/>
        <v>0</v>
      </c>
      <c r="Y13" s="10">
        <f>SUM(Paper2Coding[[#This Row],[Subject-matter correction]:[none]])</f>
        <v>2</v>
      </c>
      <c r="Z13" s="10">
        <f t="shared" si="8"/>
        <v>0</v>
      </c>
      <c r="AA13" s="10">
        <f t="shared" si="9"/>
        <v>0</v>
      </c>
      <c r="AB13" s="10">
        <f t="shared" si="10"/>
        <v>1</v>
      </c>
      <c r="AC13" s="10">
        <f t="shared" si="11"/>
        <v>0</v>
      </c>
      <c r="AD13" s="10">
        <f t="shared" si="12"/>
        <v>0</v>
      </c>
      <c r="AE13" s="10">
        <f t="shared" si="13"/>
        <v>1</v>
      </c>
      <c r="AF13" s="10">
        <f t="shared" si="14"/>
        <v>0</v>
      </c>
    </row>
    <row r="14" spans="1:32" ht="48" customHeight="1" x14ac:dyDescent="0.2">
      <c r="A14" s="3" t="s">
        <v>145</v>
      </c>
      <c r="B14" s="3">
        <v>13</v>
      </c>
      <c r="C14" s="3" t="s">
        <v>33</v>
      </c>
      <c r="D14" s="3" t="s">
        <v>146</v>
      </c>
      <c r="E14" s="3" t="s">
        <v>18</v>
      </c>
      <c r="F14" s="3" t="s">
        <v>126</v>
      </c>
      <c r="G14" s="3" t="s">
        <v>19</v>
      </c>
      <c r="H14" s="3" t="s">
        <v>147</v>
      </c>
      <c r="I14" s="3" t="s">
        <v>148</v>
      </c>
      <c r="J14" s="3" t="s">
        <v>149</v>
      </c>
      <c r="K14" s="3" t="s">
        <v>150</v>
      </c>
      <c r="L14" s="3" t="s">
        <v>151</v>
      </c>
      <c r="M14" s="3"/>
      <c r="N14" s="3" t="s">
        <v>70</v>
      </c>
      <c r="O14" s="3"/>
      <c r="P14" s="10">
        <f>SUM(Paper2Coding[[#This Row],[Open Delegation]:[Expertise]])</f>
        <v>5</v>
      </c>
      <c r="Q14" s="10">
        <f t="shared" si="0"/>
        <v>0</v>
      </c>
      <c r="R14" s="10">
        <f t="shared" si="1"/>
        <v>1</v>
      </c>
      <c r="S14" s="10">
        <f t="shared" si="2"/>
        <v>0</v>
      </c>
      <c r="T14" s="10">
        <f t="shared" si="3"/>
        <v>1</v>
      </c>
      <c r="U14" s="10">
        <f t="shared" si="4"/>
        <v>0</v>
      </c>
      <c r="V14" s="10">
        <f t="shared" si="5"/>
        <v>0</v>
      </c>
      <c r="W14" s="10">
        <f t="shared" si="6"/>
        <v>1</v>
      </c>
      <c r="X14" s="10">
        <f t="shared" si="7"/>
        <v>0</v>
      </c>
      <c r="Y14" s="10">
        <f>SUM(Paper2Coding[[#This Row],[Subject-matter correction]:[none]])</f>
        <v>2</v>
      </c>
      <c r="Z14" s="10">
        <f t="shared" si="8"/>
        <v>0</v>
      </c>
      <c r="AA14" s="10">
        <f t="shared" si="9"/>
        <v>0</v>
      </c>
      <c r="AB14" s="10">
        <f t="shared" si="10"/>
        <v>1</v>
      </c>
      <c r="AC14" s="10">
        <f t="shared" si="11"/>
        <v>1</v>
      </c>
      <c r="AD14" s="10">
        <f t="shared" si="12"/>
        <v>0</v>
      </c>
      <c r="AE14" s="10">
        <f t="shared" si="13"/>
        <v>0</v>
      </c>
      <c r="AF14" s="10">
        <f t="shared" si="14"/>
        <v>0</v>
      </c>
    </row>
    <row r="15" spans="1:32" ht="48" customHeight="1" x14ac:dyDescent="0.2">
      <c r="A15" s="3" t="s">
        <v>152</v>
      </c>
      <c r="B15" s="3">
        <v>14</v>
      </c>
      <c r="C15" s="3" t="s">
        <v>33</v>
      </c>
      <c r="D15" s="3" t="s">
        <v>153</v>
      </c>
      <c r="E15" s="3" t="s">
        <v>18</v>
      </c>
      <c r="F15" s="3"/>
      <c r="G15" s="3" t="s">
        <v>19</v>
      </c>
      <c r="H15" s="3" t="s">
        <v>17</v>
      </c>
      <c r="I15" s="3" t="s">
        <v>154</v>
      </c>
      <c r="J15" s="3" t="s">
        <v>155</v>
      </c>
      <c r="K15" s="3" t="s">
        <v>156</v>
      </c>
      <c r="L15" s="3" t="s">
        <v>157</v>
      </c>
      <c r="M15" s="3"/>
      <c r="N15" s="3" t="s">
        <v>70</v>
      </c>
      <c r="O15" s="3"/>
      <c r="P15" s="10">
        <f>SUM(Paper2Coding[[#This Row],[Open Delegation]:[Expertise]])</f>
        <v>2</v>
      </c>
      <c r="Q15" s="10">
        <f t="shared" si="0"/>
        <v>0</v>
      </c>
      <c r="R15" s="10">
        <f t="shared" si="1"/>
        <v>0</v>
      </c>
      <c r="S15" s="10">
        <f t="shared" si="2"/>
        <v>0</v>
      </c>
      <c r="T15" s="10">
        <f t="shared" si="3"/>
        <v>1</v>
      </c>
      <c r="U15" s="10">
        <f t="shared" si="4"/>
        <v>0</v>
      </c>
      <c r="V15" s="10">
        <f t="shared" si="5"/>
        <v>0</v>
      </c>
      <c r="W15" s="10">
        <f t="shared" si="6"/>
        <v>0</v>
      </c>
      <c r="X15" s="10">
        <f t="shared" si="7"/>
        <v>0</v>
      </c>
      <c r="Y15" s="10">
        <f>SUM(Paper2Coding[[#This Row],[Subject-matter correction]:[none]])</f>
        <v>1</v>
      </c>
      <c r="Z15" s="10">
        <f t="shared" si="8"/>
        <v>0</v>
      </c>
      <c r="AA15" s="10">
        <f t="shared" si="9"/>
        <v>0</v>
      </c>
      <c r="AB15" s="10">
        <f t="shared" si="10"/>
        <v>1</v>
      </c>
      <c r="AC15" s="10">
        <f t="shared" si="11"/>
        <v>0</v>
      </c>
      <c r="AD15" s="10">
        <f t="shared" si="12"/>
        <v>0</v>
      </c>
      <c r="AE15" s="10">
        <f t="shared" si="13"/>
        <v>0</v>
      </c>
      <c r="AF15" s="10">
        <f t="shared" si="14"/>
        <v>0</v>
      </c>
    </row>
    <row r="16" spans="1:32" ht="48" customHeight="1" x14ac:dyDescent="0.2">
      <c r="A16" s="3" t="s">
        <v>158</v>
      </c>
      <c r="B16" s="3">
        <v>15</v>
      </c>
      <c r="C16" s="3" t="s">
        <v>33</v>
      </c>
      <c r="D16" s="3" t="s">
        <v>159</v>
      </c>
      <c r="E16" s="3" t="s">
        <v>26</v>
      </c>
      <c r="F16" s="3" t="s">
        <v>12</v>
      </c>
      <c r="G16" s="3" t="s">
        <v>13</v>
      </c>
      <c r="H16" s="3" t="s">
        <v>17</v>
      </c>
      <c r="I16" s="3" t="s">
        <v>160</v>
      </c>
      <c r="J16" s="3" t="s">
        <v>161</v>
      </c>
      <c r="K16" s="3" t="s">
        <v>162</v>
      </c>
      <c r="L16" s="3" t="s">
        <v>163</v>
      </c>
      <c r="M16" s="3"/>
      <c r="N16" s="3" t="s">
        <v>70</v>
      </c>
      <c r="O16" s="3"/>
      <c r="P16" s="10">
        <f>SUM(Paper2Coding[[#This Row],[Open Delegation]:[Expertise]])</f>
        <v>3</v>
      </c>
      <c r="Q16" s="10">
        <f t="shared" si="0"/>
        <v>0</v>
      </c>
      <c r="R16" s="10">
        <f t="shared" si="1"/>
        <v>1</v>
      </c>
      <c r="S16" s="10">
        <f t="shared" si="2"/>
        <v>0</v>
      </c>
      <c r="T16" s="10">
        <f t="shared" si="3"/>
        <v>0</v>
      </c>
      <c r="U16" s="10">
        <f t="shared" si="4"/>
        <v>0</v>
      </c>
      <c r="V16" s="10">
        <f t="shared" si="5"/>
        <v>0</v>
      </c>
      <c r="W16" s="10">
        <f t="shared" si="6"/>
        <v>1</v>
      </c>
      <c r="X16" s="10">
        <f t="shared" si="7"/>
        <v>0</v>
      </c>
      <c r="Y16" s="10">
        <f>SUM(Paper2Coding[[#This Row],[Subject-matter correction]:[none]])</f>
        <v>1</v>
      </c>
      <c r="Z16" s="10">
        <f t="shared" si="8"/>
        <v>0</v>
      </c>
      <c r="AA16" s="10">
        <f t="shared" si="9"/>
        <v>0</v>
      </c>
      <c r="AB16" s="10">
        <f t="shared" si="10"/>
        <v>1</v>
      </c>
      <c r="AC16" s="10">
        <f t="shared" si="11"/>
        <v>0</v>
      </c>
      <c r="AD16" s="10">
        <f t="shared" si="12"/>
        <v>0</v>
      </c>
      <c r="AE16" s="10">
        <f t="shared" si="13"/>
        <v>0</v>
      </c>
      <c r="AF16" s="10">
        <f t="shared" si="14"/>
        <v>0</v>
      </c>
    </row>
    <row r="17" spans="1:32" ht="48" customHeight="1" x14ac:dyDescent="0.2">
      <c r="A17" s="3" t="s">
        <v>164</v>
      </c>
      <c r="B17" s="3">
        <v>16</v>
      </c>
      <c r="C17" s="3" t="s">
        <v>33</v>
      </c>
      <c r="D17" s="3" t="s">
        <v>165</v>
      </c>
      <c r="E17" s="3" t="s">
        <v>12</v>
      </c>
      <c r="F17" s="3"/>
      <c r="G17" s="3" t="s">
        <v>13</v>
      </c>
      <c r="H17" s="3" t="s">
        <v>140</v>
      </c>
      <c r="I17" s="3" t="s">
        <v>166</v>
      </c>
      <c r="J17" s="3" t="s">
        <v>167</v>
      </c>
      <c r="K17" s="3" t="s">
        <v>168</v>
      </c>
      <c r="L17" s="3" t="s">
        <v>169</v>
      </c>
      <c r="M17" s="3"/>
      <c r="N17" s="3" t="s">
        <v>70</v>
      </c>
      <c r="O17" s="3"/>
      <c r="P17" s="10">
        <f>SUM(Paper2Coding[[#This Row],[Open Delegation]:[Expertise]])</f>
        <v>3</v>
      </c>
      <c r="Q17" s="10">
        <f t="shared" si="0"/>
        <v>0</v>
      </c>
      <c r="R17" s="10">
        <f t="shared" si="1"/>
        <v>1</v>
      </c>
      <c r="S17" s="10">
        <f t="shared" si="2"/>
        <v>0</v>
      </c>
      <c r="T17" s="10">
        <f t="shared" si="3"/>
        <v>0</v>
      </c>
      <c r="U17" s="10">
        <f t="shared" si="4"/>
        <v>0</v>
      </c>
      <c r="V17" s="10">
        <f t="shared" si="5"/>
        <v>0</v>
      </c>
      <c r="W17" s="10">
        <f t="shared" si="6"/>
        <v>0</v>
      </c>
      <c r="X17" s="10">
        <f t="shared" si="7"/>
        <v>0</v>
      </c>
      <c r="Y17" s="10">
        <f>SUM(Paper2Coding[[#This Row],[Subject-matter correction]:[none]])</f>
        <v>2</v>
      </c>
      <c r="Z17" s="10">
        <f t="shared" si="8"/>
        <v>0</v>
      </c>
      <c r="AA17" s="10">
        <f t="shared" si="9"/>
        <v>0</v>
      </c>
      <c r="AB17" s="10">
        <f t="shared" si="10"/>
        <v>1</v>
      </c>
      <c r="AC17" s="10">
        <f t="shared" si="11"/>
        <v>0</v>
      </c>
      <c r="AD17" s="10">
        <f t="shared" si="12"/>
        <v>0</v>
      </c>
      <c r="AE17" s="10">
        <f t="shared" si="13"/>
        <v>1</v>
      </c>
      <c r="AF17" s="10">
        <f t="shared" si="14"/>
        <v>0</v>
      </c>
    </row>
    <row r="18" spans="1:32" ht="48" customHeight="1" x14ac:dyDescent="0.2">
      <c r="A18" s="3" t="s">
        <v>170</v>
      </c>
      <c r="B18" s="3">
        <v>17</v>
      </c>
      <c r="C18" s="3" t="s">
        <v>33</v>
      </c>
      <c r="D18" s="3" t="s">
        <v>171</v>
      </c>
      <c r="E18" s="3" t="s">
        <v>24</v>
      </c>
      <c r="F18" s="3" t="s">
        <v>126</v>
      </c>
      <c r="G18" s="3" t="s">
        <v>13</v>
      </c>
      <c r="H18" s="3" t="s">
        <v>17</v>
      </c>
      <c r="I18" s="3" t="s">
        <v>172</v>
      </c>
      <c r="J18" s="3" t="s">
        <v>173</v>
      </c>
      <c r="K18" s="3" t="s">
        <v>174</v>
      </c>
      <c r="L18" s="3" t="s">
        <v>175</v>
      </c>
      <c r="M18" s="3"/>
      <c r="N18" s="3" t="s">
        <v>70</v>
      </c>
      <c r="O18" s="3"/>
      <c r="P18" s="10">
        <f>SUM(Paper2Coding[[#This Row],[Open Delegation]:[Expertise]])</f>
        <v>4</v>
      </c>
      <c r="Q18" s="10">
        <f t="shared" si="0"/>
        <v>0</v>
      </c>
      <c r="R18" s="10">
        <f t="shared" si="1"/>
        <v>1</v>
      </c>
      <c r="S18" s="10">
        <f t="shared" si="2"/>
        <v>0</v>
      </c>
      <c r="T18" s="10">
        <f t="shared" si="3"/>
        <v>0</v>
      </c>
      <c r="U18" s="10">
        <f t="shared" si="4"/>
        <v>0</v>
      </c>
      <c r="V18" s="10">
        <f t="shared" si="5"/>
        <v>1</v>
      </c>
      <c r="W18" s="10">
        <f t="shared" si="6"/>
        <v>1</v>
      </c>
      <c r="X18" s="10">
        <f t="shared" si="7"/>
        <v>0</v>
      </c>
      <c r="Y18" s="10">
        <f>SUM(Paper2Coding[[#This Row],[Subject-matter correction]:[none]])</f>
        <v>1</v>
      </c>
      <c r="Z18" s="10">
        <f t="shared" si="8"/>
        <v>0</v>
      </c>
      <c r="AA18" s="10">
        <f t="shared" si="9"/>
        <v>0</v>
      </c>
      <c r="AB18" s="10">
        <f t="shared" si="10"/>
        <v>1</v>
      </c>
      <c r="AC18" s="10">
        <f t="shared" si="11"/>
        <v>0</v>
      </c>
      <c r="AD18" s="10">
        <f t="shared" si="12"/>
        <v>0</v>
      </c>
      <c r="AE18" s="10">
        <f t="shared" si="13"/>
        <v>0</v>
      </c>
      <c r="AF18" s="10">
        <f t="shared" si="14"/>
        <v>0</v>
      </c>
    </row>
    <row r="19" spans="1:32" ht="48" customHeight="1" x14ac:dyDescent="0.2">
      <c r="A19" s="3" t="s">
        <v>176</v>
      </c>
      <c r="B19" s="3">
        <v>18</v>
      </c>
      <c r="C19" s="3" t="s">
        <v>33</v>
      </c>
      <c r="D19" s="3" t="s">
        <v>177</v>
      </c>
      <c r="E19" s="3" t="s">
        <v>18</v>
      </c>
      <c r="F19" s="3" t="s">
        <v>178</v>
      </c>
      <c r="G19" s="3" t="s">
        <v>19</v>
      </c>
      <c r="H19" s="3" t="s">
        <v>17</v>
      </c>
      <c r="I19" s="3" t="s">
        <v>179</v>
      </c>
      <c r="J19" s="3" t="s">
        <v>180</v>
      </c>
      <c r="K19" s="3" t="s">
        <v>181</v>
      </c>
      <c r="L19" s="3" t="s">
        <v>182</v>
      </c>
      <c r="M19" s="3"/>
      <c r="N19" s="3" t="s">
        <v>70</v>
      </c>
      <c r="O19" s="3"/>
      <c r="P19" s="10">
        <f>SUM(Paper2Coding[[#This Row],[Open Delegation]:[Expertise]])</f>
        <v>4</v>
      </c>
      <c r="Q19" s="10">
        <f t="shared" si="0"/>
        <v>0</v>
      </c>
      <c r="R19" s="10">
        <f t="shared" si="1"/>
        <v>1</v>
      </c>
      <c r="S19" s="10">
        <f t="shared" si="2"/>
        <v>0</v>
      </c>
      <c r="T19" s="10">
        <f t="shared" si="3"/>
        <v>1</v>
      </c>
      <c r="U19" s="10">
        <f t="shared" si="4"/>
        <v>0</v>
      </c>
      <c r="V19" s="10">
        <f t="shared" si="5"/>
        <v>1</v>
      </c>
      <c r="W19" s="10">
        <f t="shared" si="6"/>
        <v>0</v>
      </c>
      <c r="X19" s="10">
        <f t="shared" si="7"/>
        <v>0</v>
      </c>
      <c r="Y19" s="10">
        <f>SUM(Paper2Coding[[#This Row],[Subject-matter correction]:[none]])</f>
        <v>1</v>
      </c>
      <c r="Z19" s="10">
        <f t="shared" si="8"/>
        <v>0</v>
      </c>
      <c r="AA19" s="10">
        <f t="shared" si="9"/>
        <v>0</v>
      </c>
      <c r="AB19" s="10">
        <f t="shared" si="10"/>
        <v>1</v>
      </c>
      <c r="AC19" s="10">
        <f t="shared" si="11"/>
        <v>0</v>
      </c>
      <c r="AD19" s="10">
        <f t="shared" si="12"/>
        <v>0</v>
      </c>
      <c r="AE19" s="10">
        <f t="shared" si="13"/>
        <v>0</v>
      </c>
      <c r="AF19" s="10">
        <f t="shared" si="14"/>
        <v>0</v>
      </c>
    </row>
    <row r="20" spans="1:32" ht="48" customHeight="1" x14ac:dyDescent="0.2">
      <c r="A20" s="3" t="s">
        <v>183</v>
      </c>
      <c r="B20" s="3">
        <v>19</v>
      </c>
      <c r="C20" s="3" t="s">
        <v>33</v>
      </c>
      <c r="D20" s="3" t="s">
        <v>184</v>
      </c>
      <c r="E20" s="3" t="s">
        <v>18</v>
      </c>
      <c r="F20" s="3" t="s">
        <v>185</v>
      </c>
      <c r="G20" s="3" t="s">
        <v>19</v>
      </c>
      <c r="H20" s="3" t="s">
        <v>25</v>
      </c>
      <c r="I20" s="3" t="s">
        <v>186</v>
      </c>
      <c r="J20" s="3" t="s">
        <v>187</v>
      </c>
      <c r="K20" s="3" t="s">
        <v>188</v>
      </c>
      <c r="L20" s="3" t="s">
        <v>189</v>
      </c>
      <c r="M20" s="3"/>
      <c r="N20" s="3" t="s">
        <v>70</v>
      </c>
      <c r="O20" s="3"/>
      <c r="P20" s="10">
        <f>SUM(Paper2Coding[[#This Row],[Open Delegation]:[Expertise]])</f>
        <v>4</v>
      </c>
      <c r="Q20" s="10">
        <f t="shared" si="0"/>
        <v>0</v>
      </c>
      <c r="R20" s="10">
        <f t="shared" si="1"/>
        <v>1</v>
      </c>
      <c r="S20" s="10">
        <f t="shared" si="2"/>
        <v>0</v>
      </c>
      <c r="T20" s="10">
        <f t="shared" si="3"/>
        <v>1</v>
      </c>
      <c r="U20" s="10">
        <f t="shared" si="4"/>
        <v>0</v>
      </c>
      <c r="V20" s="10">
        <f t="shared" si="5"/>
        <v>0</v>
      </c>
      <c r="W20" s="10">
        <f t="shared" si="6"/>
        <v>1</v>
      </c>
      <c r="X20" s="10">
        <f t="shared" si="7"/>
        <v>0</v>
      </c>
      <c r="Y20" s="10">
        <f>SUM(Paper2Coding[[#This Row],[Subject-matter correction]:[none]])</f>
        <v>1</v>
      </c>
      <c r="Z20" s="10">
        <f t="shared" si="8"/>
        <v>0</v>
      </c>
      <c r="AA20" s="10">
        <f t="shared" si="9"/>
        <v>0</v>
      </c>
      <c r="AB20" s="10">
        <f t="shared" si="10"/>
        <v>0</v>
      </c>
      <c r="AC20" s="10">
        <f t="shared" si="11"/>
        <v>0</v>
      </c>
      <c r="AD20" s="10">
        <f t="shared" si="12"/>
        <v>0</v>
      </c>
      <c r="AE20" s="10">
        <f t="shared" si="13"/>
        <v>1</v>
      </c>
      <c r="AF20" s="10">
        <f t="shared" si="14"/>
        <v>0</v>
      </c>
    </row>
    <row r="21" spans="1:32" ht="48" customHeight="1" x14ac:dyDescent="0.2">
      <c r="A21" s="3" t="s">
        <v>190</v>
      </c>
      <c r="B21" s="3">
        <v>20</v>
      </c>
      <c r="C21" s="3" t="s">
        <v>34</v>
      </c>
      <c r="D21" s="3" t="s">
        <v>191</v>
      </c>
      <c r="E21" s="3" t="s">
        <v>15</v>
      </c>
      <c r="F21" s="3" t="s">
        <v>192</v>
      </c>
      <c r="G21" s="3" t="s">
        <v>16</v>
      </c>
      <c r="H21" s="3" t="s">
        <v>25</v>
      </c>
      <c r="I21" s="3" t="s">
        <v>193</v>
      </c>
      <c r="J21" s="3" t="s">
        <v>194</v>
      </c>
      <c r="K21" s="3" t="s">
        <v>195</v>
      </c>
      <c r="L21" s="3" t="s">
        <v>196</v>
      </c>
      <c r="M21" s="3"/>
      <c r="N21" s="3" t="s">
        <v>70</v>
      </c>
      <c r="O21" s="3"/>
      <c r="P21" s="10">
        <f>SUM(Paper2Coding[[#This Row],[Open Delegation]:[Expertise]])</f>
        <v>4</v>
      </c>
      <c r="Q21" s="10">
        <f t="shared" si="0"/>
        <v>0</v>
      </c>
      <c r="R21" s="10">
        <f t="shared" si="1"/>
        <v>1</v>
      </c>
      <c r="S21" s="10">
        <f t="shared" si="2"/>
        <v>1</v>
      </c>
      <c r="T21" s="10">
        <f t="shared" si="3"/>
        <v>0</v>
      </c>
      <c r="U21" s="10">
        <f t="shared" si="4"/>
        <v>0</v>
      </c>
      <c r="V21" s="10">
        <f t="shared" si="5"/>
        <v>1</v>
      </c>
      <c r="W21" s="10">
        <f t="shared" si="6"/>
        <v>0</v>
      </c>
      <c r="X21" s="10">
        <f t="shared" si="7"/>
        <v>0</v>
      </c>
      <c r="Y21" s="10">
        <f>SUM(Paper2Coding[[#This Row],[Subject-matter correction]:[none]])</f>
        <v>1</v>
      </c>
      <c r="Z21" s="10">
        <f t="shared" si="8"/>
        <v>0</v>
      </c>
      <c r="AA21" s="10">
        <f t="shared" si="9"/>
        <v>0</v>
      </c>
      <c r="AB21" s="10">
        <f t="shared" si="10"/>
        <v>0</v>
      </c>
      <c r="AC21" s="10">
        <f t="shared" si="11"/>
        <v>0</v>
      </c>
      <c r="AD21" s="10">
        <f t="shared" si="12"/>
        <v>0</v>
      </c>
      <c r="AE21" s="10">
        <f t="shared" si="13"/>
        <v>1</v>
      </c>
      <c r="AF21" s="10">
        <f t="shared" si="14"/>
        <v>0</v>
      </c>
    </row>
    <row r="22" spans="1:32" ht="48" customHeight="1" x14ac:dyDescent="0.2">
      <c r="A22" s="3" t="s">
        <v>197</v>
      </c>
      <c r="B22" s="3">
        <v>21</v>
      </c>
      <c r="C22" s="3" t="s">
        <v>34</v>
      </c>
      <c r="D22" s="3" t="s">
        <v>198</v>
      </c>
      <c r="E22" s="3" t="s">
        <v>12</v>
      </c>
      <c r="F22" s="3" t="s">
        <v>24</v>
      </c>
      <c r="G22" s="3" t="s">
        <v>13</v>
      </c>
      <c r="H22" s="3" t="s">
        <v>87</v>
      </c>
      <c r="I22" s="3" t="s">
        <v>199</v>
      </c>
      <c r="J22" s="3" t="s">
        <v>200</v>
      </c>
      <c r="K22" s="3" t="s">
        <v>201</v>
      </c>
      <c r="L22" s="3" t="s">
        <v>202</v>
      </c>
      <c r="M22" s="3"/>
      <c r="N22" s="3" t="s">
        <v>70</v>
      </c>
      <c r="O22" s="3"/>
      <c r="P22" s="10">
        <f>SUM(Paper2Coding[[#This Row],[Open Delegation]:[Expertise]])</f>
        <v>4</v>
      </c>
      <c r="Q22" s="10">
        <f t="shared" si="0"/>
        <v>0</v>
      </c>
      <c r="R22" s="10">
        <f t="shared" si="1"/>
        <v>1</v>
      </c>
      <c r="S22" s="10">
        <f t="shared" si="2"/>
        <v>0</v>
      </c>
      <c r="T22" s="10">
        <f t="shared" si="3"/>
        <v>0</v>
      </c>
      <c r="U22" s="10">
        <f t="shared" si="4"/>
        <v>0</v>
      </c>
      <c r="V22" s="10">
        <f t="shared" si="5"/>
        <v>1</v>
      </c>
      <c r="W22" s="10">
        <f t="shared" si="6"/>
        <v>0</v>
      </c>
      <c r="X22" s="10">
        <f t="shared" si="7"/>
        <v>0</v>
      </c>
      <c r="Y22" s="10">
        <f>SUM(Paper2Coding[[#This Row],[Subject-matter correction]:[none]])</f>
        <v>2</v>
      </c>
      <c r="Z22" s="10">
        <f t="shared" si="8"/>
        <v>0</v>
      </c>
      <c r="AA22" s="10">
        <f t="shared" si="9"/>
        <v>0</v>
      </c>
      <c r="AB22" s="10">
        <f t="shared" si="10"/>
        <v>0</v>
      </c>
      <c r="AC22" s="10">
        <f t="shared" si="11"/>
        <v>0</v>
      </c>
      <c r="AD22" s="10">
        <f t="shared" si="12"/>
        <v>1</v>
      </c>
      <c r="AE22" s="10">
        <f t="shared" si="13"/>
        <v>1</v>
      </c>
      <c r="AF22" s="10">
        <f t="shared" si="14"/>
        <v>0</v>
      </c>
    </row>
    <row r="23" spans="1:32" ht="48" customHeight="1" x14ac:dyDescent="0.2">
      <c r="A23" s="3" t="s">
        <v>203</v>
      </c>
      <c r="B23" s="3">
        <v>22</v>
      </c>
      <c r="C23" s="3" t="s">
        <v>34</v>
      </c>
      <c r="D23" s="3" t="s">
        <v>204</v>
      </c>
      <c r="E23" s="3" t="s">
        <v>12</v>
      </c>
      <c r="F23" s="3" t="s">
        <v>24</v>
      </c>
      <c r="G23" s="3" t="s">
        <v>13</v>
      </c>
      <c r="H23" s="3" t="s">
        <v>23</v>
      </c>
      <c r="I23" s="3" t="s">
        <v>205</v>
      </c>
      <c r="J23" s="3" t="s">
        <v>206</v>
      </c>
      <c r="K23" s="3" t="s">
        <v>207</v>
      </c>
      <c r="L23" s="3" t="s">
        <v>208</v>
      </c>
      <c r="M23" s="3"/>
      <c r="N23" s="3" t="s">
        <v>70</v>
      </c>
      <c r="O23" s="3"/>
      <c r="P23" s="10">
        <f>SUM(Paper2Coding[[#This Row],[Open Delegation]:[Expertise]])</f>
        <v>3</v>
      </c>
      <c r="Q23" s="10">
        <f t="shared" si="0"/>
        <v>0</v>
      </c>
      <c r="R23" s="10">
        <f t="shared" si="1"/>
        <v>1</v>
      </c>
      <c r="S23" s="10">
        <f t="shared" si="2"/>
        <v>0</v>
      </c>
      <c r="T23" s="10">
        <f t="shared" si="3"/>
        <v>0</v>
      </c>
      <c r="U23" s="10">
        <f t="shared" si="4"/>
        <v>0</v>
      </c>
      <c r="V23" s="10">
        <f t="shared" si="5"/>
        <v>1</v>
      </c>
      <c r="W23" s="10">
        <f t="shared" si="6"/>
        <v>0</v>
      </c>
      <c r="X23" s="10">
        <f t="shared" si="7"/>
        <v>0</v>
      </c>
      <c r="Y23" s="10">
        <f>SUM(Paper2Coding[[#This Row],[Subject-matter correction]:[none]])</f>
        <v>1</v>
      </c>
      <c r="Z23" s="10">
        <f t="shared" si="8"/>
        <v>0</v>
      </c>
      <c r="AA23" s="10">
        <f t="shared" si="9"/>
        <v>0</v>
      </c>
      <c r="AB23" s="10">
        <f t="shared" si="10"/>
        <v>0</v>
      </c>
      <c r="AC23" s="10">
        <f t="shared" si="11"/>
        <v>0</v>
      </c>
      <c r="AD23" s="10">
        <f t="shared" si="12"/>
        <v>1</v>
      </c>
      <c r="AE23" s="10">
        <f t="shared" si="13"/>
        <v>0</v>
      </c>
      <c r="AF23" s="10">
        <f t="shared" si="14"/>
        <v>0</v>
      </c>
    </row>
    <row r="24" spans="1:32" ht="57.95" customHeight="1" x14ac:dyDescent="0.2">
      <c r="A24" s="3" t="s">
        <v>209</v>
      </c>
      <c r="B24" s="3">
        <v>23</v>
      </c>
      <c r="C24" s="3" t="s">
        <v>34</v>
      </c>
      <c r="D24" s="3" t="s">
        <v>210</v>
      </c>
      <c r="E24" s="3" t="s">
        <v>18</v>
      </c>
      <c r="F24" s="3" t="s">
        <v>126</v>
      </c>
      <c r="G24" s="3" t="s">
        <v>19</v>
      </c>
      <c r="H24" s="3" t="s">
        <v>87</v>
      </c>
      <c r="I24" s="3" t="s">
        <v>211</v>
      </c>
      <c r="J24" s="3" t="s">
        <v>212</v>
      </c>
      <c r="K24" s="3" t="s">
        <v>213</v>
      </c>
      <c r="L24" s="3" t="s">
        <v>214</v>
      </c>
      <c r="M24" s="3"/>
      <c r="N24" s="3" t="s">
        <v>70</v>
      </c>
      <c r="O24" s="3"/>
      <c r="P24" s="10">
        <f>SUM(Paper2Coding[[#This Row],[Open Delegation]:[Expertise]])</f>
        <v>5</v>
      </c>
      <c r="Q24" s="10">
        <f t="shared" si="0"/>
        <v>0</v>
      </c>
      <c r="R24" s="10">
        <f t="shared" si="1"/>
        <v>1</v>
      </c>
      <c r="S24" s="10">
        <f t="shared" si="2"/>
        <v>0</v>
      </c>
      <c r="T24" s="10">
        <f t="shared" si="3"/>
        <v>1</v>
      </c>
      <c r="U24" s="10">
        <f t="shared" si="4"/>
        <v>0</v>
      </c>
      <c r="V24" s="10">
        <f t="shared" si="5"/>
        <v>0</v>
      </c>
      <c r="W24" s="10">
        <f t="shared" si="6"/>
        <v>1</v>
      </c>
      <c r="X24" s="10">
        <f t="shared" si="7"/>
        <v>0</v>
      </c>
      <c r="Y24" s="10">
        <f>SUM(Paper2Coding[[#This Row],[Subject-matter correction]:[none]])</f>
        <v>2</v>
      </c>
      <c r="Z24" s="10">
        <f t="shared" si="8"/>
        <v>0</v>
      </c>
      <c r="AA24" s="10">
        <f t="shared" si="9"/>
        <v>0</v>
      </c>
      <c r="AB24" s="10">
        <f t="shared" si="10"/>
        <v>0</v>
      </c>
      <c r="AC24" s="10">
        <f t="shared" si="11"/>
        <v>0</v>
      </c>
      <c r="AD24" s="10">
        <f t="shared" si="12"/>
        <v>1</v>
      </c>
      <c r="AE24" s="10">
        <f t="shared" si="13"/>
        <v>1</v>
      </c>
      <c r="AF24" s="10">
        <f t="shared" si="14"/>
        <v>0</v>
      </c>
    </row>
    <row r="25" spans="1:32" ht="48" customHeight="1" x14ac:dyDescent="0.2">
      <c r="A25" s="3" t="s">
        <v>215</v>
      </c>
      <c r="B25" s="3">
        <v>24</v>
      </c>
      <c r="C25" s="3" t="s">
        <v>34</v>
      </c>
      <c r="D25" s="3" t="s">
        <v>216</v>
      </c>
      <c r="E25" s="3" t="s">
        <v>26</v>
      </c>
      <c r="F25" s="3"/>
      <c r="G25" s="3" t="s">
        <v>13</v>
      </c>
      <c r="H25" s="3" t="s">
        <v>27</v>
      </c>
      <c r="I25" s="3" t="s">
        <v>217</v>
      </c>
      <c r="J25" s="3" t="s">
        <v>218</v>
      </c>
      <c r="K25" s="3" t="s">
        <v>219</v>
      </c>
      <c r="L25" s="3" t="s">
        <v>220</v>
      </c>
      <c r="M25" s="3"/>
      <c r="N25" s="3" t="s">
        <v>70</v>
      </c>
      <c r="O25" s="3" t="s">
        <v>221</v>
      </c>
      <c r="P25" s="10">
        <f>SUM(Paper2Coding[[#This Row],[Open Delegation]:[Expertise]])</f>
        <v>2</v>
      </c>
      <c r="Q25" s="10">
        <f t="shared" si="0"/>
        <v>0</v>
      </c>
      <c r="R25" s="10">
        <f t="shared" si="1"/>
        <v>0</v>
      </c>
      <c r="S25" s="10">
        <f t="shared" si="2"/>
        <v>0</v>
      </c>
      <c r="T25" s="10">
        <f t="shared" si="3"/>
        <v>0</v>
      </c>
      <c r="U25" s="10">
        <f t="shared" si="4"/>
        <v>0</v>
      </c>
      <c r="V25" s="10">
        <f t="shared" si="5"/>
        <v>0</v>
      </c>
      <c r="W25" s="10">
        <f t="shared" si="6"/>
        <v>1</v>
      </c>
      <c r="X25" s="10">
        <f t="shared" si="7"/>
        <v>0</v>
      </c>
      <c r="Y25" s="10">
        <f>SUM(Paper2Coding[[#This Row],[Subject-matter correction]:[none]])</f>
        <v>1</v>
      </c>
      <c r="Z25" s="10">
        <f t="shared" si="8"/>
        <v>0</v>
      </c>
      <c r="AA25" s="10">
        <f t="shared" si="9"/>
        <v>0</v>
      </c>
      <c r="AB25" s="10">
        <f t="shared" si="10"/>
        <v>0</v>
      </c>
      <c r="AC25" s="10">
        <f t="shared" si="11"/>
        <v>0</v>
      </c>
      <c r="AD25" s="10">
        <f t="shared" si="12"/>
        <v>0</v>
      </c>
      <c r="AE25" s="10">
        <f t="shared" si="13"/>
        <v>0</v>
      </c>
      <c r="AF25" s="10">
        <f t="shared" si="14"/>
        <v>1</v>
      </c>
    </row>
    <row r="26" spans="1:32" ht="48" customHeight="1" x14ac:dyDescent="0.2">
      <c r="A26" s="3" t="s">
        <v>222</v>
      </c>
      <c r="B26" s="3">
        <v>25</v>
      </c>
      <c r="C26" s="3" t="s">
        <v>34</v>
      </c>
      <c r="D26" s="3" t="s">
        <v>223</v>
      </c>
      <c r="E26" s="3" t="s">
        <v>18</v>
      </c>
      <c r="F26" s="3" t="s">
        <v>12</v>
      </c>
      <c r="G26" s="3" t="s">
        <v>19</v>
      </c>
      <c r="H26" s="3" t="s">
        <v>101</v>
      </c>
      <c r="I26" s="3" t="s">
        <v>224</v>
      </c>
      <c r="J26" s="3" t="s">
        <v>225</v>
      </c>
      <c r="K26" s="3" t="s">
        <v>226</v>
      </c>
      <c r="L26" s="3" t="s">
        <v>227</v>
      </c>
      <c r="M26" s="3"/>
      <c r="N26" s="3" t="s">
        <v>70</v>
      </c>
      <c r="O26" s="3"/>
      <c r="P26" s="10">
        <f>SUM(Paper2Coding[[#This Row],[Open Delegation]:[Expertise]])</f>
        <v>5</v>
      </c>
      <c r="Q26" s="10">
        <f t="shared" si="0"/>
        <v>0</v>
      </c>
      <c r="R26" s="10">
        <f t="shared" si="1"/>
        <v>1</v>
      </c>
      <c r="S26" s="10">
        <f t="shared" si="2"/>
        <v>0</v>
      </c>
      <c r="T26" s="10">
        <f t="shared" si="3"/>
        <v>1</v>
      </c>
      <c r="U26" s="10">
        <f t="shared" si="4"/>
        <v>0</v>
      </c>
      <c r="V26" s="10">
        <f t="shared" si="5"/>
        <v>0</v>
      </c>
      <c r="W26" s="10">
        <f t="shared" si="6"/>
        <v>0</v>
      </c>
      <c r="X26" s="10">
        <f t="shared" si="7"/>
        <v>0</v>
      </c>
      <c r="Y26" s="10">
        <f>SUM(Paper2Coding[[#This Row],[Subject-matter correction]:[none]])</f>
        <v>3</v>
      </c>
      <c r="Z26" s="10">
        <f t="shared" si="8"/>
        <v>0</v>
      </c>
      <c r="AA26" s="10">
        <f t="shared" si="9"/>
        <v>0</v>
      </c>
      <c r="AB26" s="10">
        <f t="shared" si="10"/>
        <v>1</v>
      </c>
      <c r="AC26" s="10">
        <f t="shared" si="11"/>
        <v>0</v>
      </c>
      <c r="AD26" s="10">
        <f t="shared" si="12"/>
        <v>1</v>
      </c>
      <c r="AE26" s="10">
        <f t="shared" si="13"/>
        <v>1</v>
      </c>
      <c r="AF26" s="10">
        <f t="shared" si="14"/>
        <v>0</v>
      </c>
    </row>
    <row r="27" spans="1:32" ht="48" customHeight="1" x14ac:dyDescent="0.2">
      <c r="A27" s="3" t="s">
        <v>228</v>
      </c>
      <c r="B27" s="3">
        <v>26</v>
      </c>
      <c r="C27" s="3" t="s">
        <v>34</v>
      </c>
      <c r="D27" s="3" t="s">
        <v>229</v>
      </c>
      <c r="E27" s="3" t="s">
        <v>21</v>
      </c>
      <c r="F27" s="3" t="s">
        <v>192</v>
      </c>
      <c r="G27" s="3" t="s">
        <v>13</v>
      </c>
      <c r="H27" s="3" t="s">
        <v>230</v>
      </c>
      <c r="I27" s="3" t="s">
        <v>231</v>
      </c>
      <c r="J27" s="3" t="s">
        <v>232</v>
      </c>
      <c r="K27" s="3" t="s">
        <v>233</v>
      </c>
      <c r="L27" s="3" t="s">
        <v>234</v>
      </c>
      <c r="M27" s="3"/>
      <c r="N27" s="3" t="s">
        <v>70</v>
      </c>
      <c r="O27" s="3"/>
      <c r="P27" s="10">
        <f>SUM(Paper2Coding[[#This Row],[Open Delegation]:[Expertise]])</f>
        <v>5</v>
      </c>
      <c r="Q27" s="10">
        <f t="shared" si="0"/>
        <v>0</v>
      </c>
      <c r="R27" s="10">
        <f t="shared" si="1"/>
        <v>1</v>
      </c>
      <c r="S27" s="10">
        <f t="shared" si="2"/>
        <v>0</v>
      </c>
      <c r="T27" s="10">
        <f t="shared" si="3"/>
        <v>0</v>
      </c>
      <c r="U27" s="10">
        <f t="shared" si="4"/>
        <v>1</v>
      </c>
      <c r="V27" s="10">
        <f t="shared" si="5"/>
        <v>1</v>
      </c>
      <c r="W27" s="10">
        <f t="shared" si="6"/>
        <v>0</v>
      </c>
      <c r="X27" s="10">
        <f t="shared" si="7"/>
        <v>0</v>
      </c>
      <c r="Y27" s="10">
        <f>SUM(Paper2Coding[[#This Row],[Subject-matter correction]:[none]])</f>
        <v>2</v>
      </c>
      <c r="Z27" s="10">
        <f t="shared" si="8"/>
        <v>0</v>
      </c>
      <c r="AA27" s="10">
        <f t="shared" si="9"/>
        <v>0</v>
      </c>
      <c r="AB27" s="10">
        <f t="shared" si="10"/>
        <v>0</v>
      </c>
      <c r="AC27" s="10">
        <f t="shared" si="11"/>
        <v>0</v>
      </c>
      <c r="AD27" s="10">
        <f t="shared" si="12"/>
        <v>1</v>
      </c>
      <c r="AE27" s="10">
        <f t="shared" si="13"/>
        <v>1</v>
      </c>
      <c r="AF27" s="10">
        <f t="shared" si="14"/>
        <v>0</v>
      </c>
    </row>
    <row r="28" spans="1:32" ht="48" customHeight="1" x14ac:dyDescent="0.2">
      <c r="A28" s="3" t="s">
        <v>235</v>
      </c>
      <c r="B28" s="3">
        <v>27</v>
      </c>
      <c r="C28" s="3" t="s">
        <v>34</v>
      </c>
      <c r="D28" s="3" t="s">
        <v>236</v>
      </c>
      <c r="E28" s="3" t="s">
        <v>18</v>
      </c>
      <c r="F28" s="3" t="s">
        <v>26</v>
      </c>
      <c r="G28" s="3" t="s">
        <v>19</v>
      </c>
      <c r="H28" s="3" t="s">
        <v>25</v>
      </c>
      <c r="I28" s="3" t="s">
        <v>237</v>
      </c>
      <c r="J28" s="3" t="s">
        <v>238</v>
      </c>
      <c r="K28" s="3" t="s">
        <v>239</v>
      </c>
      <c r="L28" s="3" t="s">
        <v>240</v>
      </c>
      <c r="M28" s="3"/>
      <c r="N28" s="3" t="s">
        <v>70</v>
      </c>
      <c r="O28" s="3"/>
      <c r="P28" s="10">
        <f>SUM(Paper2Coding[[#This Row],[Open Delegation]:[Expertise]])</f>
        <v>3</v>
      </c>
      <c r="Q28" s="10">
        <f t="shared" si="0"/>
        <v>0</v>
      </c>
      <c r="R28" s="10">
        <f t="shared" si="1"/>
        <v>0</v>
      </c>
      <c r="S28" s="10">
        <f t="shared" si="2"/>
        <v>0</v>
      </c>
      <c r="T28" s="10">
        <f t="shared" si="3"/>
        <v>1</v>
      </c>
      <c r="U28" s="10">
        <f t="shared" si="4"/>
        <v>0</v>
      </c>
      <c r="V28" s="10">
        <f t="shared" si="5"/>
        <v>0</v>
      </c>
      <c r="W28" s="10">
        <f t="shared" si="6"/>
        <v>1</v>
      </c>
      <c r="X28" s="10">
        <f t="shared" si="7"/>
        <v>0</v>
      </c>
      <c r="Y28" s="10">
        <f>SUM(Paper2Coding[[#This Row],[Subject-matter correction]:[none]])</f>
        <v>1</v>
      </c>
      <c r="Z28" s="10">
        <f t="shared" si="8"/>
        <v>0</v>
      </c>
      <c r="AA28" s="10">
        <f t="shared" si="9"/>
        <v>0</v>
      </c>
      <c r="AB28" s="10">
        <f t="shared" si="10"/>
        <v>0</v>
      </c>
      <c r="AC28" s="10">
        <f t="shared" si="11"/>
        <v>0</v>
      </c>
      <c r="AD28" s="10">
        <f t="shared" si="12"/>
        <v>0</v>
      </c>
      <c r="AE28" s="10">
        <f t="shared" si="13"/>
        <v>1</v>
      </c>
      <c r="AF28" s="10">
        <f t="shared" si="14"/>
        <v>0</v>
      </c>
    </row>
    <row r="29" spans="1:32" ht="48" customHeight="1" x14ac:dyDescent="0.2">
      <c r="A29" s="3" t="s">
        <v>241</v>
      </c>
      <c r="B29" s="3">
        <v>28</v>
      </c>
      <c r="C29" s="3" t="s">
        <v>34</v>
      </c>
      <c r="D29" s="3" t="s">
        <v>242</v>
      </c>
      <c r="E29" s="3" t="s">
        <v>12</v>
      </c>
      <c r="F29" s="3" t="s">
        <v>243</v>
      </c>
      <c r="G29" s="3" t="s">
        <v>13</v>
      </c>
      <c r="H29" s="3" t="s">
        <v>230</v>
      </c>
      <c r="I29" s="3" t="s">
        <v>244</v>
      </c>
      <c r="J29" s="3" t="s">
        <v>245</v>
      </c>
      <c r="K29" s="3" t="s">
        <v>246</v>
      </c>
      <c r="L29" s="3" t="s">
        <v>247</v>
      </c>
      <c r="M29" s="3"/>
      <c r="N29" s="3" t="s">
        <v>70</v>
      </c>
      <c r="O29" s="3"/>
      <c r="P29" s="10">
        <f>SUM(Paper2Coding[[#This Row],[Open Delegation]:[Expertise]])</f>
        <v>5</v>
      </c>
      <c r="Q29" s="10">
        <f t="shared" si="0"/>
        <v>0</v>
      </c>
      <c r="R29" s="10">
        <f t="shared" si="1"/>
        <v>1</v>
      </c>
      <c r="S29" s="10">
        <f t="shared" si="2"/>
        <v>0</v>
      </c>
      <c r="T29" s="10">
        <f t="shared" si="3"/>
        <v>0</v>
      </c>
      <c r="U29" s="10">
        <f t="shared" si="4"/>
        <v>0</v>
      </c>
      <c r="V29" s="10">
        <f t="shared" si="5"/>
        <v>1</v>
      </c>
      <c r="W29" s="10">
        <f t="shared" si="6"/>
        <v>1</v>
      </c>
      <c r="X29" s="10">
        <f t="shared" si="7"/>
        <v>0</v>
      </c>
      <c r="Y29" s="10">
        <f>SUM(Paper2Coding[[#This Row],[Subject-matter correction]:[none]])</f>
        <v>2</v>
      </c>
      <c r="Z29" s="10">
        <f t="shared" si="8"/>
        <v>0</v>
      </c>
      <c r="AA29" s="10">
        <f t="shared" si="9"/>
        <v>0</v>
      </c>
      <c r="AB29" s="10">
        <f t="shared" si="10"/>
        <v>0</v>
      </c>
      <c r="AC29" s="10">
        <f t="shared" si="11"/>
        <v>0</v>
      </c>
      <c r="AD29" s="10">
        <f t="shared" si="12"/>
        <v>1</v>
      </c>
      <c r="AE29" s="10">
        <f t="shared" si="13"/>
        <v>1</v>
      </c>
      <c r="AF29" s="10">
        <f t="shared" si="14"/>
        <v>0</v>
      </c>
    </row>
    <row r="30" spans="1:32" ht="48" customHeight="1" x14ac:dyDescent="0.2">
      <c r="A30" s="3" t="s">
        <v>248</v>
      </c>
      <c r="B30" s="3">
        <v>29</v>
      </c>
      <c r="C30" s="3" t="s">
        <v>34</v>
      </c>
      <c r="D30" s="3" t="s">
        <v>249</v>
      </c>
      <c r="E30" s="3" t="s">
        <v>15</v>
      </c>
      <c r="F30" s="3" t="s">
        <v>24</v>
      </c>
      <c r="G30" s="3" t="s">
        <v>16</v>
      </c>
      <c r="H30" s="3" t="s">
        <v>87</v>
      </c>
      <c r="I30" s="3" t="s">
        <v>250</v>
      </c>
      <c r="J30" s="3" t="s">
        <v>251</v>
      </c>
      <c r="K30" s="3" t="s">
        <v>252</v>
      </c>
      <c r="L30" s="3" t="s">
        <v>253</v>
      </c>
      <c r="M30" s="3"/>
      <c r="N30" s="3" t="s">
        <v>70</v>
      </c>
      <c r="O30" s="3"/>
      <c r="P30" s="10">
        <f>SUM(Paper2Coding[[#This Row],[Open Delegation]:[Expertise]])</f>
        <v>4</v>
      </c>
      <c r="Q30" s="10">
        <f t="shared" si="0"/>
        <v>0</v>
      </c>
      <c r="R30" s="10">
        <f t="shared" si="1"/>
        <v>0</v>
      </c>
      <c r="S30" s="10">
        <f t="shared" si="2"/>
        <v>1</v>
      </c>
      <c r="T30" s="10">
        <f t="shared" si="3"/>
        <v>0</v>
      </c>
      <c r="U30" s="10">
        <f t="shared" si="4"/>
        <v>0</v>
      </c>
      <c r="V30" s="10">
        <f t="shared" si="5"/>
        <v>1</v>
      </c>
      <c r="W30" s="10">
        <f t="shared" si="6"/>
        <v>0</v>
      </c>
      <c r="X30" s="10">
        <f t="shared" si="7"/>
        <v>0</v>
      </c>
      <c r="Y30" s="10">
        <f>SUM(Paper2Coding[[#This Row],[Subject-matter correction]:[none]])</f>
        <v>2</v>
      </c>
      <c r="Z30" s="10">
        <f t="shared" si="8"/>
        <v>0</v>
      </c>
      <c r="AA30" s="10">
        <f t="shared" si="9"/>
        <v>0</v>
      </c>
      <c r="AB30" s="10">
        <f t="shared" si="10"/>
        <v>0</v>
      </c>
      <c r="AC30" s="10">
        <f t="shared" si="11"/>
        <v>0</v>
      </c>
      <c r="AD30" s="10">
        <f t="shared" si="12"/>
        <v>1</v>
      </c>
      <c r="AE30" s="10">
        <f t="shared" si="13"/>
        <v>1</v>
      </c>
      <c r="AF30" s="10">
        <f t="shared" si="14"/>
        <v>0</v>
      </c>
    </row>
    <row r="31" spans="1:32" ht="48" customHeight="1" x14ac:dyDescent="0.2">
      <c r="A31" s="3" t="s">
        <v>254</v>
      </c>
      <c r="B31" s="3">
        <v>30</v>
      </c>
      <c r="C31" s="3" t="s">
        <v>34</v>
      </c>
      <c r="D31" s="3" t="s">
        <v>255</v>
      </c>
      <c r="E31" s="3" t="s">
        <v>26</v>
      </c>
      <c r="F31" s="3" t="s">
        <v>192</v>
      </c>
      <c r="G31" s="3" t="s">
        <v>13</v>
      </c>
      <c r="H31" s="3" t="s">
        <v>230</v>
      </c>
      <c r="I31" s="3" t="s">
        <v>256</v>
      </c>
      <c r="J31" s="3" t="s">
        <v>257</v>
      </c>
      <c r="K31" s="3" t="s">
        <v>258</v>
      </c>
      <c r="L31" s="3" t="s">
        <v>259</v>
      </c>
      <c r="M31" s="3"/>
      <c r="N31" s="3" t="s">
        <v>70</v>
      </c>
      <c r="O31" s="3"/>
      <c r="P31" s="10">
        <f>SUM(Paper2Coding[[#This Row],[Open Delegation]:[Expertise]])</f>
        <v>5</v>
      </c>
      <c r="Q31" s="10">
        <f t="shared" si="0"/>
        <v>0</v>
      </c>
      <c r="R31" s="10">
        <f t="shared" si="1"/>
        <v>1</v>
      </c>
      <c r="S31" s="10">
        <f t="shared" si="2"/>
        <v>0</v>
      </c>
      <c r="T31" s="10">
        <f t="shared" si="3"/>
        <v>0</v>
      </c>
      <c r="U31" s="10">
        <f t="shared" si="4"/>
        <v>0</v>
      </c>
      <c r="V31" s="10">
        <f t="shared" si="5"/>
        <v>1</v>
      </c>
      <c r="W31" s="10">
        <f t="shared" si="6"/>
        <v>1</v>
      </c>
      <c r="X31" s="10">
        <f t="shared" si="7"/>
        <v>0</v>
      </c>
      <c r="Y31" s="10">
        <f>SUM(Paper2Coding[[#This Row],[Subject-matter correction]:[none]])</f>
        <v>2</v>
      </c>
      <c r="Z31" s="10">
        <f t="shared" si="8"/>
        <v>0</v>
      </c>
      <c r="AA31" s="10">
        <f t="shared" si="9"/>
        <v>0</v>
      </c>
      <c r="AB31" s="10">
        <f t="shared" si="10"/>
        <v>0</v>
      </c>
      <c r="AC31" s="10">
        <f t="shared" si="11"/>
        <v>0</v>
      </c>
      <c r="AD31" s="10">
        <f t="shared" si="12"/>
        <v>1</v>
      </c>
      <c r="AE31" s="10">
        <f t="shared" si="13"/>
        <v>1</v>
      </c>
      <c r="AF31" s="10">
        <f t="shared" si="14"/>
        <v>0</v>
      </c>
    </row>
    <row r="32" spans="1:32" ht="48" customHeight="1" x14ac:dyDescent="0.2">
      <c r="A32" s="3" t="s">
        <v>260</v>
      </c>
      <c r="B32" s="3">
        <v>31</v>
      </c>
      <c r="C32" s="3" t="s">
        <v>34</v>
      </c>
      <c r="D32" s="3" t="s">
        <v>261</v>
      </c>
      <c r="E32" s="3" t="s">
        <v>26</v>
      </c>
      <c r="F32" s="3" t="s">
        <v>12</v>
      </c>
      <c r="G32" s="3" t="s">
        <v>13</v>
      </c>
      <c r="H32" s="3" t="s">
        <v>25</v>
      </c>
      <c r="I32" s="3" t="s">
        <v>262</v>
      </c>
      <c r="J32" s="3" t="s">
        <v>263</v>
      </c>
      <c r="K32" s="3" t="s">
        <v>264</v>
      </c>
      <c r="L32" s="3" t="s">
        <v>265</v>
      </c>
      <c r="M32" s="3"/>
      <c r="N32" s="3" t="s">
        <v>70</v>
      </c>
      <c r="O32" s="3"/>
      <c r="P32" s="10">
        <f>SUM(Paper2Coding[[#This Row],[Open Delegation]:[Expertise]])</f>
        <v>3</v>
      </c>
      <c r="Q32" s="10">
        <f t="shared" si="0"/>
        <v>0</v>
      </c>
      <c r="R32" s="10">
        <f t="shared" si="1"/>
        <v>1</v>
      </c>
      <c r="S32" s="10">
        <f t="shared" si="2"/>
        <v>0</v>
      </c>
      <c r="T32" s="10">
        <f t="shared" si="3"/>
        <v>0</v>
      </c>
      <c r="U32" s="10">
        <f t="shared" si="4"/>
        <v>0</v>
      </c>
      <c r="V32" s="10">
        <f t="shared" si="5"/>
        <v>0</v>
      </c>
      <c r="W32" s="10">
        <f t="shared" si="6"/>
        <v>1</v>
      </c>
      <c r="X32" s="10">
        <f t="shared" si="7"/>
        <v>0</v>
      </c>
      <c r="Y32" s="10">
        <f>SUM(Paper2Coding[[#This Row],[Subject-matter correction]:[none]])</f>
        <v>1</v>
      </c>
      <c r="Z32" s="10">
        <f t="shared" si="8"/>
        <v>0</v>
      </c>
      <c r="AA32" s="10">
        <f t="shared" si="9"/>
        <v>0</v>
      </c>
      <c r="AB32" s="10">
        <f t="shared" si="10"/>
        <v>0</v>
      </c>
      <c r="AC32" s="10">
        <f t="shared" si="11"/>
        <v>0</v>
      </c>
      <c r="AD32" s="10">
        <f t="shared" si="12"/>
        <v>0</v>
      </c>
      <c r="AE32" s="10">
        <f t="shared" si="13"/>
        <v>1</v>
      </c>
      <c r="AF32" s="10">
        <f t="shared" si="14"/>
        <v>0</v>
      </c>
    </row>
    <row r="33" spans="1:32" ht="48" customHeight="1" x14ac:dyDescent="0.2">
      <c r="A33" s="3" t="s">
        <v>266</v>
      </c>
      <c r="B33" s="3">
        <v>32</v>
      </c>
      <c r="C33" s="3" t="s">
        <v>34</v>
      </c>
      <c r="D33" s="3" t="s">
        <v>267</v>
      </c>
      <c r="E33" s="3" t="s">
        <v>28</v>
      </c>
      <c r="F33" s="3" t="s">
        <v>268</v>
      </c>
      <c r="G33" s="3" t="s">
        <v>22</v>
      </c>
      <c r="H33" s="3" t="s">
        <v>269</v>
      </c>
      <c r="I33" s="3" t="s">
        <v>270</v>
      </c>
      <c r="J33" s="3" t="s">
        <v>271</v>
      </c>
      <c r="K33" s="3" t="s">
        <v>272</v>
      </c>
      <c r="L33" s="3"/>
      <c r="M33" s="3" t="s">
        <v>273</v>
      </c>
      <c r="N33" s="3" t="s">
        <v>274</v>
      </c>
      <c r="O33" s="3" t="s">
        <v>275</v>
      </c>
      <c r="P33" s="10">
        <f>SUM(Paper2Coding[[#This Row],[Open Delegation]:[Expertise]])</f>
        <v>7</v>
      </c>
      <c r="Q33" s="10">
        <f t="shared" si="0"/>
        <v>0</v>
      </c>
      <c r="R33" s="10">
        <f t="shared" si="1"/>
        <v>1</v>
      </c>
      <c r="S33" s="10">
        <f t="shared" si="2"/>
        <v>1</v>
      </c>
      <c r="T33" s="10">
        <f t="shared" si="3"/>
        <v>0</v>
      </c>
      <c r="U33" s="10">
        <f t="shared" si="4"/>
        <v>0</v>
      </c>
      <c r="V33" s="10">
        <f t="shared" si="5"/>
        <v>1</v>
      </c>
      <c r="W33" s="10">
        <f t="shared" si="6"/>
        <v>0</v>
      </c>
      <c r="X33" s="10">
        <f t="shared" si="7"/>
        <v>1</v>
      </c>
      <c r="Y33" s="10">
        <f>SUM(Paper2Coding[[#This Row],[Subject-matter correction]:[none]])</f>
        <v>3</v>
      </c>
      <c r="Z33" s="10">
        <f t="shared" si="8"/>
        <v>0</v>
      </c>
      <c r="AA33" s="10">
        <f t="shared" si="9"/>
        <v>1</v>
      </c>
      <c r="AB33" s="10">
        <f t="shared" si="10"/>
        <v>0</v>
      </c>
      <c r="AC33" s="10">
        <f t="shared" si="11"/>
        <v>0</v>
      </c>
      <c r="AD33" s="10">
        <f t="shared" si="12"/>
        <v>1</v>
      </c>
      <c r="AE33" s="10">
        <f t="shared" si="13"/>
        <v>1</v>
      </c>
      <c r="AF33" s="10">
        <f t="shared" si="14"/>
        <v>0</v>
      </c>
    </row>
    <row r="34" spans="1:32" ht="48" customHeight="1" x14ac:dyDescent="0.2">
      <c r="A34" s="3" t="s">
        <v>276</v>
      </c>
      <c r="B34" s="3">
        <v>33</v>
      </c>
      <c r="C34" s="3" t="s">
        <v>34</v>
      </c>
      <c r="D34" s="3" t="s">
        <v>277</v>
      </c>
      <c r="E34" s="3" t="s">
        <v>15</v>
      </c>
      <c r="F34" s="3" t="s">
        <v>12</v>
      </c>
      <c r="G34" s="3" t="s">
        <v>16</v>
      </c>
      <c r="H34" s="3" t="s">
        <v>17</v>
      </c>
      <c r="I34" s="3" t="s">
        <v>278</v>
      </c>
      <c r="J34" s="3" t="s">
        <v>279</v>
      </c>
      <c r="K34" s="3" t="s">
        <v>280</v>
      </c>
      <c r="L34" s="3" t="s">
        <v>281</v>
      </c>
      <c r="M34" s="3"/>
      <c r="N34" s="3" t="s">
        <v>70</v>
      </c>
      <c r="O34" s="3" t="s">
        <v>282</v>
      </c>
      <c r="P34" s="10">
        <f>SUM(Paper2Coding[[#This Row],[Open Delegation]:[Expertise]])</f>
        <v>3</v>
      </c>
      <c r="Q34" s="10">
        <f t="shared" ref="Q34:Q65" si="15">IF(OR(E34="Delegation",ISNUMBER(SEARCH("; Delegation; ","; "&amp;F34&amp;"; "))),1,0)</f>
        <v>0</v>
      </c>
      <c r="R34" s="10">
        <f t="shared" ref="R34:R65" si="16">IF(OR(E34="Directed delegation",ISNUMBER(SEARCH("; Directed delegation; ","; "&amp;F34&amp;"; "))),1,0)</f>
        <v>1</v>
      </c>
      <c r="S34" s="10">
        <f t="shared" ref="S34:S65" si="17">IF(OR(E34="Evaluation",ISNUMBER(SEARCH("; Evaluation; ","; "&amp;F34&amp;"; "))),1,0)</f>
        <v>1</v>
      </c>
      <c r="T34" s="10">
        <f t="shared" ref="T34:T65" si="18">IF(OR(E34="Correction/Challenge",ISNUMBER(SEARCH("; Correction/Challenge; ","; "&amp;F34&amp;"; "))),1,0)</f>
        <v>0</v>
      </c>
      <c r="U34" s="10">
        <f t="shared" ref="U34:U65" si="19">IF(OR(E34="Redirection",ISNUMBER(SEARCH("; Redirection; ","; "&amp;F34&amp;"; "))),1,0)</f>
        <v>0</v>
      </c>
      <c r="V34" s="10">
        <f t="shared" ref="V34:V65" si="20">IF(OR(E34="Knowledge injection",ISNUMBER(SEARCH("; Knowledge injection; ","; "&amp;F34&amp;"; "))),1,0)</f>
        <v>0</v>
      </c>
      <c r="W34" s="10">
        <f t="shared" ref="W34:W65" si="21">IF(OR(E34="Selection/Rejection",ISNUMBER(SEARCH("; Selection/Rejection; ","; "&amp;F34&amp;"; "))),1,0)</f>
        <v>0</v>
      </c>
      <c r="X34" s="10">
        <f t="shared" ref="X34:X65" si="22">IF(OR(E34="Deliberation",ISNUMBER(SEARCH("; Deliberation; ","; "&amp;F34&amp;"; "))),1,0)</f>
        <v>0</v>
      </c>
      <c r="Y34" s="10">
        <f>SUM(Paper2Coding[[#This Row],[Subject-matter correction]:[none]])</f>
        <v>1</v>
      </c>
      <c r="Z34" s="10">
        <f t="shared" ref="Z34:Z65" si="23">IF(ISNUMBER(SEARCH("; domain correction; ","; "&amp;H34&amp;"; ")),1,0)</f>
        <v>0</v>
      </c>
      <c r="AA34" s="10">
        <f t="shared" ref="AA34:AA65" si="24">IF(ISNUMBER(SEARCH("; conceptual discrimination; ","; "&amp;H34&amp;"; ")),1,0)</f>
        <v>0</v>
      </c>
      <c r="AB34" s="10">
        <f t="shared" ref="AB34:AB65" si="25">IF(ISNUMBER(SEARCH("; evidence judgment; ","; "&amp;H34&amp;"; ")),1,0)</f>
        <v>1</v>
      </c>
      <c r="AC34" s="10">
        <f t="shared" ref="AC34:AC65" si="26">IF(ISNUMBER(SEARCH("; methodological judgment; ","; "&amp;H34&amp;"; ")),1,0)</f>
        <v>0</v>
      </c>
      <c r="AD34" s="10">
        <f t="shared" ref="AD34:AD65" si="27">IF(ISNUMBER(SEARCH("; argumentative judgment; ","; "&amp;H34&amp;"; ")),1,0)</f>
        <v>0</v>
      </c>
      <c r="AE34" s="10">
        <f t="shared" ref="AE34:AE65" si="28">IF(ISNUMBER(SEARCH("; genre/writing expertise; ","; "&amp;H34&amp;"; ")),1,0)</f>
        <v>0</v>
      </c>
      <c r="AF34" s="10">
        <f t="shared" ref="AF34:AF65" si="29">IF(ISNUMBER(SEARCH("; none; ","; "&amp;H34&amp;"; ")),1,0)</f>
        <v>0</v>
      </c>
    </row>
    <row r="35" spans="1:32" ht="48" customHeight="1" x14ac:dyDescent="0.2">
      <c r="A35" s="3" t="s">
        <v>283</v>
      </c>
      <c r="B35" s="3">
        <v>34</v>
      </c>
      <c r="C35" s="3" t="s">
        <v>34</v>
      </c>
      <c r="D35" s="3" t="s">
        <v>284</v>
      </c>
      <c r="E35" s="3" t="s">
        <v>28</v>
      </c>
      <c r="F35" s="3" t="s">
        <v>285</v>
      </c>
      <c r="G35" s="3" t="s">
        <v>22</v>
      </c>
      <c r="H35" s="3" t="s">
        <v>230</v>
      </c>
      <c r="I35" s="3" t="s">
        <v>286</v>
      </c>
      <c r="J35" s="3" t="s">
        <v>287</v>
      </c>
      <c r="K35" s="3" t="s">
        <v>288</v>
      </c>
      <c r="L35" s="3" t="s">
        <v>289</v>
      </c>
      <c r="M35" s="3"/>
      <c r="N35" s="3" t="s">
        <v>70</v>
      </c>
      <c r="O35" s="3"/>
      <c r="P35" s="10">
        <f>SUM(Paper2Coding[[#This Row],[Open Delegation]:[Expertise]])</f>
        <v>5</v>
      </c>
      <c r="Q35" s="10">
        <f t="shared" si="15"/>
        <v>0</v>
      </c>
      <c r="R35" s="10">
        <f t="shared" si="16"/>
        <v>0</v>
      </c>
      <c r="S35" s="10">
        <f t="shared" si="17"/>
        <v>1</v>
      </c>
      <c r="T35" s="10">
        <f t="shared" si="18"/>
        <v>0</v>
      </c>
      <c r="U35" s="10">
        <f t="shared" si="19"/>
        <v>0</v>
      </c>
      <c r="V35" s="10">
        <f t="shared" si="20"/>
        <v>1</v>
      </c>
      <c r="W35" s="10">
        <f t="shared" si="21"/>
        <v>0</v>
      </c>
      <c r="X35" s="10">
        <f t="shared" si="22"/>
        <v>1</v>
      </c>
      <c r="Y35" s="10">
        <f>SUM(Paper2Coding[[#This Row],[Subject-matter correction]:[none]])</f>
        <v>2</v>
      </c>
      <c r="Z35" s="10">
        <f t="shared" si="23"/>
        <v>0</v>
      </c>
      <c r="AA35" s="10">
        <f t="shared" si="24"/>
        <v>0</v>
      </c>
      <c r="AB35" s="10">
        <f t="shared" si="25"/>
        <v>0</v>
      </c>
      <c r="AC35" s="10">
        <f t="shared" si="26"/>
        <v>0</v>
      </c>
      <c r="AD35" s="10">
        <f t="shared" si="27"/>
        <v>1</v>
      </c>
      <c r="AE35" s="10">
        <f t="shared" si="28"/>
        <v>1</v>
      </c>
      <c r="AF35" s="10">
        <f t="shared" si="29"/>
        <v>0</v>
      </c>
    </row>
    <row r="36" spans="1:32" ht="57.95" customHeight="1" x14ac:dyDescent="0.2">
      <c r="A36" s="3" t="s">
        <v>290</v>
      </c>
      <c r="B36" s="3">
        <v>35</v>
      </c>
      <c r="C36" s="3" t="s">
        <v>34</v>
      </c>
      <c r="D36" s="3" t="s">
        <v>291</v>
      </c>
      <c r="E36" s="3" t="s">
        <v>15</v>
      </c>
      <c r="F36" s="3"/>
      <c r="G36" s="3" t="s">
        <v>16</v>
      </c>
      <c r="H36" s="3" t="s">
        <v>17</v>
      </c>
      <c r="I36" s="3" t="s">
        <v>292</v>
      </c>
      <c r="J36" s="3" t="s">
        <v>293</v>
      </c>
      <c r="K36" s="3" t="s">
        <v>294</v>
      </c>
      <c r="L36" s="3" t="s">
        <v>295</v>
      </c>
      <c r="M36" s="3"/>
      <c r="N36" s="3" t="s">
        <v>70</v>
      </c>
      <c r="O36" s="3"/>
      <c r="P36" s="10">
        <f>SUM(Paper2Coding[[#This Row],[Open Delegation]:[Expertise]])</f>
        <v>2</v>
      </c>
      <c r="Q36" s="10">
        <f t="shared" si="15"/>
        <v>0</v>
      </c>
      <c r="R36" s="10">
        <f t="shared" si="16"/>
        <v>0</v>
      </c>
      <c r="S36" s="10">
        <f t="shared" si="17"/>
        <v>1</v>
      </c>
      <c r="T36" s="10">
        <f t="shared" si="18"/>
        <v>0</v>
      </c>
      <c r="U36" s="10">
        <f t="shared" si="19"/>
        <v>0</v>
      </c>
      <c r="V36" s="10">
        <f t="shared" si="20"/>
        <v>0</v>
      </c>
      <c r="W36" s="10">
        <f t="shared" si="21"/>
        <v>0</v>
      </c>
      <c r="X36" s="10">
        <f t="shared" si="22"/>
        <v>0</v>
      </c>
      <c r="Y36" s="10">
        <f>SUM(Paper2Coding[[#This Row],[Subject-matter correction]:[none]])</f>
        <v>1</v>
      </c>
      <c r="Z36" s="10">
        <f t="shared" si="23"/>
        <v>0</v>
      </c>
      <c r="AA36" s="10">
        <f t="shared" si="24"/>
        <v>0</v>
      </c>
      <c r="AB36" s="10">
        <f t="shared" si="25"/>
        <v>1</v>
      </c>
      <c r="AC36" s="10">
        <f t="shared" si="26"/>
        <v>0</v>
      </c>
      <c r="AD36" s="10">
        <f t="shared" si="27"/>
        <v>0</v>
      </c>
      <c r="AE36" s="10">
        <f t="shared" si="28"/>
        <v>0</v>
      </c>
      <c r="AF36" s="10">
        <f t="shared" si="29"/>
        <v>0</v>
      </c>
    </row>
    <row r="37" spans="1:32" ht="48" customHeight="1" x14ac:dyDescent="0.2">
      <c r="A37" s="3" t="s">
        <v>296</v>
      </c>
      <c r="B37" s="3">
        <v>36</v>
      </c>
      <c r="C37" s="3" t="s">
        <v>34</v>
      </c>
      <c r="D37" s="3" t="s">
        <v>297</v>
      </c>
      <c r="E37" s="3" t="s">
        <v>15</v>
      </c>
      <c r="F37" s="3" t="s">
        <v>24</v>
      </c>
      <c r="G37" s="3" t="s">
        <v>16</v>
      </c>
      <c r="H37" s="3" t="s">
        <v>17</v>
      </c>
      <c r="I37" s="3" t="s">
        <v>298</v>
      </c>
      <c r="J37" s="3" t="s">
        <v>299</v>
      </c>
      <c r="K37" s="3" t="s">
        <v>300</v>
      </c>
      <c r="L37" s="3" t="s">
        <v>301</v>
      </c>
      <c r="M37" s="3"/>
      <c r="N37" s="3" t="s">
        <v>70</v>
      </c>
      <c r="O37" s="3"/>
      <c r="P37" s="10">
        <f>SUM(Paper2Coding[[#This Row],[Open Delegation]:[Expertise]])</f>
        <v>3</v>
      </c>
      <c r="Q37" s="10">
        <f t="shared" si="15"/>
        <v>0</v>
      </c>
      <c r="R37" s="10">
        <f t="shared" si="16"/>
        <v>0</v>
      </c>
      <c r="S37" s="10">
        <f t="shared" si="17"/>
        <v>1</v>
      </c>
      <c r="T37" s="10">
        <f t="shared" si="18"/>
        <v>0</v>
      </c>
      <c r="U37" s="10">
        <f t="shared" si="19"/>
        <v>0</v>
      </c>
      <c r="V37" s="10">
        <f t="shared" si="20"/>
        <v>1</v>
      </c>
      <c r="W37" s="10">
        <f t="shared" si="21"/>
        <v>0</v>
      </c>
      <c r="X37" s="10">
        <f t="shared" si="22"/>
        <v>0</v>
      </c>
      <c r="Y37" s="10">
        <f>SUM(Paper2Coding[[#This Row],[Subject-matter correction]:[none]])</f>
        <v>1</v>
      </c>
      <c r="Z37" s="10">
        <f t="shared" si="23"/>
        <v>0</v>
      </c>
      <c r="AA37" s="10">
        <f t="shared" si="24"/>
        <v>0</v>
      </c>
      <c r="AB37" s="10">
        <f t="shared" si="25"/>
        <v>1</v>
      </c>
      <c r="AC37" s="10">
        <f t="shared" si="26"/>
        <v>0</v>
      </c>
      <c r="AD37" s="10">
        <f t="shared" si="27"/>
        <v>0</v>
      </c>
      <c r="AE37" s="10">
        <f t="shared" si="28"/>
        <v>0</v>
      </c>
      <c r="AF37" s="10">
        <f t="shared" si="29"/>
        <v>0</v>
      </c>
    </row>
    <row r="38" spans="1:32" ht="48" customHeight="1" x14ac:dyDescent="0.2">
      <c r="A38" s="3" t="s">
        <v>302</v>
      </c>
      <c r="B38" s="3">
        <v>37</v>
      </c>
      <c r="C38" s="3" t="s">
        <v>35</v>
      </c>
      <c r="D38" s="3" t="s">
        <v>303</v>
      </c>
      <c r="E38" s="3" t="s">
        <v>24</v>
      </c>
      <c r="F38" s="3" t="s">
        <v>304</v>
      </c>
      <c r="G38" s="3" t="s">
        <v>13</v>
      </c>
      <c r="H38" s="3" t="s">
        <v>305</v>
      </c>
      <c r="I38" s="3" t="s">
        <v>306</v>
      </c>
      <c r="J38" s="3" t="s">
        <v>307</v>
      </c>
      <c r="K38" s="3" t="s">
        <v>308</v>
      </c>
      <c r="L38" s="3" t="s">
        <v>309</v>
      </c>
      <c r="M38" s="3"/>
      <c r="N38" s="3" t="s">
        <v>70</v>
      </c>
      <c r="O38" s="3"/>
      <c r="P38" s="10">
        <f>SUM(Paper2Coding[[#This Row],[Open Delegation]:[Expertise]])</f>
        <v>5</v>
      </c>
      <c r="Q38" s="10">
        <f t="shared" si="15"/>
        <v>0</v>
      </c>
      <c r="R38" s="10">
        <f t="shared" si="16"/>
        <v>1</v>
      </c>
      <c r="S38" s="10">
        <f t="shared" si="17"/>
        <v>0</v>
      </c>
      <c r="T38" s="10">
        <f t="shared" si="18"/>
        <v>0</v>
      </c>
      <c r="U38" s="10">
        <f t="shared" si="19"/>
        <v>1</v>
      </c>
      <c r="V38" s="10">
        <f t="shared" si="20"/>
        <v>1</v>
      </c>
      <c r="W38" s="10">
        <f t="shared" si="21"/>
        <v>0</v>
      </c>
      <c r="X38" s="10">
        <f t="shared" si="22"/>
        <v>0</v>
      </c>
      <c r="Y38" s="10">
        <f>SUM(Paper2Coding[[#This Row],[Subject-matter correction]:[none]])</f>
        <v>2</v>
      </c>
      <c r="Z38" s="10">
        <f t="shared" si="23"/>
        <v>0</v>
      </c>
      <c r="AA38" s="10">
        <f t="shared" si="24"/>
        <v>1</v>
      </c>
      <c r="AB38" s="10">
        <f t="shared" si="25"/>
        <v>0</v>
      </c>
      <c r="AC38" s="10">
        <f t="shared" si="26"/>
        <v>0</v>
      </c>
      <c r="AD38" s="10">
        <f t="shared" si="27"/>
        <v>1</v>
      </c>
      <c r="AE38" s="10">
        <f t="shared" si="28"/>
        <v>0</v>
      </c>
      <c r="AF38" s="10">
        <f t="shared" si="29"/>
        <v>0</v>
      </c>
    </row>
    <row r="39" spans="1:32" ht="48" customHeight="1" x14ac:dyDescent="0.2">
      <c r="A39" s="3" t="s">
        <v>310</v>
      </c>
      <c r="B39" s="3">
        <v>38</v>
      </c>
      <c r="C39" s="3" t="s">
        <v>35</v>
      </c>
      <c r="D39" s="3" t="s">
        <v>311</v>
      </c>
      <c r="E39" s="3" t="s">
        <v>28</v>
      </c>
      <c r="F39" s="3" t="s">
        <v>12</v>
      </c>
      <c r="G39" s="3" t="s">
        <v>22</v>
      </c>
      <c r="H39" s="3" t="s">
        <v>305</v>
      </c>
      <c r="I39" s="3" t="s">
        <v>312</v>
      </c>
      <c r="J39" s="3" t="s">
        <v>313</v>
      </c>
      <c r="K39" s="3" t="s">
        <v>314</v>
      </c>
      <c r="L39" s="3" t="s">
        <v>315</v>
      </c>
      <c r="M39" s="3"/>
      <c r="N39" s="3" t="s">
        <v>70</v>
      </c>
      <c r="O39" s="3" t="s">
        <v>316</v>
      </c>
      <c r="P39" s="10">
        <f>SUM(Paper2Coding[[#This Row],[Open Delegation]:[Expertise]])</f>
        <v>4</v>
      </c>
      <c r="Q39" s="10">
        <f t="shared" si="15"/>
        <v>0</v>
      </c>
      <c r="R39" s="10">
        <f t="shared" si="16"/>
        <v>1</v>
      </c>
      <c r="S39" s="10">
        <f t="shared" si="17"/>
        <v>0</v>
      </c>
      <c r="T39" s="10">
        <f t="shared" si="18"/>
        <v>0</v>
      </c>
      <c r="U39" s="10">
        <f t="shared" si="19"/>
        <v>0</v>
      </c>
      <c r="V39" s="10">
        <f t="shared" si="20"/>
        <v>0</v>
      </c>
      <c r="W39" s="10">
        <f t="shared" si="21"/>
        <v>0</v>
      </c>
      <c r="X39" s="10">
        <f t="shared" si="22"/>
        <v>1</v>
      </c>
      <c r="Y39" s="10">
        <f>SUM(Paper2Coding[[#This Row],[Subject-matter correction]:[none]])</f>
        <v>2</v>
      </c>
      <c r="Z39" s="10">
        <f t="shared" si="23"/>
        <v>0</v>
      </c>
      <c r="AA39" s="10">
        <f t="shared" si="24"/>
        <v>1</v>
      </c>
      <c r="AB39" s="10">
        <f t="shared" si="25"/>
        <v>0</v>
      </c>
      <c r="AC39" s="10">
        <f t="shared" si="26"/>
        <v>0</v>
      </c>
      <c r="AD39" s="10">
        <f t="shared" si="27"/>
        <v>1</v>
      </c>
      <c r="AE39" s="10">
        <f t="shared" si="28"/>
        <v>0</v>
      </c>
      <c r="AF39" s="10">
        <f t="shared" si="29"/>
        <v>0</v>
      </c>
    </row>
    <row r="40" spans="1:32" ht="48" customHeight="1" x14ac:dyDescent="0.2">
      <c r="A40" s="3" t="s">
        <v>317</v>
      </c>
      <c r="B40" s="3">
        <v>39</v>
      </c>
      <c r="C40" s="3" t="s">
        <v>35</v>
      </c>
      <c r="D40" s="3" t="s">
        <v>318</v>
      </c>
      <c r="E40" s="3" t="s">
        <v>12</v>
      </c>
      <c r="F40" s="3" t="s">
        <v>26</v>
      </c>
      <c r="G40" s="3" t="s">
        <v>13</v>
      </c>
      <c r="H40" s="3" t="s">
        <v>27</v>
      </c>
      <c r="I40" s="3" t="s">
        <v>319</v>
      </c>
      <c r="J40" s="3" t="s">
        <v>320</v>
      </c>
      <c r="K40" s="3" t="s">
        <v>321</v>
      </c>
      <c r="L40" s="3" t="s">
        <v>322</v>
      </c>
      <c r="M40" s="3"/>
      <c r="N40" s="3" t="s">
        <v>70</v>
      </c>
      <c r="O40" s="3"/>
      <c r="P40" s="10">
        <f>SUM(Paper2Coding[[#This Row],[Open Delegation]:[Expertise]])</f>
        <v>3</v>
      </c>
      <c r="Q40" s="10">
        <f t="shared" si="15"/>
        <v>0</v>
      </c>
      <c r="R40" s="10">
        <f t="shared" si="16"/>
        <v>1</v>
      </c>
      <c r="S40" s="10">
        <f t="shared" si="17"/>
        <v>0</v>
      </c>
      <c r="T40" s="10">
        <f t="shared" si="18"/>
        <v>0</v>
      </c>
      <c r="U40" s="10">
        <f t="shared" si="19"/>
        <v>0</v>
      </c>
      <c r="V40" s="10">
        <f t="shared" si="20"/>
        <v>0</v>
      </c>
      <c r="W40" s="10">
        <f t="shared" si="21"/>
        <v>1</v>
      </c>
      <c r="X40" s="10">
        <f t="shared" si="22"/>
        <v>0</v>
      </c>
      <c r="Y40" s="10">
        <f>SUM(Paper2Coding[[#This Row],[Subject-matter correction]:[none]])</f>
        <v>1</v>
      </c>
      <c r="Z40" s="10">
        <f t="shared" si="23"/>
        <v>0</v>
      </c>
      <c r="AA40" s="10">
        <f t="shared" si="24"/>
        <v>0</v>
      </c>
      <c r="AB40" s="10">
        <f t="shared" si="25"/>
        <v>0</v>
      </c>
      <c r="AC40" s="10">
        <f t="shared" si="26"/>
        <v>0</v>
      </c>
      <c r="AD40" s="10">
        <f t="shared" si="27"/>
        <v>0</v>
      </c>
      <c r="AE40" s="10">
        <f t="shared" si="28"/>
        <v>0</v>
      </c>
      <c r="AF40" s="10">
        <f t="shared" si="29"/>
        <v>1</v>
      </c>
    </row>
    <row r="41" spans="1:32" ht="48" customHeight="1" x14ac:dyDescent="0.2">
      <c r="A41" s="3" t="s">
        <v>323</v>
      </c>
      <c r="B41" s="3">
        <v>40</v>
      </c>
      <c r="C41" s="3" t="s">
        <v>35</v>
      </c>
      <c r="D41" s="3" t="s">
        <v>324</v>
      </c>
      <c r="E41" s="3" t="s">
        <v>24</v>
      </c>
      <c r="F41" s="3" t="s">
        <v>126</v>
      </c>
      <c r="G41" s="3" t="s">
        <v>13</v>
      </c>
      <c r="H41" s="3" t="s">
        <v>17</v>
      </c>
      <c r="I41" s="3" t="s">
        <v>325</v>
      </c>
      <c r="J41" s="3" t="s">
        <v>326</v>
      </c>
      <c r="K41" s="3" t="s">
        <v>327</v>
      </c>
      <c r="L41" s="3" t="s">
        <v>328</v>
      </c>
      <c r="M41" s="3"/>
      <c r="N41" s="3" t="s">
        <v>70</v>
      </c>
      <c r="O41" s="3"/>
      <c r="P41" s="10">
        <f>SUM(Paper2Coding[[#This Row],[Open Delegation]:[Expertise]])</f>
        <v>4</v>
      </c>
      <c r="Q41" s="10">
        <f t="shared" si="15"/>
        <v>0</v>
      </c>
      <c r="R41" s="10">
        <f t="shared" si="16"/>
        <v>1</v>
      </c>
      <c r="S41" s="10">
        <f t="shared" si="17"/>
        <v>0</v>
      </c>
      <c r="T41" s="10">
        <f t="shared" si="18"/>
        <v>0</v>
      </c>
      <c r="U41" s="10">
        <f t="shared" si="19"/>
        <v>0</v>
      </c>
      <c r="V41" s="10">
        <f t="shared" si="20"/>
        <v>1</v>
      </c>
      <c r="W41" s="10">
        <f t="shared" si="21"/>
        <v>1</v>
      </c>
      <c r="X41" s="10">
        <f t="shared" si="22"/>
        <v>0</v>
      </c>
      <c r="Y41" s="10">
        <f>SUM(Paper2Coding[[#This Row],[Subject-matter correction]:[none]])</f>
        <v>1</v>
      </c>
      <c r="Z41" s="10">
        <f t="shared" si="23"/>
        <v>0</v>
      </c>
      <c r="AA41" s="10">
        <f t="shared" si="24"/>
        <v>0</v>
      </c>
      <c r="AB41" s="10">
        <f t="shared" si="25"/>
        <v>1</v>
      </c>
      <c r="AC41" s="10">
        <f t="shared" si="26"/>
        <v>0</v>
      </c>
      <c r="AD41" s="10">
        <f t="shared" si="27"/>
        <v>0</v>
      </c>
      <c r="AE41" s="10">
        <f t="shared" si="28"/>
        <v>0</v>
      </c>
      <c r="AF41" s="10">
        <f t="shared" si="29"/>
        <v>0</v>
      </c>
    </row>
    <row r="42" spans="1:32" ht="48" customHeight="1" x14ac:dyDescent="0.2">
      <c r="A42" s="3" t="s">
        <v>329</v>
      </c>
      <c r="B42" s="3">
        <v>41</v>
      </c>
      <c r="C42" s="3" t="s">
        <v>35</v>
      </c>
      <c r="D42" s="3" t="s">
        <v>330</v>
      </c>
      <c r="E42" s="3" t="s">
        <v>24</v>
      </c>
      <c r="F42" s="3" t="s">
        <v>126</v>
      </c>
      <c r="G42" s="3" t="s">
        <v>13</v>
      </c>
      <c r="H42" s="3" t="s">
        <v>17</v>
      </c>
      <c r="I42" s="3" t="s">
        <v>331</v>
      </c>
      <c r="J42" s="3" t="s">
        <v>332</v>
      </c>
      <c r="K42" s="3" t="s">
        <v>333</v>
      </c>
      <c r="L42" s="3" t="s">
        <v>334</v>
      </c>
      <c r="M42" s="3"/>
      <c r="N42" s="3" t="s">
        <v>70</v>
      </c>
      <c r="O42" s="3"/>
      <c r="P42" s="10">
        <f>SUM(Paper2Coding[[#This Row],[Open Delegation]:[Expertise]])</f>
        <v>4</v>
      </c>
      <c r="Q42" s="10">
        <f t="shared" si="15"/>
        <v>0</v>
      </c>
      <c r="R42" s="10">
        <f t="shared" si="16"/>
        <v>1</v>
      </c>
      <c r="S42" s="10">
        <f t="shared" si="17"/>
        <v>0</v>
      </c>
      <c r="T42" s="10">
        <f t="shared" si="18"/>
        <v>0</v>
      </c>
      <c r="U42" s="10">
        <f t="shared" si="19"/>
        <v>0</v>
      </c>
      <c r="V42" s="10">
        <f t="shared" si="20"/>
        <v>1</v>
      </c>
      <c r="W42" s="10">
        <f t="shared" si="21"/>
        <v>1</v>
      </c>
      <c r="X42" s="10">
        <f t="shared" si="22"/>
        <v>0</v>
      </c>
      <c r="Y42" s="10">
        <f>SUM(Paper2Coding[[#This Row],[Subject-matter correction]:[none]])</f>
        <v>1</v>
      </c>
      <c r="Z42" s="10">
        <f t="shared" si="23"/>
        <v>0</v>
      </c>
      <c r="AA42" s="10">
        <f t="shared" si="24"/>
        <v>0</v>
      </c>
      <c r="AB42" s="10">
        <f t="shared" si="25"/>
        <v>1</v>
      </c>
      <c r="AC42" s="10">
        <f t="shared" si="26"/>
        <v>0</v>
      </c>
      <c r="AD42" s="10">
        <f t="shared" si="27"/>
        <v>0</v>
      </c>
      <c r="AE42" s="10">
        <f t="shared" si="28"/>
        <v>0</v>
      </c>
      <c r="AF42" s="10">
        <f t="shared" si="29"/>
        <v>0</v>
      </c>
    </row>
    <row r="43" spans="1:32" ht="48" customHeight="1" x14ac:dyDescent="0.2">
      <c r="A43" s="3" t="s">
        <v>335</v>
      </c>
      <c r="B43" s="3">
        <v>42</v>
      </c>
      <c r="C43" s="3" t="s">
        <v>35</v>
      </c>
      <c r="D43" s="3" t="s">
        <v>336</v>
      </c>
      <c r="E43" s="3" t="s">
        <v>28</v>
      </c>
      <c r="F43" s="3" t="s">
        <v>100</v>
      </c>
      <c r="G43" s="3" t="s">
        <v>22</v>
      </c>
      <c r="H43" s="3" t="s">
        <v>337</v>
      </c>
      <c r="I43" s="3" t="s">
        <v>338</v>
      </c>
      <c r="J43" s="3" t="s">
        <v>339</v>
      </c>
      <c r="K43" s="3" t="s">
        <v>340</v>
      </c>
      <c r="L43" s="3" t="s">
        <v>341</v>
      </c>
      <c r="M43" s="3"/>
      <c r="N43" s="3" t="s">
        <v>70</v>
      </c>
      <c r="O43" s="3"/>
      <c r="P43" s="10">
        <f>SUM(Paper2Coding[[#This Row],[Open Delegation]:[Expertise]])</f>
        <v>7</v>
      </c>
      <c r="Q43" s="10">
        <f t="shared" si="15"/>
        <v>0</v>
      </c>
      <c r="R43" s="10">
        <f t="shared" si="16"/>
        <v>0</v>
      </c>
      <c r="S43" s="10">
        <f t="shared" si="17"/>
        <v>1</v>
      </c>
      <c r="T43" s="10">
        <f t="shared" si="18"/>
        <v>0</v>
      </c>
      <c r="U43" s="10">
        <f t="shared" si="19"/>
        <v>1</v>
      </c>
      <c r="V43" s="10">
        <f t="shared" si="20"/>
        <v>1</v>
      </c>
      <c r="W43" s="10">
        <f t="shared" si="21"/>
        <v>0</v>
      </c>
      <c r="X43" s="10">
        <f t="shared" si="22"/>
        <v>1</v>
      </c>
      <c r="Y43" s="10">
        <f>SUM(Paper2Coding[[#This Row],[Subject-matter correction]:[none]])</f>
        <v>3</v>
      </c>
      <c r="Z43" s="10">
        <f t="shared" si="23"/>
        <v>0</v>
      </c>
      <c r="AA43" s="10">
        <f t="shared" si="24"/>
        <v>1</v>
      </c>
      <c r="AB43" s="10">
        <f t="shared" si="25"/>
        <v>0</v>
      </c>
      <c r="AC43" s="10">
        <f t="shared" si="26"/>
        <v>1</v>
      </c>
      <c r="AD43" s="10">
        <f t="shared" si="27"/>
        <v>1</v>
      </c>
      <c r="AE43" s="10">
        <f t="shared" si="28"/>
        <v>0</v>
      </c>
      <c r="AF43" s="10">
        <f t="shared" si="29"/>
        <v>0</v>
      </c>
    </row>
    <row r="44" spans="1:32" ht="48" customHeight="1" x14ac:dyDescent="0.2">
      <c r="A44" s="3" t="s">
        <v>342</v>
      </c>
      <c r="B44" s="3">
        <v>43</v>
      </c>
      <c r="C44" s="3" t="s">
        <v>35</v>
      </c>
      <c r="D44" s="3" t="s">
        <v>343</v>
      </c>
      <c r="E44" s="3" t="s">
        <v>12</v>
      </c>
      <c r="F44" s="3"/>
      <c r="G44" s="3" t="s">
        <v>13</v>
      </c>
      <c r="H44" s="3" t="s">
        <v>87</v>
      </c>
      <c r="I44" s="3" t="s">
        <v>344</v>
      </c>
      <c r="J44" s="3" t="s">
        <v>345</v>
      </c>
      <c r="K44" s="3" t="s">
        <v>346</v>
      </c>
      <c r="L44" s="3" t="s">
        <v>347</v>
      </c>
      <c r="M44" s="3"/>
      <c r="N44" s="3" t="s">
        <v>70</v>
      </c>
      <c r="O44" s="3"/>
      <c r="P44" s="10">
        <f>SUM(Paper2Coding[[#This Row],[Open Delegation]:[Expertise]])</f>
        <v>3</v>
      </c>
      <c r="Q44" s="10">
        <f t="shared" si="15"/>
        <v>0</v>
      </c>
      <c r="R44" s="10">
        <f t="shared" si="16"/>
        <v>1</v>
      </c>
      <c r="S44" s="10">
        <f t="shared" si="17"/>
        <v>0</v>
      </c>
      <c r="T44" s="10">
        <f t="shared" si="18"/>
        <v>0</v>
      </c>
      <c r="U44" s="10">
        <f t="shared" si="19"/>
        <v>0</v>
      </c>
      <c r="V44" s="10">
        <f t="shared" si="20"/>
        <v>0</v>
      </c>
      <c r="W44" s="10">
        <f t="shared" si="21"/>
        <v>0</v>
      </c>
      <c r="X44" s="10">
        <f t="shared" si="22"/>
        <v>0</v>
      </c>
      <c r="Y44" s="10">
        <f>SUM(Paper2Coding[[#This Row],[Subject-matter correction]:[none]])</f>
        <v>2</v>
      </c>
      <c r="Z44" s="10">
        <f t="shared" si="23"/>
        <v>0</v>
      </c>
      <c r="AA44" s="10">
        <f t="shared" si="24"/>
        <v>0</v>
      </c>
      <c r="AB44" s="10">
        <f t="shared" si="25"/>
        <v>0</v>
      </c>
      <c r="AC44" s="10">
        <f t="shared" si="26"/>
        <v>0</v>
      </c>
      <c r="AD44" s="10">
        <f t="shared" si="27"/>
        <v>1</v>
      </c>
      <c r="AE44" s="10">
        <f t="shared" si="28"/>
        <v>1</v>
      </c>
      <c r="AF44" s="10">
        <f t="shared" si="29"/>
        <v>0</v>
      </c>
    </row>
    <row r="45" spans="1:32" ht="48" customHeight="1" x14ac:dyDescent="0.2">
      <c r="A45" s="3" t="s">
        <v>348</v>
      </c>
      <c r="B45" s="3">
        <v>44</v>
      </c>
      <c r="C45" s="3" t="s">
        <v>35</v>
      </c>
      <c r="D45" s="3" t="s">
        <v>349</v>
      </c>
      <c r="E45" s="3" t="s">
        <v>12</v>
      </c>
      <c r="F45" s="3" t="s">
        <v>350</v>
      </c>
      <c r="G45" s="3" t="s">
        <v>13</v>
      </c>
      <c r="H45" s="3" t="s">
        <v>87</v>
      </c>
      <c r="I45" s="3" t="s">
        <v>351</v>
      </c>
      <c r="J45" s="3" t="s">
        <v>352</v>
      </c>
      <c r="K45" s="3" t="s">
        <v>353</v>
      </c>
      <c r="L45" s="3" t="s">
        <v>354</v>
      </c>
      <c r="M45" s="3"/>
      <c r="N45" s="3" t="s">
        <v>70</v>
      </c>
      <c r="O45" s="3"/>
      <c r="P45" s="10">
        <f>SUM(Paper2Coding[[#This Row],[Open Delegation]:[Expertise]])</f>
        <v>5</v>
      </c>
      <c r="Q45" s="10">
        <f t="shared" si="15"/>
        <v>0</v>
      </c>
      <c r="R45" s="10">
        <f t="shared" si="16"/>
        <v>1</v>
      </c>
      <c r="S45" s="10">
        <f t="shared" si="17"/>
        <v>0</v>
      </c>
      <c r="T45" s="10">
        <f t="shared" si="18"/>
        <v>0</v>
      </c>
      <c r="U45" s="10">
        <f t="shared" si="19"/>
        <v>0</v>
      </c>
      <c r="V45" s="10">
        <f t="shared" si="20"/>
        <v>1</v>
      </c>
      <c r="W45" s="10">
        <f t="shared" si="21"/>
        <v>1</v>
      </c>
      <c r="X45" s="10">
        <f t="shared" si="22"/>
        <v>0</v>
      </c>
      <c r="Y45" s="10">
        <f>SUM(Paper2Coding[[#This Row],[Subject-matter correction]:[none]])</f>
        <v>2</v>
      </c>
      <c r="Z45" s="10">
        <f t="shared" si="23"/>
        <v>0</v>
      </c>
      <c r="AA45" s="10">
        <f t="shared" si="24"/>
        <v>0</v>
      </c>
      <c r="AB45" s="10">
        <f t="shared" si="25"/>
        <v>0</v>
      </c>
      <c r="AC45" s="10">
        <f t="shared" si="26"/>
        <v>0</v>
      </c>
      <c r="AD45" s="10">
        <f t="shared" si="27"/>
        <v>1</v>
      </c>
      <c r="AE45" s="10">
        <f t="shared" si="28"/>
        <v>1</v>
      </c>
      <c r="AF45" s="10">
        <f t="shared" si="29"/>
        <v>0</v>
      </c>
    </row>
    <row r="46" spans="1:32" ht="48" customHeight="1" x14ac:dyDescent="0.2">
      <c r="A46" s="3" t="s">
        <v>355</v>
      </c>
      <c r="B46" s="3">
        <v>45</v>
      </c>
      <c r="C46" s="3" t="s">
        <v>36</v>
      </c>
      <c r="D46" s="3" t="s">
        <v>356</v>
      </c>
      <c r="E46" s="3" t="s">
        <v>12</v>
      </c>
      <c r="F46" s="3" t="s">
        <v>24</v>
      </c>
      <c r="G46" s="3" t="s">
        <v>13</v>
      </c>
      <c r="H46" s="3" t="s">
        <v>25</v>
      </c>
      <c r="I46" s="3" t="s">
        <v>357</v>
      </c>
      <c r="J46" s="3" t="s">
        <v>271</v>
      </c>
      <c r="K46" s="3" t="s">
        <v>358</v>
      </c>
      <c r="L46" s="3"/>
      <c r="M46" s="3" t="s">
        <v>359</v>
      </c>
      <c r="N46" s="3" t="s">
        <v>274</v>
      </c>
      <c r="O46" s="3" t="s">
        <v>275</v>
      </c>
      <c r="P46" s="10">
        <f>SUM(Paper2Coding[[#This Row],[Open Delegation]:[Expertise]])</f>
        <v>3</v>
      </c>
      <c r="Q46" s="10">
        <f t="shared" si="15"/>
        <v>0</v>
      </c>
      <c r="R46" s="10">
        <f t="shared" si="16"/>
        <v>1</v>
      </c>
      <c r="S46" s="10">
        <f t="shared" si="17"/>
        <v>0</v>
      </c>
      <c r="T46" s="10">
        <f t="shared" si="18"/>
        <v>0</v>
      </c>
      <c r="U46" s="10">
        <f t="shared" si="19"/>
        <v>0</v>
      </c>
      <c r="V46" s="10">
        <f t="shared" si="20"/>
        <v>1</v>
      </c>
      <c r="W46" s="10">
        <f t="shared" si="21"/>
        <v>0</v>
      </c>
      <c r="X46" s="10">
        <f t="shared" si="22"/>
        <v>0</v>
      </c>
      <c r="Y46" s="10">
        <f>SUM(Paper2Coding[[#This Row],[Subject-matter correction]:[none]])</f>
        <v>1</v>
      </c>
      <c r="Z46" s="10">
        <f t="shared" si="23"/>
        <v>0</v>
      </c>
      <c r="AA46" s="10">
        <f t="shared" si="24"/>
        <v>0</v>
      </c>
      <c r="AB46" s="10">
        <f t="shared" si="25"/>
        <v>0</v>
      </c>
      <c r="AC46" s="10">
        <f t="shared" si="26"/>
        <v>0</v>
      </c>
      <c r="AD46" s="10">
        <f t="shared" si="27"/>
        <v>0</v>
      </c>
      <c r="AE46" s="10">
        <f t="shared" si="28"/>
        <v>1</v>
      </c>
      <c r="AF46" s="10">
        <f t="shared" si="29"/>
        <v>0</v>
      </c>
    </row>
    <row r="47" spans="1:32" ht="57.95" customHeight="1" x14ac:dyDescent="0.2">
      <c r="A47" s="3" t="s">
        <v>360</v>
      </c>
      <c r="B47" s="3">
        <v>46</v>
      </c>
      <c r="C47" s="3" t="s">
        <v>36</v>
      </c>
      <c r="D47" s="3" t="s">
        <v>361</v>
      </c>
      <c r="E47" s="3" t="s">
        <v>12</v>
      </c>
      <c r="F47" s="3" t="s">
        <v>24</v>
      </c>
      <c r="G47" s="3" t="s">
        <v>13</v>
      </c>
      <c r="H47" s="3" t="s">
        <v>362</v>
      </c>
      <c r="I47" s="3" t="s">
        <v>363</v>
      </c>
      <c r="J47" s="3" t="s">
        <v>364</v>
      </c>
      <c r="K47" s="3" t="s">
        <v>365</v>
      </c>
      <c r="L47" s="3"/>
      <c r="M47" s="3" t="s">
        <v>366</v>
      </c>
      <c r="N47" s="3" t="s">
        <v>274</v>
      </c>
      <c r="O47" s="3" t="s">
        <v>367</v>
      </c>
      <c r="P47" s="10">
        <f>SUM(Paper2Coding[[#This Row],[Open Delegation]:[Expertise]])</f>
        <v>4</v>
      </c>
      <c r="Q47" s="10">
        <f t="shared" si="15"/>
        <v>0</v>
      </c>
      <c r="R47" s="10">
        <f t="shared" si="16"/>
        <v>1</v>
      </c>
      <c r="S47" s="10">
        <f t="shared" si="17"/>
        <v>0</v>
      </c>
      <c r="T47" s="10">
        <f t="shared" si="18"/>
        <v>0</v>
      </c>
      <c r="U47" s="10">
        <f t="shared" si="19"/>
        <v>0</v>
      </c>
      <c r="V47" s="10">
        <f t="shared" si="20"/>
        <v>1</v>
      </c>
      <c r="W47" s="10">
        <f t="shared" si="21"/>
        <v>0</v>
      </c>
      <c r="X47" s="10">
        <f t="shared" si="22"/>
        <v>0</v>
      </c>
      <c r="Y47" s="10">
        <f>SUM(Paper2Coding[[#This Row],[Subject-matter correction]:[none]])</f>
        <v>2</v>
      </c>
      <c r="Z47" s="10">
        <f t="shared" si="23"/>
        <v>0</v>
      </c>
      <c r="AA47" s="10">
        <f t="shared" si="24"/>
        <v>0</v>
      </c>
      <c r="AB47" s="10">
        <f t="shared" si="25"/>
        <v>1</v>
      </c>
      <c r="AC47" s="10">
        <f t="shared" si="26"/>
        <v>1</v>
      </c>
      <c r="AD47" s="10">
        <f t="shared" si="27"/>
        <v>0</v>
      </c>
      <c r="AE47" s="10">
        <f t="shared" si="28"/>
        <v>0</v>
      </c>
      <c r="AF47" s="10">
        <f t="shared" si="29"/>
        <v>0</v>
      </c>
    </row>
    <row r="48" spans="1:32" ht="48" customHeight="1" x14ac:dyDescent="0.2">
      <c r="A48" s="3" t="s">
        <v>368</v>
      </c>
      <c r="B48" s="3">
        <v>47</v>
      </c>
      <c r="C48" s="3" t="s">
        <v>36</v>
      </c>
      <c r="D48" s="3" t="s">
        <v>369</v>
      </c>
      <c r="E48" s="3" t="s">
        <v>15</v>
      </c>
      <c r="F48" s="3" t="s">
        <v>24</v>
      </c>
      <c r="G48" s="3" t="s">
        <v>16</v>
      </c>
      <c r="H48" s="3" t="s">
        <v>27</v>
      </c>
      <c r="I48" s="3" t="s">
        <v>370</v>
      </c>
      <c r="J48" s="3" t="s">
        <v>271</v>
      </c>
      <c r="K48" s="3" t="s">
        <v>371</v>
      </c>
      <c r="L48" s="3"/>
      <c r="M48" s="3" t="s">
        <v>366</v>
      </c>
      <c r="N48" s="3" t="s">
        <v>274</v>
      </c>
      <c r="O48" s="3" t="s">
        <v>275</v>
      </c>
      <c r="P48" s="10">
        <f>SUM(Paper2Coding[[#This Row],[Open Delegation]:[Expertise]])</f>
        <v>3</v>
      </c>
      <c r="Q48" s="10">
        <f t="shared" si="15"/>
        <v>0</v>
      </c>
      <c r="R48" s="10">
        <f t="shared" si="16"/>
        <v>0</v>
      </c>
      <c r="S48" s="10">
        <f t="shared" si="17"/>
        <v>1</v>
      </c>
      <c r="T48" s="10">
        <f t="shared" si="18"/>
        <v>0</v>
      </c>
      <c r="U48" s="10">
        <f t="shared" si="19"/>
        <v>0</v>
      </c>
      <c r="V48" s="10">
        <f t="shared" si="20"/>
        <v>1</v>
      </c>
      <c r="W48" s="10">
        <f t="shared" si="21"/>
        <v>0</v>
      </c>
      <c r="X48" s="10">
        <f t="shared" si="22"/>
        <v>0</v>
      </c>
      <c r="Y48" s="10">
        <f>SUM(Paper2Coding[[#This Row],[Subject-matter correction]:[none]])</f>
        <v>1</v>
      </c>
      <c r="Z48" s="10">
        <f t="shared" si="23"/>
        <v>0</v>
      </c>
      <c r="AA48" s="10">
        <f t="shared" si="24"/>
        <v>0</v>
      </c>
      <c r="AB48" s="10">
        <f t="shared" si="25"/>
        <v>0</v>
      </c>
      <c r="AC48" s="10">
        <f t="shared" si="26"/>
        <v>0</v>
      </c>
      <c r="AD48" s="10">
        <f t="shared" si="27"/>
        <v>0</v>
      </c>
      <c r="AE48" s="10">
        <f t="shared" si="28"/>
        <v>0</v>
      </c>
      <c r="AF48" s="10">
        <f t="shared" si="29"/>
        <v>1</v>
      </c>
    </row>
    <row r="49" spans="1:32" ht="48" customHeight="1" x14ac:dyDescent="0.2">
      <c r="A49" s="3" t="s">
        <v>372</v>
      </c>
      <c r="B49" s="3">
        <v>48</v>
      </c>
      <c r="C49" s="3" t="s">
        <v>36</v>
      </c>
      <c r="D49" s="3" t="s">
        <v>373</v>
      </c>
      <c r="E49" s="3" t="s">
        <v>12</v>
      </c>
      <c r="F49" s="3" t="s">
        <v>374</v>
      </c>
      <c r="G49" s="3" t="s">
        <v>13</v>
      </c>
      <c r="H49" s="3" t="s">
        <v>147</v>
      </c>
      <c r="I49" s="3" t="s">
        <v>375</v>
      </c>
      <c r="J49" s="3" t="s">
        <v>376</v>
      </c>
      <c r="K49" s="3" t="s">
        <v>377</v>
      </c>
      <c r="L49" s="3" t="s">
        <v>378</v>
      </c>
      <c r="M49" s="3" t="s">
        <v>379</v>
      </c>
      <c r="N49" s="3" t="s">
        <v>274</v>
      </c>
      <c r="O49" s="3" t="s">
        <v>275</v>
      </c>
      <c r="P49" s="10">
        <f>SUM(Paper2Coding[[#This Row],[Open Delegation]:[Expertise]])</f>
        <v>5</v>
      </c>
      <c r="Q49" s="10">
        <f t="shared" si="15"/>
        <v>0</v>
      </c>
      <c r="R49" s="10">
        <f t="shared" si="16"/>
        <v>1</v>
      </c>
      <c r="S49" s="10">
        <f t="shared" si="17"/>
        <v>0</v>
      </c>
      <c r="T49" s="10">
        <f t="shared" si="18"/>
        <v>0</v>
      </c>
      <c r="U49" s="10">
        <f t="shared" si="19"/>
        <v>1</v>
      </c>
      <c r="V49" s="10">
        <f t="shared" si="20"/>
        <v>1</v>
      </c>
      <c r="W49" s="10">
        <f t="shared" si="21"/>
        <v>0</v>
      </c>
      <c r="X49" s="10">
        <f t="shared" si="22"/>
        <v>0</v>
      </c>
      <c r="Y49" s="10">
        <f>SUM(Paper2Coding[[#This Row],[Subject-matter correction]:[none]])</f>
        <v>2</v>
      </c>
      <c r="Z49" s="10">
        <f t="shared" si="23"/>
        <v>0</v>
      </c>
      <c r="AA49" s="10">
        <f t="shared" si="24"/>
        <v>0</v>
      </c>
      <c r="AB49" s="10">
        <f t="shared" si="25"/>
        <v>1</v>
      </c>
      <c r="AC49" s="10">
        <f t="shared" si="26"/>
        <v>1</v>
      </c>
      <c r="AD49" s="10">
        <f t="shared" si="27"/>
        <v>0</v>
      </c>
      <c r="AE49" s="10">
        <f t="shared" si="28"/>
        <v>0</v>
      </c>
      <c r="AF49" s="10">
        <f t="shared" si="29"/>
        <v>0</v>
      </c>
    </row>
    <row r="50" spans="1:32" ht="48" customHeight="1" x14ac:dyDescent="0.2">
      <c r="A50" s="3" t="s">
        <v>380</v>
      </c>
      <c r="B50" s="3">
        <v>49</v>
      </c>
      <c r="C50" s="3" t="s">
        <v>36</v>
      </c>
      <c r="D50" s="3" t="s">
        <v>381</v>
      </c>
      <c r="E50" s="3" t="s">
        <v>26</v>
      </c>
      <c r="F50" s="3" t="s">
        <v>73</v>
      </c>
      <c r="G50" s="3" t="s">
        <v>13</v>
      </c>
      <c r="H50" s="3" t="s">
        <v>87</v>
      </c>
      <c r="I50" s="3" t="s">
        <v>382</v>
      </c>
      <c r="J50" s="3" t="s">
        <v>383</v>
      </c>
      <c r="K50" s="3" t="s">
        <v>384</v>
      </c>
      <c r="L50" s="3"/>
      <c r="M50" s="3" t="s">
        <v>366</v>
      </c>
      <c r="N50" s="3" t="s">
        <v>274</v>
      </c>
      <c r="O50" s="3" t="s">
        <v>275</v>
      </c>
      <c r="P50" s="10">
        <f>SUM(Paper2Coding[[#This Row],[Open Delegation]:[Expertise]])</f>
        <v>5</v>
      </c>
      <c r="Q50" s="10">
        <f t="shared" si="15"/>
        <v>0</v>
      </c>
      <c r="R50" s="10">
        <f t="shared" si="16"/>
        <v>0</v>
      </c>
      <c r="S50" s="10">
        <f t="shared" si="17"/>
        <v>0</v>
      </c>
      <c r="T50" s="10">
        <f t="shared" si="18"/>
        <v>0</v>
      </c>
      <c r="U50" s="10">
        <f t="shared" si="19"/>
        <v>1</v>
      </c>
      <c r="V50" s="10">
        <f t="shared" si="20"/>
        <v>1</v>
      </c>
      <c r="W50" s="10">
        <f t="shared" si="21"/>
        <v>1</v>
      </c>
      <c r="X50" s="10">
        <f t="shared" si="22"/>
        <v>0</v>
      </c>
      <c r="Y50" s="10">
        <f>SUM(Paper2Coding[[#This Row],[Subject-matter correction]:[none]])</f>
        <v>2</v>
      </c>
      <c r="Z50" s="10">
        <f t="shared" si="23"/>
        <v>0</v>
      </c>
      <c r="AA50" s="10">
        <f t="shared" si="24"/>
        <v>0</v>
      </c>
      <c r="AB50" s="10">
        <f t="shared" si="25"/>
        <v>0</v>
      </c>
      <c r="AC50" s="10">
        <f t="shared" si="26"/>
        <v>0</v>
      </c>
      <c r="AD50" s="10">
        <f t="shared" si="27"/>
        <v>1</v>
      </c>
      <c r="AE50" s="10">
        <f t="shared" si="28"/>
        <v>1</v>
      </c>
      <c r="AF50" s="10">
        <f t="shared" si="29"/>
        <v>0</v>
      </c>
    </row>
    <row r="51" spans="1:32" ht="48" customHeight="1" x14ac:dyDescent="0.2">
      <c r="A51" s="3" t="s">
        <v>385</v>
      </c>
      <c r="B51" s="3">
        <v>50</v>
      </c>
      <c r="C51" s="3" t="s">
        <v>36</v>
      </c>
      <c r="D51" s="3" t="s">
        <v>386</v>
      </c>
      <c r="E51" s="3" t="s">
        <v>26</v>
      </c>
      <c r="F51" s="3" t="s">
        <v>387</v>
      </c>
      <c r="G51" s="3" t="s">
        <v>19</v>
      </c>
      <c r="H51" s="3" t="s">
        <v>388</v>
      </c>
      <c r="I51" s="3" t="s">
        <v>389</v>
      </c>
      <c r="J51" s="3" t="s">
        <v>390</v>
      </c>
      <c r="K51" s="3" t="s">
        <v>391</v>
      </c>
      <c r="L51" s="3"/>
      <c r="M51" s="3" t="s">
        <v>366</v>
      </c>
      <c r="N51" s="3" t="s">
        <v>274</v>
      </c>
      <c r="O51" s="3" t="s">
        <v>275</v>
      </c>
      <c r="P51" s="10">
        <f>SUM(Paper2Coding[[#This Row],[Open Delegation]:[Expertise]])</f>
        <v>5</v>
      </c>
      <c r="Q51" s="10">
        <f t="shared" si="15"/>
        <v>0</v>
      </c>
      <c r="R51" s="10">
        <f t="shared" si="16"/>
        <v>0</v>
      </c>
      <c r="S51" s="10">
        <f t="shared" si="17"/>
        <v>0</v>
      </c>
      <c r="T51" s="10">
        <f t="shared" si="18"/>
        <v>1</v>
      </c>
      <c r="U51" s="10">
        <f t="shared" si="19"/>
        <v>0</v>
      </c>
      <c r="V51" s="10">
        <f t="shared" si="20"/>
        <v>1</v>
      </c>
      <c r="W51" s="10">
        <f t="shared" si="21"/>
        <v>1</v>
      </c>
      <c r="X51" s="10">
        <f t="shared" si="22"/>
        <v>0</v>
      </c>
      <c r="Y51" s="10">
        <f>SUM(Paper2Coding[[#This Row],[Subject-matter correction]:[none]])</f>
        <v>2</v>
      </c>
      <c r="Z51" s="10">
        <f t="shared" si="23"/>
        <v>0</v>
      </c>
      <c r="AA51" s="10">
        <f t="shared" si="24"/>
        <v>1</v>
      </c>
      <c r="AB51" s="10">
        <f t="shared" si="25"/>
        <v>0</v>
      </c>
      <c r="AC51" s="10">
        <f t="shared" si="26"/>
        <v>1</v>
      </c>
      <c r="AD51" s="10">
        <f t="shared" si="27"/>
        <v>0</v>
      </c>
      <c r="AE51" s="10">
        <f t="shared" si="28"/>
        <v>0</v>
      </c>
      <c r="AF51" s="10">
        <f t="shared" si="29"/>
        <v>0</v>
      </c>
    </row>
    <row r="52" spans="1:32" ht="48" customHeight="1" x14ac:dyDescent="0.2">
      <c r="A52" s="3" t="s">
        <v>392</v>
      </c>
      <c r="B52" s="3">
        <v>51</v>
      </c>
      <c r="C52" s="3" t="s">
        <v>36</v>
      </c>
      <c r="D52" s="3" t="s">
        <v>393</v>
      </c>
      <c r="E52" s="3" t="s">
        <v>12</v>
      </c>
      <c r="F52" s="3" t="s">
        <v>24</v>
      </c>
      <c r="G52" s="3" t="s">
        <v>13</v>
      </c>
      <c r="H52" s="3" t="s">
        <v>394</v>
      </c>
      <c r="I52" s="3" t="s">
        <v>395</v>
      </c>
      <c r="J52" s="3" t="s">
        <v>271</v>
      </c>
      <c r="K52" s="3" t="s">
        <v>396</v>
      </c>
      <c r="L52" s="3"/>
      <c r="M52" s="3" t="s">
        <v>359</v>
      </c>
      <c r="N52" s="3" t="s">
        <v>274</v>
      </c>
      <c r="O52" s="3" t="s">
        <v>275</v>
      </c>
      <c r="P52" s="10">
        <f>SUM(Paper2Coding[[#This Row],[Open Delegation]:[Expertise]])</f>
        <v>4</v>
      </c>
      <c r="Q52" s="10">
        <f t="shared" si="15"/>
        <v>0</v>
      </c>
      <c r="R52" s="10">
        <f t="shared" si="16"/>
        <v>1</v>
      </c>
      <c r="S52" s="10">
        <f t="shared" si="17"/>
        <v>0</v>
      </c>
      <c r="T52" s="10">
        <f t="shared" si="18"/>
        <v>0</v>
      </c>
      <c r="U52" s="10">
        <f t="shared" si="19"/>
        <v>0</v>
      </c>
      <c r="V52" s="10">
        <f t="shared" si="20"/>
        <v>1</v>
      </c>
      <c r="W52" s="10">
        <f t="shared" si="21"/>
        <v>0</v>
      </c>
      <c r="X52" s="10">
        <f t="shared" si="22"/>
        <v>0</v>
      </c>
      <c r="Y52" s="10">
        <f>SUM(Paper2Coding[[#This Row],[Subject-matter correction]:[none]])</f>
        <v>2</v>
      </c>
      <c r="Z52" s="10">
        <f t="shared" si="23"/>
        <v>0</v>
      </c>
      <c r="AA52" s="10">
        <f t="shared" si="24"/>
        <v>0</v>
      </c>
      <c r="AB52" s="10">
        <f t="shared" si="25"/>
        <v>1</v>
      </c>
      <c r="AC52" s="10">
        <f t="shared" si="26"/>
        <v>0</v>
      </c>
      <c r="AD52" s="10">
        <f t="shared" si="27"/>
        <v>0</v>
      </c>
      <c r="AE52" s="10">
        <f t="shared" si="28"/>
        <v>1</v>
      </c>
      <c r="AF52" s="10">
        <f t="shared" si="29"/>
        <v>0</v>
      </c>
    </row>
    <row r="53" spans="1:32" ht="57.95" customHeight="1" x14ac:dyDescent="0.2">
      <c r="A53" s="3" t="s">
        <v>397</v>
      </c>
      <c r="B53" s="3">
        <v>52</v>
      </c>
      <c r="C53" s="3" t="s">
        <v>36</v>
      </c>
      <c r="D53" s="3" t="s">
        <v>398</v>
      </c>
      <c r="E53" s="3" t="s">
        <v>21</v>
      </c>
      <c r="F53" s="3" t="s">
        <v>399</v>
      </c>
      <c r="G53" s="3" t="s">
        <v>19</v>
      </c>
      <c r="H53" s="3" t="s">
        <v>87</v>
      </c>
      <c r="I53" s="3" t="s">
        <v>400</v>
      </c>
      <c r="J53" s="3" t="s">
        <v>401</v>
      </c>
      <c r="K53" s="3" t="s">
        <v>402</v>
      </c>
      <c r="L53" s="3"/>
      <c r="M53" s="3" t="s">
        <v>403</v>
      </c>
      <c r="N53" s="3" t="s">
        <v>274</v>
      </c>
      <c r="O53" s="3" t="s">
        <v>275</v>
      </c>
      <c r="P53" s="10">
        <f>SUM(Paper2Coding[[#This Row],[Open Delegation]:[Expertise]])</f>
        <v>6</v>
      </c>
      <c r="Q53" s="10">
        <f t="shared" si="15"/>
        <v>0</v>
      </c>
      <c r="R53" s="10">
        <f t="shared" si="16"/>
        <v>1</v>
      </c>
      <c r="S53" s="10">
        <f t="shared" si="17"/>
        <v>0</v>
      </c>
      <c r="T53" s="10">
        <f t="shared" si="18"/>
        <v>1</v>
      </c>
      <c r="U53" s="10">
        <f t="shared" si="19"/>
        <v>1</v>
      </c>
      <c r="V53" s="10">
        <f t="shared" si="20"/>
        <v>0</v>
      </c>
      <c r="W53" s="10">
        <f t="shared" si="21"/>
        <v>1</v>
      </c>
      <c r="X53" s="10">
        <f t="shared" si="22"/>
        <v>0</v>
      </c>
      <c r="Y53" s="10">
        <f>SUM(Paper2Coding[[#This Row],[Subject-matter correction]:[none]])</f>
        <v>2</v>
      </c>
      <c r="Z53" s="10">
        <f t="shared" si="23"/>
        <v>0</v>
      </c>
      <c r="AA53" s="10">
        <f t="shared" si="24"/>
        <v>0</v>
      </c>
      <c r="AB53" s="10">
        <f t="shared" si="25"/>
        <v>0</v>
      </c>
      <c r="AC53" s="10">
        <f t="shared" si="26"/>
        <v>0</v>
      </c>
      <c r="AD53" s="10">
        <f t="shared" si="27"/>
        <v>1</v>
      </c>
      <c r="AE53" s="10">
        <f t="shared" si="28"/>
        <v>1</v>
      </c>
      <c r="AF53" s="10">
        <f t="shared" si="29"/>
        <v>0</v>
      </c>
    </row>
    <row r="54" spans="1:32" ht="48" customHeight="1" x14ac:dyDescent="0.2">
      <c r="A54" s="3" t="s">
        <v>404</v>
      </c>
      <c r="B54" s="3">
        <v>53</v>
      </c>
      <c r="C54" s="3" t="s">
        <v>36</v>
      </c>
      <c r="D54" s="3" t="s">
        <v>405</v>
      </c>
      <c r="E54" s="3" t="s">
        <v>12</v>
      </c>
      <c r="F54" s="3" t="s">
        <v>24</v>
      </c>
      <c r="G54" s="3" t="s">
        <v>13</v>
      </c>
      <c r="H54" s="3" t="s">
        <v>87</v>
      </c>
      <c r="I54" s="3" t="s">
        <v>406</v>
      </c>
      <c r="J54" s="3" t="s">
        <v>407</v>
      </c>
      <c r="K54" s="3" t="s">
        <v>408</v>
      </c>
      <c r="L54" s="3" t="s">
        <v>409</v>
      </c>
      <c r="M54" s="3" t="s">
        <v>359</v>
      </c>
      <c r="N54" s="3" t="s">
        <v>70</v>
      </c>
      <c r="O54" s="3"/>
      <c r="P54" s="10">
        <f>SUM(Paper2Coding[[#This Row],[Open Delegation]:[Expertise]])</f>
        <v>4</v>
      </c>
      <c r="Q54" s="10">
        <f t="shared" si="15"/>
        <v>0</v>
      </c>
      <c r="R54" s="10">
        <f t="shared" si="16"/>
        <v>1</v>
      </c>
      <c r="S54" s="10">
        <f t="shared" si="17"/>
        <v>0</v>
      </c>
      <c r="T54" s="10">
        <f t="shared" si="18"/>
        <v>0</v>
      </c>
      <c r="U54" s="10">
        <f t="shared" si="19"/>
        <v>0</v>
      </c>
      <c r="V54" s="10">
        <f t="shared" si="20"/>
        <v>1</v>
      </c>
      <c r="W54" s="10">
        <f t="shared" si="21"/>
        <v>0</v>
      </c>
      <c r="X54" s="10">
        <f t="shared" si="22"/>
        <v>0</v>
      </c>
      <c r="Y54" s="10">
        <f>SUM(Paper2Coding[[#This Row],[Subject-matter correction]:[none]])</f>
        <v>2</v>
      </c>
      <c r="Z54" s="10">
        <f t="shared" si="23"/>
        <v>0</v>
      </c>
      <c r="AA54" s="10">
        <f t="shared" si="24"/>
        <v>0</v>
      </c>
      <c r="AB54" s="10">
        <f t="shared" si="25"/>
        <v>0</v>
      </c>
      <c r="AC54" s="10">
        <f t="shared" si="26"/>
        <v>0</v>
      </c>
      <c r="AD54" s="10">
        <f t="shared" si="27"/>
        <v>1</v>
      </c>
      <c r="AE54" s="10">
        <f t="shared" si="28"/>
        <v>1</v>
      </c>
      <c r="AF54" s="10">
        <f t="shared" si="29"/>
        <v>0</v>
      </c>
    </row>
    <row r="55" spans="1:32" ht="48" customHeight="1" x14ac:dyDescent="0.2">
      <c r="A55" s="3" t="s">
        <v>410</v>
      </c>
      <c r="B55" s="3">
        <v>54</v>
      </c>
      <c r="C55" s="3" t="s">
        <v>36</v>
      </c>
      <c r="D55" s="3" t="s">
        <v>216</v>
      </c>
      <c r="E55" s="3" t="s">
        <v>26</v>
      </c>
      <c r="F55" s="3"/>
      <c r="G55" s="3" t="s">
        <v>13</v>
      </c>
      <c r="H55" s="3" t="s">
        <v>27</v>
      </c>
      <c r="I55" s="3" t="s">
        <v>411</v>
      </c>
      <c r="J55" s="3" t="s">
        <v>412</v>
      </c>
      <c r="K55" s="3" t="s">
        <v>413</v>
      </c>
      <c r="L55" s="3" t="s">
        <v>414</v>
      </c>
      <c r="M55" s="3"/>
      <c r="N55" s="3" t="s">
        <v>70</v>
      </c>
      <c r="O55" s="3" t="s">
        <v>221</v>
      </c>
      <c r="P55" s="10">
        <f>SUM(Paper2Coding[[#This Row],[Open Delegation]:[Expertise]])</f>
        <v>2</v>
      </c>
      <c r="Q55" s="10">
        <f t="shared" si="15"/>
        <v>0</v>
      </c>
      <c r="R55" s="10">
        <f t="shared" si="16"/>
        <v>0</v>
      </c>
      <c r="S55" s="10">
        <f t="shared" si="17"/>
        <v>0</v>
      </c>
      <c r="T55" s="10">
        <f t="shared" si="18"/>
        <v>0</v>
      </c>
      <c r="U55" s="10">
        <f t="shared" si="19"/>
        <v>0</v>
      </c>
      <c r="V55" s="10">
        <f t="shared" si="20"/>
        <v>0</v>
      </c>
      <c r="W55" s="10">
        <f t="shared" si="21"/>
        <v>1</v>
      </c>
      <c r="X55" s="10">
        <f t="shared" si="22"/>
        <v>0</v>
      </c>
      <c r="Y55" s="10">
        <f>SUM(Paper2Coding[[#This Row],[Subject-matter correction]:[none]])</f>
        <v>1</v>
      </c>
      <c r="Z55" s="10">
        <f t="shared" si="23"/>
        <v>0</v>
      </c>
      <c r="AA55" s="10">
        <f t="shared" si="24"/>
        <v>0</v>
      </c>
      <c r="AB55" s="10">
        <f t="shared" si="25"/>
        <v>0</v>
      </c>
      <c r="AC55" s="10">
        <f t="shared" si="26"/>
        <v>0</v>
      </c>
      <c r="AD55" s="10">
        <f t="shared" si="27"/>
        <v>0</v>
      </c>
      <c r="AE55" s="10">
        <f t="shared" si="28"/>
        <v>0</v>
      </c>
      <c r="AF55" s="10">
        <f t="shared" si="29"/>
        <v>1</v>
      </c>
    </row>
    <row r="56" spans="1:32" ht="48" customHeight="1" x14ac:dyDescent="0.2">
      <c r="A56" s="3" t="s">
        <v>415</v>
      </c>
      <c r="B56" s="3">
        <v>55</v>
      </c>
      <c r="C56" s="3" t="s">
        <v>36</v>
      </c>
      <c r="D56" s="3" t="s">
        <v>416</v>
      </c>
      <c r="E56" s="3" t="s">
        <v>12</v>
      </c>
      <c r="F56" s="3" t="s">
        <v>24</v>
      </c>
      <c r="G56" s="3" t="s">
        <v>13</v>
      </c>
      <c r="H56" s="3" t="s">
        <v>87</v>
      </c>
      <c r="I56" s="3" t="s">
        <v>417</v>
      </c>
      <c r="J56" s="3" t="s">
        <v>418</v>
      </c>
      <c r="K56" s="3" t="s">
        <v>419</v>
      </c>
      <c r="L56" s="3" t="s">
        <v>420</v>
      </c>
      <c r="M56" s="3" t="s">
        <v>359</v>
      </c>
      <c r="N56" s="3" t="s">
        <v>70</v>
      </c>
      <c r="O56" s="3"/>
      <c r="P56" s="10">
        <f>SUM(Paper2Coding[[#This Row],[Open Delegation]:[Expertise]])</f>
        <v>4</v>
      </c>
      <c r="Q56" s="10">
        <f t="shared" si="15"/>
        <v>0</v>
      </c>
      <c r="R56" s="10">
        <f t="shared" si="16"/>
        <v>1</v>
      </c>
      <c r="S56" s="10">
        <f t="shared" si="17"/>
        <v>0</v>
      </c>
      <c r="T56" s="10">
        <f t="shared" si="18"/>
        <v>0</v>
      </c>
      <c r="U56" s="10">
        <f t="shared" si="19"/>
        <v>0</v>
      </c>
      <c r="V56" s="10">
        <f t="shared" si="20"/>
        <v>1</v>
      </c>
      <c r="W56" s="10">
        <f t="shared" si="21"/>
        <v>0</v>
      </c>
      <c r="X56" s="10">
        <f t="shared" si="22"/>
        <v>0</v>
      </c>
      <c r="Y56" s="10">
        <f>SUM(Paper2Coding[[#This Row],[Subject-matter correction]:[none]])</f>
        <v>2</v>
      </c>
      <c r="Z56" s="10">
        <f t="shared" si="23"/>
        <v>0</v>
      </c>
      <c r="AA56" s="10">
        <f t="shared" si="24"/>
        <v>0</v>
      </c>
      <c r="AB56" s="10">
        <f t="shared" si="25"/>
        <v>0</v>
      </c>
      <c r="AC56" s="10">
        <f t="shared" si="26"/>
        <v>0</v>
      </c>
      <c r="AD56" s="10">
        <f t="shared" si="27"/>
        <v>1</v>
      </c>
      <c r="AE56" s="10">
        <f t="shared" si="28"/>
        <v>1</v>
      </c>
      <c r="AF56" s="10">
        <f t="shared" si="29"/>
        <v>0</v>
      </c>
    </row>
    <row r="57" spans="1:32" ht="48" customHeight="1" x14ac:dyDescent="0.2">
      <c r="A57" s="3" t="s">
        <v>421</v>
      </c>
      <c r="B57" s="3">
        <v>56</v>
      </c>
      <c r="C57" s="3" t="s">
        <v>36</v>
      </c>
      <c r="D57" s="3" t="s">
        <v>422</v>
      </c>
      <c r="E57" s="3" t="s">
        <v>12</v>
      </c>
      <c r="F57" s="3" t="s">
        <v>24</v>
      </c>
      <c r="G57" s="3" t="s">
        <v>13</v>
      </c>
      <c r="H57" s="3" t="s">
        <v>423</v>
      </c>
      <c r="I57" s="3" t="s">
        <v>424</v>
      </c>
      <c r="J57" s="3" t="s">
        <v>425</v>
      </c>
      <c r="K57" s="3" t="s">
        <v>426</v>
      </c>
      <c r="L57" s="3" t="s">
        <v>427</v>
      </c>
      <c r="M57" s="3" t="s">
        <v>359</v>
      </c>
      <c r="N57" s="3" t="s">
        <v>70</v>
      </c>
      <c r="O57" s="3"/>
      <c r="P57" s="10">
        <f>SUM(Paper2Coding[[#This Row],[Open Delegation]:[Expertise]])</f>
        <v>5</v>
      </c>
      <c r="Q57" s="10">
        <f t="shared" si="15"/>
        <v>0</v>
      </c>
      <c r="R57" s="10">
        <f t="shared" si="16"/>
        <v>1</v>
      </c>
      <c r="S57" s="10">
        <f t="shared" si="17"/>
        <v>0</v>
      </c>
      <c r="T57" s="10">
        <f t="shared" si="18"/>
        <v>0</v>
      </c>
      <c r="U57" s="10">
        <f t="shared" si="19"/>
        <v>0</v>
      </c>
      <c r="V57" s="10">
        <f t="shared" si="20"/>
        <v>1</v>
      </c>
      <c r="W57" s="10">
        <f t="shared" si="21"/>
        <v>0</v>
      </c>
      <c r="X57" s="10">
        <f t="shared" si="22"/>
        <v>0</v>
      </c>
      <c r="Y57" s="10">
        <f>SUM(Paper2Coding[[#This Row],[Subject-matter correction]:[none]])</f>
        <v>3</v>
      </c>
      <c r="Z57" s="10">
        <f t="shared" si="23"/>
        <v>0</v>
      </c>
      <c r="AA57" s="10">
        <f t="shared" si="24"/>
        <v>0</v>
      </c>
      <c r="AB57" s="10">
        <f t="shared" si="25"/>
        <v>1</v>
      </c>
      <c r="AC57" s="10">
        <f t="shared" si="26"/>
        <v>0</v>
      </c>
      <c r="AD57" s="10">
        <f t="shared" si="27"/>
        <v>1</v>
      </c>
      <c r="AE57" s="10">
        <f t="shared" si="28"/>
        <v>1</v>
      </c>
      <c r="AF57" s="10">
        <f t="shared" si="29"/>
        <v>0</v>
      </c>
    </row>
    <row r="58" spans="1:32" ht="48" customHeight="1" x14ac:dyDescent="0.2">
      <c r="A58" s="3" t="s">
        <v>428</v>
      </c>
      <c r="B58" s="3">
        <v>57</v>
      </c>
      <c r="C58" s="3" t="s">
        <v>36</v>
      </c>
      <c r="D58" s="3" t="s">
        <v>429</v>
      </c>
      <c r="E58" s="3" t="s">
        <v>18</v>
      </c>
      <c r="F58" s="3" t="s">
        <v>26</v>
      </c>
      <c r="G58" s="3" t="s">
        <v>19</v>
      </c>
      <c r="H58" s="3" t="s">
        <v>25</v>
      </c>
      <c r="I58" s="3" t="s">
        <v>430</v>
      </c>
      <c r="J58" s="3" t="s">
        <v>431</v>
      </c>
      <c r="K58" s="3" t="s">
        <v>432</v>
      </c>
      <c r="L58" s="3" t="s">
        <v>433</v>
      </c>
      <c r="M58" s="3"/>
      <c r="N58" s="3" t="s">
        <v>70</v>
      </c>
      <c r="O58" s="3"/>
      <c r="P58" s="10">
        <f>SUM(Paper2Coding[[#This Row],[Open Delegation]:[Expertise]])</f>
        <v>3</v>
      </c>
      <c r="Q58" s="10">
        <f t="shared" si="15"/>
        <v>0</v>
      </c>
      <c r="R58" s="10">
        <f t="shared" si="16"/>
        <v>0</v>
      </c>
      <c r="S58" s="10">
        <f t="shared" si="17"/>
        <v>0</v>
      </c>
      <c r="T58" s="10">
        <f t="shared" si="18"/>
        <v>1</v>
      </c>
      <c r="U58" s="10">
        <f t="shared" si="19"/>
        <v>0</v>
      </c>
      <c r="V58" s="10">
        <f t="shared" si="20"/>
        <v>0</v>
      </c>
      <c r="W58" s="10">
        <f t="shared" si="21"/>
        <v>1</v>
      </c>
      <c r="X58" s="10">
        <f t="shared" si="22"/>
        <v>0</v>
      </c>
      <c r="Y58" s="10">
        <f>SUM(Paper2Coding[[#This Row],[Subject-matter correction]:[none]])</f>
        <v>1</v>
      </c>
      <c r="Z58" s="10">
        <f t="shared" si="23"/>
        <v>0</v>
      </c>
      <c r="AA58" s="10">
        <f t="shared" si="24"/>
        <v>0</v>
      </c>
      <c r="AB58" s="10">
        <f t="shared" si="25"/>
        <v>0</v>
      </c>
      <c r="AC58" s="10">
        <f t="shared" si="26"/>
        <v>0</v>
      </c>
      <c r="AD58" s="10">
        <f t="shared" si="27"/>
        <v>0</v>
      </c>
      <c r="AE58" s="10">
        <f t="shared" si="28"/>
        <v>1</v>
      </c>
      <c r="AF58" s="10">
        <f t="shared" si="29"/>
        <v>0</v>
      </c>
    </row>
    <row r="59" spans="1:32" ht="48" customHeight="1" x14ac:dyDescent="0.2">
      <c r="A59" s="3" t="s">
        <v>434</v>
      </c>
      <c r="B59" s="3">
        <v>58</v>
      </c>
      <c r="C59" s="3" t="s">
        <v>36</v>
      </c>
      <c r="D59" s="3" t="s">
        <v>435</v>
      </c>
      <c r="E59" s="3" t="s">
        <v>18</v>
      </c>
      <c r="F59" s="3" t="s">
        <v>26</v>
      </c>
      <c r="G59" s="3" t="s">
        <v>19</v>
      </c>
      <c r="H59" s="3" t="s">
        <v>25</v>
      </c>
      <c r="I59" s="3" t="s">
        <v>436</v>
      </c>
      <c r="J59" s="3" t="s">
        <v>437</v>
      </c>
      <c r="K59" s="3" t="s">
        <v>438</v>
      </c>
      <c r="L59" s="3" t="s">
        <v>439</v>
      </c>
      <c r="M59" s="3"/>
      <c r="N59" s="3" t="s">
        <v>70</v>
      </c>
      <c r="O59" s="3"/>
      <c r="P59" s="10">
        <f>SUM(Paper2Coding[[#This Row],[Open Delegation]:[Expertise]])</f>
        <v>3</v>
      </c>
      <c r="Q59" s="10">
        <f t="shared" si="15"/>
        <v>0</v>
      </c>
      <c r="R59" s="10">
        <f t="shared" si="16"/>
        <v>0</v>
      </c>
      <c r="S59" s="10">
        <f t="shared" si="17"/>
        <v>0</v>
      </c>
      <c r="T59" s="10">
        <f t="shared" si="18"/>
        <v>1</v>
      </c>
      <c r="U59" s="10">
        <f t="shared" si="19"/>
        <v>0</v>
      </c>
      <c r="V59" s="10">
        <f t="shared" si="20"/>
        <v>0</v>
      </c>
      <c r="W59" s="10">
        <f t="shared" si="21"/>
        <v>1</v>
      </c>
      <c r="X59" s="10">
        <f t="shared" si="22"/>
        <v>0</v>
      </c>
      <c r="Y59" s="10">
        <f>SUM(Paper2Coding[[#This Row],[Subject-matter correction]:[none]])</f>
        <v>1</v>
      </c>
      <c r="Z59" s="10">
        <f t="shared" si="23"/>
        <v>0</v>
      </c>
      <c r="AA59" s="10">
        <f t="shared" si="24"/>
        <v>0</v>
      </c>
      <c r="AB59" s="10">
        <f t="shared" si="25"/>
        <v>0</v>
      </c>
      <c r="AC59" s="10">
        <f t="shared" si="26"/>
        <v>0</v>
      </c>
      <c r="AD59" s="10">
        <f t="shared" si="27"/>
        <v>0</v>
      </c>
      <c r="AE59" s="10">
        <f t="shared" si="28"/>
        <v>1</v>
      </c>
      <c r="AF59" s="10">
        <f t="shared" si="29"/>
        <v>0</v>
      </c>
    </row>
    <row r="60" spans="1:32" ht="48" customHeight="1" x14ac:dyDescent="0.2">
      <c r="A60" s="3" t="s">
        <v>440</v>
      </c>
      <c r="B60" s="3">
        <v>59</v>
      </c>
      <c r="C60" s="3" t="s">
        <v>36</v>
      </c>
      <c r="D60" s="3" t="s">
        <v>441</v>
      </c>
      <c r="E60" s="3" t="s">
        <v>12</v>
      </c>
      <c r="F60" s="3" t="s">
        <v>24</v>
      </c>
      <c r="G60" s="3" t="s">
        <v>13</v>
      </c>
      <c r="H60" s="3" t="s">
        <v>127</v>
      </c>
      <c r="I60" s="3" t="s">
        <v>442</v>
      </c>
      <c r="J60" s="3" t="s">
        <v>443</v>
      </c>
      <c r="K60" s="3" t="s">
        <v>444</v>
      </c>
      <c r="L60" s="3" t="s">
        <v>445</v>
      </c>
      <c r="M60" s="3"/>
      <c r="N60" s="3" t="s">
        <v>70</v>
      </c>
      <c r="O60" s="3"/>
      <c r="P60" s="10">
        <f>SUM(Paper2Coding[[#This Row],[Open Delegation]:[Expertise]])</f>
        <v>4</v>
      </c>
      <c r="Q60" s="10">
        <f t="shared" si="15"/>
        <v>0</v>
      </c>
      <c r="R60" s="10">
        <f t="shared" si="16"/>
        <v>1</v>
      </c>
      <c r="S60" s="10">
        <f t="shared" si="17"/>
        <v>0</v>
      </c>
      <c r="T60" s="10">
        <f t="shared" si="18"/>
        <v>0</v>
      </c>
      <c r="U60" s="10">
        <f t="shared" si="19"/>
        <v>0</v>
      </c>
      <c r="V60" s="10">
        <f t="shared" si="20"/>
        <v>1</v>
      </c>
      <c r="W60" s="10">
        <f t="shared" si="21"/>
        <v>0</v>
      </c>
      <c r="X60" s="10">
        <f t="shared" si="22"/>
        <v>0</v>
      </c>
      <c r="Y60" s="10">
        <f>SUM(Paper2Coding[[#This Row],[Subject-matter correction]:[none]])</f>
        <v>2</v>
      </c>
      <c r="Z60" s="10">
        <f t="shared" si="23"/>
        <v>0</v>
      </c>
      <c r="AA60" s="10">
        <f t="shared" si="24"/>
        <v>0</v>
      </c>
      <c r="AB60" s="10">
        <f t="shared" si="25"/>
        <v>1</v>
      </c>
      <c r="AC60" s="10">
        <f t="shared" si="26"/>
        <v>0</v>
      </c>
      <c r="AD60" s="10">
        <f t="shared" si="27"/>
        <v>1</v>
      </c>
      <c r="AE60" s="10">
        <f t="shared" si="28"/>
        <v>0</v>
      </c>
      <c r="AF60" s="10">
        <f t="shared" si="29"/>
        <v>0</v>
      </c>
    </row>
    <row r="61" spans="1:32" ht="48" customHeight="1" x14ac:dyDescent="0.2">
      <c r="A61" s="3" t="s">
        <v>446</v>
      </c>
      <c r="B61" s="3">
        <v>60</v>
      </c>
      <c r="C61" s="3" t="s">
        <v>37</v>
      </c>
      <c r="D61" s="3" t="s">
        <v>447</v>
      </c>
      <c r="E61" s="3" t="s">
        <v>15</v>
      </c>
      <c r="F61" s="3" t="s">
        <v>12</v>
      </c>
      <c r="G61" s="3" t="s">
        <v>16</v>
      </c>
      <c r="H61" s="3" t="s">
        <v>147</v>
      </c>
      <c r="I61" s="3" t="s">
        <v>448</v>
      </c>
      <c r="J61" s="3" t="s">
        <v>449</v>
      </c>
      <c r="K61" s="3" t="s">
        <v>450</v>
      </c>
      <c r="L61" s="3" t="s">
        <v>451</v>
      </c>
      <c r="M61" s="3"/>
      <c r="N61" s="3" t="s">
        <v>70</v>
      </c>
      <c r="O61" s="3"/>
      <c r="P61" s="10">
        <f>SUM(Paper2Coding[[#This Row],[Open Delegation]:[Expertise]])</f>
        <v>4</v>
      </c>
      <c r="Q61" s="10">
        <f t="shared" si="15"/>
        <v>0</v>
      </c>
      <c r="R61" s="10">
        <f t="shared" si="16"/>
        <v>1</v>
      </c>
      <c r="S61" s="10">
        <f t="shared" si="17"/>
        <v>1</v>
      </c>
      <c r="T61" s="10">
        <f t="shared" si="18"/>
        <v>0</v>
      </c>
      <c r="U61" s="10">
        <f t="shared" si="19"/>
        <v>0</v>
      </c>
      <c r="V61" s="10">
        <f t="shared" si="20"/>
        <v>0</v>
      </c>
      <c r="W61" s="10">
        <f t="shared" si="21"/>
        <v>0</v>
      </c>
      <c r="X61" s="10">
        <f t="shared" si="22"/>
        <v>0</v>
      </c>
      <c r="Y61" s="10">
        <f>SUM(Paper2Coding[[#This Row],[Subject-matter correction]:[none]])</f>
        <v>2</v>
      </c>
      <c r="Z61" s="10">
        <f t="shared" si="23"/>
        <v>0</v>
      </c>
      <c r="AA61" s="10">
        <f t="shared" si="24"/>
        <v>0</v>
      </c>
      <c r="AB61" s="10">
        <f t="shared" si="25"/>
        <v>1</v>
      </c>
      <c r="AC61" s="10">
        <f t="shared" si="26"/>
        <v>1</v>
      </c>
      <c r="AD61" s="10">
        <f t="shared" si="27"/>
        <v>0</v>
      </c>
      <c r="AE61" s="10">
        <f t="shared" si="28"/>
        <v>0</v>
      </c>
      <c r="AF61" s="10">
        <f t="shared" si="29"/>
        <v>0</v>
      </c>
    </row>
    <row r="62" spans="1:32" ht="48" customHeight="1" x14ac:dyDescent="0.2">
      <c r="A62" s="3" t="s">
        <v>452</v>
      </c>
      <c r="B62" s="3">
        <v>61</v>
      </c>
      <c r="C62" s="3" t="s">
        <v>37</v>
      </c>
      <c r="D62" s="3" t="s">
        <v>453</v>
      </c>
      <c r="E62" s="3" t="s">
        <v>15</v>
      </c>
      <c r="F62" s="3" t="s">
        <v>192</v>
      </c>
      <c r="G62" s="3" t="s">
        <v>16</v>
      </c>
      <c r="H62" s="3" t="s">
        <v>17</v>
      </c>
      <c r="I62" s="3" t="s">
        <v>454</v>
      </c>
      <c r="J62" s="3" t="s">
        <v>455</v>
      </c>
      <c r="K62" s="3" t="s">
        <v>456</v>
      </c>
      <c r="L62" s="3" t="s">
        <v>457</v>
      </c>
      <c r="M62" s="3" t="s">
        <v>458</v>
      </c>
      <c r="N62" s="3" t="s">
        <v>70</v>
      </c>
      <c r="O62" s="3"/>
      <c r="P62" s="10">
        <f>SUM(Paper2Coding[[#This Row],[Open Delegation]:[Expertise]])</f>
        <v>4</v>
      </c>
      <c r="Q62" s="10">
        <f t="shared" si="15"/>
        <v>0</v>
      </c>
      <c r="R62" s="10">
        <f t="shared" si="16"/>
        <v>1</v>
      </c>
      <c r="S62" s="10">
        <f t="shared" si="17"/>
        <v>1</v>
      </c>
      <c r="T62" s="10">
        <f t="shared" si="18"/>
        <v>0</v>
      </c>
      <c r="U62" s="10">
        <f t="shared" si="19"/>
        <v>0</v>
      </c>
      <c r="V62" s="10">
        <f t="shared" si="20"/>
        <v>1</v>
      </c>
      <c r="W62" s="10">
        <f t="shared" si="21"/>
        <v>0</v>
      </c>
      <c r="X62" s="10">
        <f t="shared" si="22"/>
        <v>0</v>
      </c>
      <c r="Y62" s="10">
        <f>SUM(Paper2Coding[[#This Row],[Subject-matter correction]:[none]])</f>
        <v>1</v>
      </c>
      <c r="Z62" s="10">
        <f t="shared" si="23"/>
        <v>0</v>
      </c>
      <c r="AA62" s="10">
        <f t="shared" si="24"/>
        <v>0</v>
      </c>
      <c r="AB62" s="10">
        <f t="shared" si="25"/>
        <v>1</v>
      </c>
      <c r="AC62" s="10">
        <f t="shared" si="26"/>
        <v>0</v>
      </c>
      <c r="AD62" s="10">
        <f t="shared" si="27"/>
        <v>0</v>
      </c>
      <c r="AE62" s="10">
        <f t="shared" si="28"/>
        <v>0</v>
      </c>
      <c r="AF62" s="10">
        <f t="shared" si="29"/>
        <v>0</v>
      </c>
    </row>
    <row r="63" spans="1:32" ht="48" customHeight="1" x14ac:dyDescent="0.2">
      <c r="A63" s="3" t="s">
        <v>459</v>
      </c>
      <c r="B63" s="3">
        <v>62</v>
      </c>
      <c r="C63" s="3" t="s">
        <v>37</v>
      </c>
      <c r="D63" s="3" t="s">
        <v>460</v>
      </c>
      <c r="E63" s="3" t="s">
        <v>15</v>
      </c>
      <c r="F63" s="3" t="s">
        <v>192</v>
      </c>
      <c r="G63" s="3" t="s">
        <v>16</v>
      </c>
      <c r="H63" s="3" t="s">
        <v>17</v>
      </c>
      <c r="I63" s="3" t="s">
        <v>461</v>
      </c>
      <c r="J63" s="3" t="s">
        <v>462</v>
      </c>
      <c r="K63" s="3" t="s">
        <v>463</v>
      </c>
      <c r="L63" s="3" t="s">
        <v>464</v>
      </c>
      <c r="M63" s="3" t="s">
        <v>465</v>
      </c>
      <c r="N63" s="3" t="s">
        <v>70</v>
      </c>
      <c r="O63" s="3"/>
      <c r="P63" s="10">
        <f>SUM(Paper2Coding[[#This Row],[Open Delegation]:[Expertise]])</f>
        <v>4</v>
      </c>
      <c r="Q63" s="10">
        <f t="shared" si="15"/>
        <v>0</v>
      </c>
      <c r="R63" s="10">
        <f t="shared" si="16"/>
        <v>1</v>
      </c>
      <c r="S63" s="10">
        <f t="shared" si="17"/>
        <v>1</v>
      </c>
      <c r="T63" s="10">
        <f t="shared" si="18"/>
        <v>0</v>
      </c>
      <c r="U63" s="10">
        <f t="shared" si="19"/>
        <v>0</v>
      </c>
      <c r="V63" s="10">
        <f t="shared" si="20"/>
        <v>1</v>
      </c>
      <c r="W63" s="10">
        <f t="shared" si="21"/>
        <v>0</v>
      </c>
      <c r="X63" s="10">
        <f t="shared" si="22"/>
        <v>0</v>
      </c>
      <c r="Y63" s="10">
        <f>SUM(Paper2Coding[[#This Row],[Subject-matter correction]:[none]])</f>
        <v>1</v>
      </c>
      <c r="Z63" s="10">
        <f t="shared" si="23"/>
        <v>0</v>
      </c>
      <c r="AA63" s="10">
        <f t="shared" si="24"/>
        <v>0</v>
      </c>
      <c r="AB63" s="10">
        <f t="shared" si="25"/>
        <v>1</v>
      </c>
      <c r="AC63" s="10">
        <f t="shared" si="26"/>
        <v>0</v>
      </c>
      <c r="AD63" s="10">
        <f t="shared" si="27"/>
        <v>0</v>
      </c>
      <c r="AE63" s="10">
        <f t="shared" si="28"/>
        <v>0</v>
      </c>
      <c r="AF63" s="10">
        <f t="shared" si="29"/>
        <v>0</v>
      </c>
    </row>
    <row r="64" spans="1:32" ht="48" customHeight="1" x14ac:dyDescent="0.2">
      <c r="A64" s="3" t="s">
        <v>466</v>
      </c>
      <c r="B64" s="3">
        <v>63</v>
      </c>
      <c r="C64" s="3" t="s">
        <v>37</v>
      </c>
      <c r="D64" s="3" t="s">
        <v>216</v>
      </c>
      <c r="E64" s="3" t="s">
        <v>26</v>
      </c>
      <c r="F64" s="3" t="s">
        <v>12</v>
      </c>
      <c r="G64" s="3" t="s">
        <v>13</v>
      </c>
      <c r="H64" s="3" t="s">
        <v>27</v>
      </c>
      <c r="I64" s="3" t="s">
        <v>467</v>
      </c>
      <c r="J64" s="3" t="s">
        <v>468</v>
      </c>
      <c r="K64" s="3" t="s">
        <v>469</v>
      </c>
      <c r="L64" s="3" t="s">
        <v>470</v>
      </c>
      <c r="M64" s="3"/>
      <c r="N64" s="3" t="s">
        <v>70</v>
      </c>
      <c r="O64" s="3" t="s">
        <v>221</v>
      </c>
      <c r="P64" s="10">
        <f>SUM(Paper2Coding[[#This Row],[Open Delegation]:[Expertise]])</f>
        <v>3</v>
      </c>
      <c r="Q64" s="10">
        <f t="shared" si="15"/>
        <v>0</v>
      </c>
      <c r="R64" s="10">
        <f t="shared" si="16"/>
        <v>1</v>
      </c>
      <c r="S64" s="10">
        <f t="shared" si="17"/>
        <v>0</v>
      </c>
      <c r="T64" s="10">
        <f t="shared" si="18"/>
        <v>0</v>
      </c>
      <c r="U64" s="10">
        <f t="shared" si="19"/>
        <v>0</v>
      </c>
      <c r="V64" s="10">
        <f t="shared" si="20"/>
        <v>0</v>
      </c>
      <c r="W64" s="10">
        <f t="shared" si="21"/>
        <v>1</v>
      </c>
      <c r="X64" s="10">
        <f t="shared" si="22"/>
        <v>0</v>
      </c>
      <c r="Y64" s="10">
        <f>SUM(Paper2Coding[[#This Row],[Subject-matter correction]:[none]])</f>
        <v>1</v>
      </c>
      <c r="Z64" s="10">
        <f t="shared" si="23"/>
        <v>0</v>
      </c>
      <c r="AA64" s="10">
        <f t="shared" si="24"/>
        <v>0</v>
      </c>
      <c r="AB64" s="10">
        <f t="shared" si="25"/>
        <v>0</v>
      </c>
      <c r="AC64" s="10">
        <f t="shared" si="26"/>
        <v>0</v>
      </c>
      <c r="AD64" s="10">
        <f t="shared" si="27"/>
        <v>0</v>
      </c>
      <c r="AE64" s="10">
        <f t="shared" si="28"/>
        <v>0</v>
      </c>
      <c r="AF64" s="10">
        <f t="shared" si="29"/>
        <v>1</v>
      </c>
    </row>
    <row r="65" spans="1:32" ht="48" customHeight="1" x14ac:dyDescent="0.2">
      <c r="A65" s="3" t="s">
        <v>471</v>
      </c>
      <c r="B65" s="3">
        <v>64</v>
      </c>
      <c r="C65" s="3" t="s">
        <v>37</v>
      </c>
      <c r="D65" s="3" t="s">
        <v>472</v>
      </c>
      <c r="E65" s="3" t="s">
        <v>18</v>
      </c>
      <c r="F65" s="3"/>
      <c r="G65" s="3" t="s">
        <v>19</v>
      </c>
      <c r="H65" s="3" t="s">
        <v>17</v>
      </c>
      <c r="I65" s="3" t="s">
        <v>473</v>
      </c>
      <c r="J65" s="3" t="s">
        <v>474</v>
      </c>
      <c r="K65" s="3" t="s">
        <v>475</v>
      </c>
      <c r="L65" s="3" t="s">
        <v>476</v>
      </c>
      <c r="M65" s="3"/>
      <c r="N65" s="3" t="s">
        <v>70</v>
      </c>
      <c r="O65" s="3"/>
      <c r="P65" s="10">
        <f>SUM(Paper2Coding[[#This Row],[Open Delegation]:[Expertise]])</f>
        <v>2</v>
      </c>
      <c r="Q65" s="10">
        <f t="shared" si="15"/>
        <v>0</v>
      </c>
      <c r="R65" s="10">
        <f t="shared" si="16"/>
        <v>0</v>
      </c>
      <c r="S65" s="10">
        <f t="shared" si="17"/>
        <v>0</v>
      </c>
      <c r="T65" s="10">
        <f t="shared" si="18"/>
        <v>1</v>
      </c>
      <c r="U65" s="10">
        <f t="shared" si="19"/>
        <v>0</v>
      </c>
      <c r="V65" s="10">
        <f t="shared" si="20"/>
        <v>0</v>
      </c>
      <c r="W65" s="10">
        <f t="shared" si="21"/>
        <v>0</v>
      </c>
      <c r="X65" s="10">
        <f t="shared" si="22"/>
        <v>0</v>
      </c>
      <c r="Y65" s="10">
        <f>SUM(Paper2Coding[[#This Row],[Subject-matter correction]:[none]])</f>
        <v>1</v>
      </c>
      <c r="Z65" s="10">
        <f t="shared" si="23"/>
        <v>0</v>
      </c>
      <c r="AA65" s="10">
        <f t="shared" si="24"/>
        <v>0</v>
      </c>
      <c r="AB65" s="10">
        <f t="shared" si="25"/>
        <v>1</v>
      </c>
      <c r="AC65" s="10">
        <f t="shared" si="26"/>
        <v>0</v>
      </c>
      <c r="AD65" s="10">
        <f t="shared" si="27"/>
        <v>0</v>
      </c>
      <c r="AE65" s="10">
        <f t="shared" si="28"/>
        <v>0</v>
      </c>
      <c r="AF65" s="10">
        <f t="shared" si="29"/>
        <v>0</v>
      </c>
    </row>
    <row r="66" spans="1:32" ht="57.95" customHeight="1" x14ac:dyDescent="0.2">
      <c r="A66" s="3" t="s">
        <v>477</v>
      </c>
      <c r="B66" s="3">
        <v>65</v>
      </c>
      <c r="C66" s="3" t="s">
        <v>37</v>
      </c>
      <c r="D66" s="3" t="s">
        <v>216</v>
      </c>
      <c r="E66" s="3" t="s">
        <v>26</v>
      </c>
      <c r="F66" s="3" t="s">
        <v>12</v>
      </c>
      <c r="G66" s="3" t="s">
        <v>13</v>
      </c>
      <c r="H66" s="3" t="s">
        <v>27</v>
      </c>
      <c r="I66" s="3" t="s">
        <v>478</v>
      </c>
      <c r="J66" s="3" t="s">
        <v>479</v>
      </c>
      <c r="K66" s="3" t="s">
        <v>480</v>
      </c>
      <c r="L66" s="3" t="s">
        <v>481</v>
      </c>
      <c r="M66" s="3"/>
      <c r="N66" s="3" t="s">
        <v>70</v>
      </c>
      <c r="O66" s="3" t="s">
        <v>221</v>
      </c>
      <c r="P66" s="10">
        <f>SUM(Paper2Coding[[#This Row],[Open Delegation]:[Expertise]])</f>
        <v>3</v>
      </c>
      <c r="Q66" s="10">
        <f t="shared" ref="Q66:Q91" si="30">IF(OR(E66="Delegation",ISNUMBER(SEARCH("; Delegation; ","; "&amp;F66&amp;"; "))),1,0)</f>
        <v>0</v>
      </c>
      <c r="R66" s="10">
        <f t="shared" ref="R66:R91" si="31">IF(OR(E66="Directed delegation",ISNUMBER(SEARCH("; Directed delegation; ","; "&amp;F66&amp;"; "))),1,0)</f>
        <v>1</v>
      </c>
      <c r="S66" s="10">
        <f t="shared" ref="S66:S91" si="32">IF(OR(E66="Evaluation",ISNUMBER(SEARCH("; Evaluation; ","; "&amp;F66&amp;"; "))),1,0)</f>
        <v>0</v>
      </c>
      <c r="T66" s="10">
        <f t="shared" ref="T66:T91" si="33">IF(OR(E66="Correction/Challenge",ISNUMBER(SEARCH("; Correction/Challenge; ","; "&amp;F66&amp;"; "))),1,0)</f>
        <v>0</v>
      </c>
      <c r="U66" s="10">
        <f t="shared" ref="U66:U91" si="34">IF(OR(E66="Redirection",ISNUMBER(SEARCH("; Redirection; ","; "&amp;F66&amp;"; "))),1,0)</f>
        <v>0</v>
      </c>
      <c r="V66" s="10">
        <f t="shared" ref="V66:V91" si="35">IF(OR(E66="Knowledge injection",ISNUMBER(SEARCH("; Knowledge injection; ","; "&amp;F66&amp;"; "))),1,0)</f>
        <v>0</v>
      </c>
      <c r="W66" s="10">
        <f t="shared" ref="W66:W91" si="36">IF(OR(E66="Selection/Rejection",ISNUMBER(SEARCH("; Selection/Rejection; ","; "&amp;F66&amp;"; "))),1,0)</f>
        <v>1</v>
      </c>
      <c r="X66" s="10">
        <f t="shared" ref="X66:X91" si="37">IF(OR(E66="Deliberation",ISNUMBER(SEARCH("; Deliberation; ","; "&amp;F66&amp;"; "))),1,0)</f>
        <v>0</v>
      </c>
      <c r="Y66" s="10">
        <f>SUM(Paper2Coding[[#This Row],[Subject-matter correction]:[none]])</f>
        <v>1</v>
      </c>
      <c r="Z66" s="10">
        <f t="shared" ref="Z66:Z91" si="38">IF(ISNUMBER(SEARCH("; domain correction; ","; "&amp;H66&amp;"; ")),1,0)</f>
        <v>0</v>
      </c>
      <c r="AA66" s="10">
        <f t="shared" ref="AA66:AA91" si="39">IF(ISNUMBER(SEARCH("; conceptual discrimination; ","; "&amp;H66&amp;"; ")),1,0)</f>
        <v>0</v>
      </c>
      <c r="AB66" s="10">
        <f t="shared" ref="AB66:AB91" si="40">IF(ISNUMBER(SEARCH("; evidence judgment; ","; "&amp;H66&amp;"; ")),1,0)</f>
        <v>0</v>
      </c>
      <c r="AC66" s="10">
        <f t="shared" ref="AC66:AC91" si="41">IF(ISNUMBER(SEARCH("; methodological judgment; ","; "&amp;H66&amp;"; ")),1,0)</f>
        <v>0</v>
      </c>
      <c r="AD66" s="10">
        <f t="shared" ref="AD66:AD91" si="42">IF(ISNUMBER(SEARCH("; argumentative judgment; ","; "&amp;H66&amp;"; ")),1,0)</f>
        <v>0</v>
      </c>
      <c r="AE66" s="10">
        <f t="shared" ref="AE66:AE91" si="43">IF(ISNUMBER(SEARCH("; genre/writing expertise; ","; "&amp;H66&amp;"; ")),1,0)</f>
        <v>0</v>
      </c>
      <c r="AF66" s="10">
        <f t="shared" ref="AF66:AF91" si="44">IF(ISNUMBER(SEARCH("; none; ","; "&amp;H66&amp;"; ")),1,0)</f>
        <v>1</v>
      </c>
    </row>
    <row r="67" spans="1:32" ht="48" customHeight="1" x14ac:dyDescent="0.2">
      <c r="A67" s="3" t="s">
        <v>482</v>
      </c>
      <c r="B67" s="3">
        <v>66</v>
      </c>
      <c r="C67" s="3" t="s">
        <v>37</v>
      </c>
      <c r="D67" s="3" t="s">
        <v>483</v>
      </c>
      <c r="E67" s="3" t="s">
        <v>26</v>
      </c>
      <c r="F67" s="3" t="s">
        <v>73</v>
      </c>
      <c r="G67" s="3" t="s">
        <v>19</v>
      </c>
      <c r="H67" s="3" t="s">
        <v>147</v>
      </c>
      <c r="I67" s="3" t="s">
        <v>484</v>
      </c>
      <c r="J67" s="3" t="s">
        <v>485</v>
      </c>
      <c r="K67" s="3" t="s">
        <v>486</v>
      </c>
      <c r="L67" s="3" t="s">
        <v>487</v>
      </c>
      <c r="M67" s="3"/>
      <c r="N67" s="3" t="s">
        <v>70</v>
      </c>
      <c r="O67" s="3"/>
      <c r="P67" s="10">
        <f>SUM(Paper2Coding[[#This Row],[Open Delegation]:[Expertise]])</f>
        <v>5</v>
      </c>
      <c r="Q67" s="10">
        <f t="shared" si="30"/>
        <v>0</v>
      </c>
      <c r="R67" s="10">
        <f t="shared" si="31"/>
        <v>0</v>
      </c>
      <c r="S67" s="10">
        <f t="shared" si="32"/>
        <v>0</v>
      </c>
      <c r="T67" s="10">
        <f t="shared" si="33"/>
        <v>0</v>
      </c>
      <c r="U67" s="10">
        <f t="shared" si="34"/>
        <v>1</v>
      </c>
      <c r="V67" s="10">
        <f t="shared" si="35"/>
        <v>1</v>
      </c>
      <c r="W67" s="10">
        <f t="shared" si="36"/>
        <v>1</v>
      </c>
      <c r="X67" s="10">
        <f t="shared" si="37"/>
        <v>0</v>
      </c>
      <c r="Y67" s="10">
        <f>SUM(Paper2Coding[[#This Row],[Subject-matter correction]:[none]])</f>
        <v>2</v>
      </c>
      <c r="Z67" s="10">
        <f t="shared" si="38"/>
        <v>0</v>
      </c>
      <c r="AA67" s="10">
        <f t="shared" si="39"/>
        <v>0</v>
      </c>
      <c r="AB67" s="10">
        <f t="shared" si="40"/>
        <v>1</v>
      </c>
      <c r="AC67" s="10">
        <f t="shared" si="41"/>
        <v>1</v>
      </c>
      <c r="AD67" s="10">
        <f t="shared" si="42"/>
        <v>0</v>
      </c>
      <c r="AE67" s="10">
        <f t="shared" si="43"/>
        <v>0</v>
      </c>
      <c r="AF67" s="10">
        <f t="shared" si="44"/>
        <v>0</v>
      </c>
    </row>
    <row r="68" spans="1:32" ht="48" customHeight="1" x14ac:dyDescent="0.2">
      <c r="A68" s="3" t="s">
        <v>488</v>
      </c>
      <c r="B68" s="3">
        <v>67</v>
      </c>
      <c r="C68" s="3" t="s">
        <v>37</v>
      </c>
      <c r="D68" s="3" t="s">
        <v>489</v>
      </c>
      <c r="E68" s="3" t="s">
        <v>15</v>
      </c>
      <c r="F68" s="3" t="s">
        <v>24</v>
      </c>
      <c r="G68" s="3" t="s">
        <v>16</v>
      </c>
      <c r="H68" s="3" t="s">
        <v>147</v>
      </c>
      <c r="I68" s="3" t="s">
        <v>490</v>
      </c>
      <c r="J68" s="3" t="s">
        <v>491</v>
      </c>
      <c r="K68" s="3" t="s">
        <v>492</v>
      </c>
      <c r="L68" s="3" t="s">
        <v>493</v>
      </c>
      <c r="M68" s="3" t="s">
        <v>366</v>
      </c>
      <c r="N68" s="3" t="s">
        <v>70</v>
      </c>
      <c r="O68" s="3" t="s">
        <v>494</v>
      </c>
      <c r="P68" s="10">
        <f>SUM(Paper2Coding[[#This Row],[Open Delegation]:[Expertise]])</f>
        <v>4</v>
      </c>
      <c r="Q68" s="10">
        <f t="shared" si="30"/>
        <v>0</v>
      </c>
      <c r="R68" s="10">
        <f t="shared" si="31"/>
        <v>0</v>
      </c>
      <c r="S68" s="10">
        <f t="shared" si="32"/>
        <v>1</v>
      </c>
      <c r="T68" s="10">
        <f t="shared" si="33"/>
        <v>0</v>
      </c>
      <c r="U68" s="10">
        <f t="shared" si="34"/>
        <v>0</v>
      </c>
      <c r="V68" s="10">
        <f t="shared" si="35"/>
        <v>1</v>
      </c>
      <c r="W68" s="10">
        <f t="shared" si="36"/>
        <v>0</v>
      </c>
      <c r="X68" s="10">
        <f t="shared" si="37"/>
        <v>0</v>
      </c>
      <c r="Y68" s="10">
        <f>SUM(Paper2Coding[[#This Row],[Subject-matter correction]:[none]])</f>
        <v>2</v>
      </c>
      <c r="Z68" s="10">
        <f t="shared" si="38"/>
        <v>0</v>
      </c>
      <c r="AA68" s="10">
        <f t="shared" si="39"/>
        <v>0</v>
      </c>
      <c r="AB68" s="10">
        <f t="shared" si="40"/>
        <v>1</v>
      </c>
      <c r="AC68" s="10">
        <f t="shared" si="41"/>
        <v>1</v>
      </c>
      <c r="AD68" s="10">
        <f t="shared" si="42"/>
        <v>0</v>
      </c>
      <c r="AE68" s="10">
        <f t="shared" si="43"/>
        <v>0</v>
      </c>
      <c r="AF68" s="10">
        <f t="shared" si="44"/>
        <v>0</v>
      </c>
    </row>
    <row r="69" spans="1:32" ht="48" customHeight="1" x14ac:dyDescent="0.2">
      <c r="A69" s="3" t="s">
        <v>495</v>
      </c>
      <c r="B69" s="3">
        <v>68</v>
      </c>
      <c r="C69" s="3" t="s">
        <v>37</v>
      </c>
      <c r="D69" s="3" t="s">
        <v>496</v>
      </c>
      <c r="E69" s="3" t="s">
        <v>12</v>
      </c>
      <c r="F69" s="3"/>
      <c r="G69" s="3" t="s">
        <v>13</v>
      </c>
      <c r="H69" s="3" t="s">
        <v>140</v>
      </c>
      <c r="I69" s="3" t="s">
        <v>497</v>
      </c>
      <c r="J69" s="3" t="s">
        <v>498</v>
      </c>
      <c r="K69" s="3" t="s">
        <v>499</v>
      </c>
      <c r="L69" s="3" t="s">
        <v>500</v>
      </c>
      <c r="M69" s="3"/>
      <c r="N69" s="3" t="s">
        <v>70</v>
      </c>
      <c r="O69" s="3"/>
      <c r="P69" s="10">
        <f>SUM(Paper2Coding[[#This Row],[Open Delegation]:[Expertise]])</f>
        <v>3</v>
      </c>
      <c r="Q69" s="10">
        <f t="shared" si="30"/>
        <v>0</v>
      </c>
      <c r="R69" s="10">
        <f t="shared" si="31"/>
        <v>1</v>
      </c>
      <c r="S69" s="10">
        <f t="shared" si="32"/>
        <v>0</v>
      </c>
      <c r="T69" s="10">
        <f t="shared" si="33"/>
        <v>0</v>
      </c>
      <c r="U69" s="10">
        <f t="shared" si="34"/>
        <v>0</v>
      </c>
      <c r="V69" s="10">
        <f t="shared" si="35"/>
        <v>0</v>
      </c>
      <c r="W69" s="10">
        <f t="shared" si="36"/>
        <v>0</v>
      </c>
      <c r="X69" s="10">
        <f t="shared" si="37"/>
        <v>0</v>
      </c>
      <c r="Y69" s="10">
        <f>SUM(Paper2Coding[[#This Row],[Subject-matter correction]:[none]])</f>
        <v>2</v>
      </c>
      <c r="Z69" s="10">
        <f t="shared" si="38"/>
        <v>0</v>
      </c>
      <c r="AA69" s="10">
        <f t="shared" si="39"/>
        <v>0</v>
      </c>
      <c r="AB69" s="10">
        <f t="shared" si="40"/>
        <v>1</v>
      </c>
      <c r="AC69" s="10">
        <f t="shared" si="41"/>
        <v>0</v>
      </c>
      <c r="AD69" s="10">
        <f t="shared" si="42"/>
        <v>0</v>
      </c>
      <c r="AE69" s="10">
        <f t="shared" si="43"/>
        <v>1</v>
      </c>
      <c r="AF69" s="10">
        <f t="shared" si="44"/>
        <v>0</v>
      </c>
    </row>
    <row r="70" spans="1:32" ht="48" customHeight="1" x14ac:dyDescent="0.2">
      <c r="A70" s="3" t="s">
        <v>501</v>
      </c>
      <c r="B70" s="3">
        <v>69</v>
      </c>
      <c r="C70" s="3" t="s">
        <v>37</v>
      </c>
      <c r="D70" s="3" t="s">
        <v>502</v>
      </c>
      <c r="E70" s="3" t="s">
        <v>18</v>
      </c>
      <c r="F70" s="3" t="s">
        <v>24</v>
      </c>
      <c r="G70" s="3" t="s">
        <v>19</v>
      </c>
      <c r="H70" s="3" t="s">
        <v>17</v>
      </c>
      <c r="I70" s="3" t="s">
        <v>503</v>
      </c>
      <c r="J70" s="3" t="s">
        <v>504</v>
      </c>
      <c r="K70" s="3" t="s">
        <v>505</v>
      </c>
      <c r="L70" s="3" t="s">
        <v>506</v>
      </c>
      <c r="M70" s="3"/>
      <c r="N70" s="3" t="s">
        <v>70</v>
      </c>
      <c r="O70" s="3"/>
      <c r="P70" s="10">
        <f>SUM(Paper2Coding[[#This Row],[Open Delegation]:[Expertise]])</f>
        <v>3</v>
      </c>
      <c r="Q70" s="10">
        <f t="shared" si="30"/>
        <v>0</v>
      </c>
      <c r="R70" s="10">
        <f t="shared" si="31"/>
        <v>0</v>
      </c>
      <c r="S70" s="10">
        <f t="shared" si="32"/>
        <v>0</v>
      </c>
      <c r="T70" s="10">
        <f t="shared" si="33"/>
        <v>1</v>
      </c>
      <c r="U70" s="10">
        <f t="shared" si="34"/>
        <v>0</v>
      </c>
      <c r="V70" s="10">
        <f t="shared" si="35"/>
        <v>1</v>
      </c>
      <c r="W70" s="10">
        <f t="shared" si="36"/>
        <v>0</v>
      </c>
      <c r="X70" s="10">
        <f t="shared" si="37"/>
        <v>0</v>
      </c>
      <c r="Y70" s="10">
        <f>SUM(Paper2Coding[[#This Row],[Subject-matter correction]:[none]])</f>
        <v>1</v>
      </c>
      <c r="Z70" s="10">
        <f t="shared" si="38"/>
        <v>0</v>
      </c>
      <c r="AA70" s="10">
        <f t="shared" si="39"/>
        <v>0</v>
      </c>
      <c r="AB70" s="10">
        <f t="shared" si="40"/>
        <v>1</v>
      </c>
      <c r="AC70" s="10">
        <f t="shared" si="41"/>
        <v>0</v>
      </c>
      <c r="AD70" s="10">
        <f t="shared" si="42"/>
        <v>0</v>
      </c>
      <c r="AE70" s="10">
        <f t="shared" si="43"/>
        <v>0</v>
      </c>
      <c r="AF70" s="10">
        <f t="shared" si="44"/>
        <v>0</v>
      </c>
    </row>
    <row r="71" spans="1:32" ht="48" customHeight="1" x14ac:dyDescent="0.2">
      <c r="A71" s="3" t="s">
        <v>507</v>
      </c>
      <c r="B71" s="3">
        <v>70</v>
      </c>
      <c r="C71" s="3" t="s">
        <v>38</v>
      </c>
      <c r="D71" s="3" t="s">
        <v>508</v>
      </c>
      <c r="E71" s="3" t="s">
        <v>9</v>
      </c>
      <c r="F71" s="3"/>
      <c r="G71" s="3" t="s">
        <v>10</v>
      </c>
      <c r="H71" s="3" t="s">
        <v>27</v>
      </c>
      <c r="I71" s="3" t="s">
        <v>509</v>
      </c>
      <c r="J71" s="3" t="s">
        <v>510</v>
      </c>
      <c r="K71" s="3" t="s">
        <v>511</v>
      </c>
      <c r="L71" s="3" t="s">
        <v>512</v>
      </c>
      <c r="M71" s="3"/>
      <c r="N71" s="3" t="s">
        <v>70</v>
      </c>
      <c r="O71" s="3"/>
      <c r="P71" s="10">
        <f>SUM(Paper2Coding[[#This Row],[Open Delegation]:[Expertise]])</f>
        <v>2</v>
      </c>
      <c r="Q71" s="10">
        <f t="shared" si="30"/>
        <v>1</v>
      </c>
      <c r="R71" s="10">
        <f t="shared" si="31"/>
        <v>0</v>
      </c>
      <c r="S71" s="10">
        <f t="shared" si="32"/>
        <v>0</v>
      </c>
      <c r="T71" s="10">
        <f t="shared" si="33"/>
        <v>0</v>
      </c>
      <c r="U71" s="10">
        <f t="shared" si="34"/>
        <v>0</v>
      </c>
      <c r="V71" s="10">
        <f t="shared" si="35"/>
        <v>0</v>
      </c>
      <c r="W71" s="10">
        <f t="shared" si="36"/>
        <v>0</v>
      </c>
      <c r="X71" s="10">
        <f t="shared" si="37"/>
        <v>0</v>
      </c>
      <c r="Y71" s="10">
        <f>SUM(Paper2Coding[[#This Row],[Subject-matter correction]:[none]])</f>
        <v>1</v>
      </c>
      <c r="Z71" s="10">
        <f t="shared" si="38"/>
        <v>0</v>
      </c>
      <c r="AA71" s="10">
        <f t="shared" si="39"/>
        <v>0</v>
      </c>
      <c r="AB71" s="10">
        <f t="shared" si="40"/>
        <v>0</v>
      </c>
      <c r="AC71" s="10">
        <f t="shared" si="41"/>
        <v>0</v>
      </c>
      <c r="AD71" s="10">
        <f t="shared" si="42"/>
        <v>0</v>
      </c>
      <c r="AE71" s="10">
        <f t="shared" si="43"/>
        <v>0</v>
      </c>
      <c r="AF71" s="10">
        <f t="shared" si="44"/>
        <v>1</v>
      </c>
    </row>
    <row r="72" spans="1:32" ht="48" customHeight="1" x14ac:dyDescent="0.2">
      <c r="A72" s="3" t="s">
        <v>513</v>
      </c>
      <c r="B72" s="3">
        <v>71</v>
      </c>
      <c r="C72" s="3" t="s">
        <v>38</v>
      </c>
      <c r="D72" s="3" t="s">
        <v>514</v>
      </c>
      <c r="E72" s="3" t="s">
        <v>12</v>
      </c>
      <c r="F72" s="3" t="s">
        <v>24</v>
      </c>
      <c r="G72" s="3" t="s">
        <v>13</v>
      </c>
      <c r="H72" s="3" t="s">
        <v>87</v>
      </c>
      <c r="I72" s="3" t="s">
        <v>515</v>
      </c>
      <c r="J72" s="3" t="s">
        <v>516</v>
      </c>
      <c r="K72" s="3" t="s">
        <v>517</v>
      </c>
      <c r="L72" s="3" t="s">
        <v>518</v>
      </c>
      <c r="M72" s="3"/>
      <c r="N72" s="3" t="s">
        <v>70</v>
      </c>
      <c r="O72" s="3"/>
      <c r="P72" s="10">
        <f>SUM(Paper2Coding[[#This Row],[Open Delegation]:[Expertise]])</f>
        <v>4</v>
      </c>
      <c r="Q72" s="10">
        <f t="shared" si="30"/>
        <v>0</v>
      </c>
      <c r="R72" s="10">
        <f t="shared" si="31"/>
        <v>1</v>
      </c>
      <c r="S72" s="10">
        <f t="shared" si="32"/>
        <v>0</v>
      </c>
      <c r="T72" s="10">
        <f t="shared" si="33"/>
        <v>0</v>
      </c>
      <c r="U72" s="10">
        <f t="shared" si="34"/>
        <v>0</v>
      </c>
      <c r="V72" s="10">
        <f t="shared" si="35"/>
        <v>1</v>
      </c>
      <c r="W72" s="10">
        <f t="shared" si="36"/>
        <v>0</v>
      </c>
      <c r="X72" s="10">
        <f t="shared" si="37"/>
        <v>0</v>
      </c>
      <c r="Y72" s="10">
        <f>SUM(Paper2Coding[[#This Row],[Subject-matter correction]:[none]])</f>
        <v>2</v>
      </c>
      <c r="Z72" s="10">
        <f t="shared" si="38"/>
        <v>0</v>
      </c>
      <c r="AA72" s="10">
        <f t="shared" si="39"/>
        <v>0</v>
      </c>
      <c r="AB72" s="10">
        <f t="shared" si="40"/>
        <v>0</v>
      </c>
      <c r="AC72" s="10">
        <f t="shared" si="41"/>
        <v>0</v>
      </c>
      <c r="AD72" s="10">
        <f t="shared" si="42"/>
        <v>1</v>
      </c>
      <c r="AE72" s="10">
        <f t="shared" si="43"/>
        <v>1</v>
      </c>
      <c r="AF72" s="10">
        <f t="shared" si="44"/>
        <v>0</v>
      </c>
    </row>
    <row r="73" spans="1:32" ht="48" customHeight="1" x14ac:dyDescent="0.2">
      <c r="A73" s="3" t="s">
        <v>519</v>
      </c>
      <c r="B73" s="3">
        <v>72</v>
      </c>
      <c r="C73" s="3" t="s">
        <v>38</v>
      </c>
      <c r="D73" s="3" t="s">
        <v>520</v>
      </c>
      <c r="E73" s="3" t="s">
        <v>12</v>
      </c>
      <c r="F73" s="3" t="s">
        <v>24</v>
      </c>
      <c r="G73" s="3" t="s">
        <v>13</v>
      </c>
      <c r="H73" s="3" t="s">
        <v>230</v>
      </c>
      <c r="I73" s="3" t="s">
        <v>521</v>
      </c>
      <c r="J73" s="3" t="s">
        <v>522</v>
      </c>
      <c r="K73" s="3" t="s">
        <v>523</v>
      </c>
      <c r="L73" s="3" t="s">
        <v>524</v>
      </c>
      <c r="M73" s="3"/>
      <c r="N73" s="3" t="s">
        <v>70</v>
      </c>
      <c r="O73" s="3"/>
      <c r="P73" s="10">
        <f>SUM(Paper2Coding[[#This Row],[Open Delegation]:[Expertise]])</f>
        <v>4</v>
      </c>
      <c r="Q73" s="10">
        <f t="shared" si="30"/>
        <v>0</v>
      </c>
      <c r="R73" s="10">
        <f t="shared" si="31"/>
        <v>1</v>
      </c>
      <c r="S73" s="10">
        <f t="shared" si="32"/>
        <v>0</v>
      </c>
      <c r="T73" s="10">
        <f t="shared" si="33"/>
        <v>0</v>
      </c>
      <c r="U73" s="10">
        <f t="shared" si="34"/>
        <v>0</v>
      </c>
      <c r="V73" s="10">
        <f t="shared" si="35"/>
        <v>1</v>
      </c>
      <c r="W73" s="10">
        <f t="shared" si="36"/>
        <v>0</v>
      </c>
      <c r="X73" s="10">
        <f t="shared" si="37"/>
        <v>0</v>
      </c>
      <c r="Y73" s="10">
        <f>SUM(Paper2Coding[[#This Row],[Subject-matter correction]:[none]])</f>
        <v>2</v>
      </c>
      <c r="Z73" s="10">
        <f t="shared" si="38"/>
        <v>0</v>
      </c>
      <c r="AA73" s="10">
        <f t="shared" si="39"/>
        <v>0</v>
      </c>
      <c r="AB73" s="10">
        <f t="shared" si="40"/>
        <v>0</v>
      </c>
      <c r="AC73" s="10">
        <f t="shared" si="41"/>
        <v>0</v>
      </c>
      <c r="AD73" s="10">
        <f t="shared" si="42"/>
        <v>1</v>
      </c>
      <c r="AE73" s="10">
        <f t="shared" si="43"/>
        <v>1</v>
      </c>
      <c r="AF73" s="10">
        <f t="shared" si="44"/>
        <v>0</v>
      </c>
    </row>
    <row r="74" spans="1:32" ht="48" customHeight="1" x14ac:dyDescent="0.2">
      <c r="A74" s="3" t="s">
        <v>525</v>
      </c>
      <c r="B74" s="3">
        <v>73</v>
      </c>
      <c r="C74" s="3" t="s">
        <v>38</v>
      </c>
      <c r="D74" s="3" t="s">
        <v>526</v>
      </c>
      <c r="E74" s="3" t="s">
        <v>24</v>
      </c>
      <c r="F74" s="3" t="s">
        <v>12</v>
      </c>
      <c r="G74" s="3" t="s">
        <v>13</v>
      </c>
      <c r="H74" s="3" t="s">
        <v>527</v>
      </c>
      <c r="I74" s="3" t="s">
        <v>528</v>
      </c>
      <c r="J74" s="3" t="s">
        <v>529</v>
      </c>
      <c r="K74" s="3" t="s">
        <v>530</v>
      </c>
      <c r="L74" s="3" t="s">
        <v>531</v>
      </c>
      <c r="M74" s="3"/>
      <c r="N74" s="3" t="s">
        <v>70</v>
      </c>
      <c r="O74" s="3"/>
      <c r="P74" s="10">
        <f>SUM(Paper2Coding[[#This Row],[Open Delegation]:[Expertise]])</f>
        <v>4</v>
      </c>
      <c r="Q74" s="10">
        <f t="shared" si="30"/>
        <v>0</v>
      </c>
      <c r="R74" s="10">
        <f t="shared" si="31"/>
        <v>1</v>
      </c>
      <c r="S74" s="10">
        <f t="shared" si="32"/>
        <v>0</v>
      </c>
      <c r="T74" s="10">
        <f t="shared" si="33"/>
        <v>0</v>
      </c>
      <c r="U74" s="10">
        <f t="shared" si="34"/>
        <v>0</v>
      </c>
      <c r="V74" s="10">
        <f t="shared" si="35"/>
        <v>1</v>
      </c>
      <c r="W74" s="10">
        <f t="shared" si="36"/>
        <v>0</v>
      </c>
      <c r="X74" s="10">
        <f t="shared" si="37"/>
        <v>0</v>
      </c>
      <c r="Y74" s="10">
        <f>SUM(Paper2Coding[[#This Row],[Subject-matter correction]:[none]])</f>
        <v>2</v>
      </c>
      <c r="Z74" s="10">
        <f t="shared" si="38"/>
        <v>0</v>
      </c>
      <c r="AA74" s="10">
        <f t="shared" si="39"/>
        <v>1</v>
      </c>
      <c r="AB74" s="10">
        <f t="shared" si="40"/>
        <v>1</v>
      </c>
      <c r="AC74" s="10">
        <f t="shared" si="41"/>
        <v>0</v>
      </c>
      <c r="AD74" s="10">
        <f t="shared" si="42"/>
        <v>0</v>
      </c>
      <c r="AE74" s="10">
        <f t="shared" si="43"/>
        <v>0</v>
      </c>
      <c r="AF74" s="10">
        <f t="shared" si="44"/>
        <v>0</v>
      </c>
    </row>
    <row r="75" spans="1:32" ht="48" customHeight="1" x14ac:dyDescent="0.2">
      <c r="A75" s="3" t="s">
        <v>532</v>
      </c>
      <c r="B75" s="3">
        <v>74</v>
      </c>
      <c r="C75" s="3" t="s">
        <v>38</v>
      </c>
      <c r="D75" s="3" t="s">
        <v>216</v>
      </c>
      <c r="E75" s="3" t="s">
        <v>26</v>
      </c>
      <c r="F75" s="3"/>
      <c r="G75" s="3" t="s">
        <v>13</v>
      </c>
      <c r="H75" s="3" t="s">
        <v>27</v>
      </c>
      <c r="I75" s="3" t="s">
        <v>533</v>
      </c>
      <c r="J75" s="3" t="s">
        <v>534</v>
      </c>
      <c r="K75" s="3" t="s">
        <v>535</v>
      </c>
      <c r="L75" s="3" t="s">
        <v>536</v>
      </c>
      <c r="M75" s="3"/>
      <c r="N75" s="3" t="s">
        <v>70</v>
      </c>
      <c r="O75" s="3" t="s">
        <v>221</v>
      </c>
      <c r="P75" s="10">
        <f>SUM(Paper2Coding[[#This Row],[Open Delegation]:[Expertise]])</f>
        <v>2</v>
      </c>
      <c r="Q75" s="10">
        <f t="shared" si="30"/>
        <v>0</v>
      </c>
      <c r="R75" s="10">
        <f t="shared" si="31"/>
        <v>0</v>
      </c>
      <c r="S75" s="10">
        <f t="shared" si="32"/>
        <v>0</v>
      </c>
      <c r="T75" s="10">
        <f t="shared" si="33"/>
        <v>0</v>
      </c>
      <c r="U75" s="10">
        <f t="shared" si="34"/>
        <v>0</v>
      </c>
      <c r="V75" s="10">
        <f t="shared" si="35"/>
        <v>0</v>
      </c>
      <c r="W75" s="10">
        <f t="shared" si="36"/>
        <v>1</v>
      </c>
      <c r="X75" s="10">
        <f t="shared" si="37"/>
        <v>0</v>
      </c>
      <c r="Y75" s="10">
        <f>SUM(Paper2Coding[[#This Row],[Subject-matter correction]:[none]])</f>
        <v>1</v>
      </c>
      <c r="Z75" s="10">
        <f t="shared" si="38"/>
        <v>0</v>
      </c>
      <c r="AA75" s="10">
        <f t="shared" si="39"/>
        <v>0</v>
      </c>
      <c r="AB75" s="10">
        <f t="shared" si="40"/>
        <v>0</v>
      </c>
      <c r="AC75" s="10">
        <f t="shared" si="41"/>
        <v>0</v>
      </c>
      <c r="AD75" s="10">
        <f t="shared" si="42"/>
        <v>0</v>
      </c>
      <c r="AE75" s="10">
        <f t="shared" si="43"/>
        <v>0</v>
      </c>
      <c r="AF75" s="10">
        <f t="shared" si="44"/>
        <v>1</v>
      </c>
    </row>
    <row r="76" spans="1:32" ht="48" customHeight="1" x14ac:dyDescent="0.2">
      <c r="A76" s="3" t="s">
        <v>537</v>
      </c>
      <c r="B76" s="3">
        <v>75</v>
      </c>
      <c r="C76" s="3" t="s">
        <v>38</v>
      </c>
      <c r="D76" s="3" t="s">
        <v>538</v>
      </c>
      <c r="E76" s="3" t="s">
        <v>18</v>
      </c>
      <c r="F76" s="3" t="s">
        <v>12</v>
      </c>
      <c r="G76" s="3" t="s">
        <v>19</v>
      </c>
      <c r="H76" s="3" t="s">
        <v>87</v>
      </c>
      <c r="I76" s="3" t="s">
        <v>539</v>
      </c>
      <c r="J76" s="3" t="s">
        <v>540</v>
      </c>
      <c r="K76" s="3" t="s">
        <v>541</v>
      </c>
      <c r="L76" s="3" t="s">
        <v>542</v>
      </c>
      <c r="M76" s="3"/>
      <c r="N76" s="3" t="s">
        <v>70</v>
      </c>
      <c r="O76" s="3"/>
      <c r="P76" s="10">
        <f>SUM(Paper2Coding[[#This Row],[Open Delegation]:[Expertise]])</f>
        <v>4</v>
      </c>
      <c r="Q76" s="10">
        <f t="shared" si="30"/>
        <v>0</v>
      </c>
      <c r="R76" s="10">
        <f t="shared" si="31"/>
        <v>1</v>
      </c>
      <c r="S76" s="10">
        <f t="shared" si="32"/>
        <v>0</v>
      </c>
      <c r="T76" s="10">
        <f t="shared" si="33"/>
        <v>1</v>
      </c>
      <c r="U76" s="10">
        <f t="shared" si="34"/>
        <v>0</v>
      </c>
      <c r="V76" s="10">
        <f t="shared" si="35"/>
        <v>0</v>
      </c>
      <c r="W76" s="10">
        <f t="shared" si="36"/>
        <v>0</v>
      </c>
      <c r="X76" s="10">
        <f t="shared" si="37"/>
        <v>0</v>
      </c>
      <c r="Y76" s="10">
        <f>SUM(Paper2Coding[[#This Row],[Subject-matter correction]:[none]])</f>
        <v>2</v>
      </c>
      <c r="Z76" s="10">
        <f t="shared" si="38"/>
        <v>0</v>
      </c>
      <c r="AA76" s="10">
        <f t="shared" si="39"/>
        <v>0</v>
      </c>
      <c r="AB76" s="10">
        <f t="shared" si="40"/>
        <v>0</v>
      </c>
      <c r="AC76" s="10">
        <f t="shared" si="41"/>
        <v>0</v>
      </c>
      <c r="AD76" s="10">
        <f t="shared" si="42"/>
        <v>1</v>
      </c>
      <c r="AE76" s="10">
        <f t="shared" si="43"/>
        <v>1</v>
      </c>
      <c r="AF76" s="10">
        <f t="shared" si="44"/>
        <v>0</v>
      </c>
    </row>
    <row r="77" spans="1:32" ht="48" customHeight="1" x14ac:dyDescent="0.2">
      <c r="A77" s="3" t="s">
        <v>543</v>
      </c>
      <c r="B77" s="3">
        <v>76</v>
      </c>
      <c r="C77" s="3" t="s">
        <v>38</v>
      </c>
      <c r="D77" s="3" t="s">
        <v>544</v>
      </c>
      <c r="E77" s="3" t="s">
        <v>15</v>
      </c>
      <c r="F77" s="3" t="s">
        <v>24</v>
      </c>
      <c r="G77" s="3" t="s">
        <v>16</v>
      </c>
      <c r="H77" s="3" t="s">
        <v>27</v>
      </c>
      <c r="I77" s="3" t="s">
        <v>545</v>
      </c>
      <c r="J77" s="3" t="s">
        <v>271</v>
      </c>
      <c r="K77" s="3" t="s">
        <v>546</v>
      </c>
      <c r="L77" s="3"/>
      <c r="M77" s="3" t="s">
        <v>359</v>
      </c>
      <c r="N77" s="3" t="s">
        <v>274</v>
      </c>
      <c r="O77" s="3" t="s">
        <v>547</v>
      </c>
      <c r="P77" s="10">
        <f>SUM(Paper2Coding[[#This Row],[Open Delegation]:[Expertise]])</f>
        <v>3</v>
      </c>
      <c r="Q77" s="10">
        <f t="shared" si="30"/>
        <v>0</v>
      </c>
      <c r="R77" s="10">
        <f t="shared" si="31"/>
        <v>0</v>
      </c>
      <c r="S77" s="10">
        <f t="shared" si="32"/>
        <v>1</v>
      </c>
      <c r="T77" s="10">
        <f t="shared" si="33"/>
        <v>0</v>
      </c>
      <c r="U77" s="10">
        <f t="shared" si="34"/>
        <v>0</v>
      </c>
      <c r="V77" s="10">
        <f t="shared" si="35"/>
        <v>1</v>
      </c>
      <c r="W77" s="10">
        <f t="shared" si="36"/>
        <v>0</v>
      </c>
      <c r="X77" s="10">
        <f t="shared" si="37"/>
        <v>0</v>
      </c>
      <c r="Y77" s="10">
        <f>SUM(Paper2Coding[[#This Row],[Subject-matter correction]:[none]])</f>
        <v>1</v>
      </c>
      <c r="Z77" s="10">
        <f t="shared" si="38"/>
        <v>0</v>
      </c>
      <c r="AA77" s="10">
        <f t="shared" si="39"/>
        <v>0</v>
      </c>
      <c r="AB77" s="10">
        <f t="shared" si="40"/>
        <v>0</v>
      </c>
      <c r="AC77" s="10">
        <f t="shared" si="41"/>
        <v>0</v>
      </c>
      <c r="AD77" s="10">
        <f t="shared" si="42"/>
        <v>0</v>
      </c>
      <c r="AE77" s="10">
        <f t="shared" si="43"/>
        <v>0</v>
      </c>
      <c r="AF77" s="10">
        <f t="shared" si="44"/>
        <v>1</v>
      </c>
    </row>
    <row r="78" spans="1:32" ht="48" customHeight="1" x14ac:dyDescent="0.2">
      <c r="A78" s="3" t="s">
        <v>548</v>
      </c>
      <c r="B78" s="3">
        <v>77</v>
      </c>
      <c r="C78" s="3" t="s">
        <v>38</v>
      </c>
      <c r="D78" s="3" t="s">
        <v>544</v>
      </c>
      <c r="E78" s="3" t="s">
        <v>15</v>
      </c>
      <c r="F78" s="3" t="s">
        <v>24</v>
      </c>
      <c r="G78" s="3" t="s">
        <v>16</v>
      </c>
      <c r="H78" s="3" t="s">
        <v>27</v>
      </c>
      <c r="I78" s="3" t="s">
        <v>549</v>
      </c>
      <c r="J78" s="3" t="s">
        <v>550</v>
      </c>
      <c r="K78" s="3" t="s">
        <v>551</v>
      </c>
      <c r="L78" s="3"/>
      <c r="M78" s="3" t="s">
        <v>359</v>
      </c>
      <c r="N78" s="3" t="s">
        <v>274</v>
      </c>
      <c r="O78" s="3" t="s">
        <v>547</v>
      </c>
      <c r="P78" s="10">
        <f>SUM(Paper2Coding[[#This Row],[Open Delegation]:[Expertise]])</f>
        <v>3</v>
      </c>
      <c r="Q78" s="10">
        <f t="shared" si="30"/>
        <v>0</v>
      </c>
      <c r="R78" s="10">
        <f t="shared" si="31"/>
        <v>0</v>
      </c>
      <c r="S78" s="10">
        <f t="shared" si="32"/>
        <v>1</v>
      </c>
      <c r="T78" s="10">
        <f t="shared" si="33"/>
        <v>0</v>
      </c>
      <c r="U78" s="10">
        <f t="shared" si="34"/>
        <v>0</v>
      </c>
      <c r="V78" s="10">
        <f t="shared" si="35"/>
        <v>1</v>
      </c>
      <c r="W78" s="10">
        <f t="shared" si="36"/>
        <v>0</v>
      </c>
      <c r="X78" s="10">
        <f t="shared" si="37"/>
        <v>0</v>
      </c>
      <c r="Y78" s="10">
        <f>SUM(Paper2Coding[[#This Row],[Subject-matter correction]:[none]])</f>
        <v>1</v>
      </c>
      <c r="Z78" s="10">
        <f t="shared" si="38"/>
        <v>0</v>
      </c>
      <c r="AA78" s="10">
        <f t="shared" si="39"/>
        <v>0</v>
      </c>
      <c r="AB78" s="10">
        <f t="shared" si="40"/>
        <v>0</v>
      </c>
      <c r="AC78" s="10">
        <f t="shared" si="41"/>
        <v>0</v>
      </c>
      <c r="AD78" s="10">
        <f t="shared" si="42"/>
        <v>0</v>
      </c>
      <c r="AE78" s="10">
        <f t="shared" si="43"/>
        <v>0</v>
      </c>
      <c r="AF78" s="10">
        <f t="shared" si="44"/>
        <v>1</v>
      </c>
    </row>
    <row r="79" spans="1:32" ht="48" customHeight="1" x14ac:dyDescent="0.2">
      <c r="A79" s="3" t="s">
        <v>552</v>
      </c>
      <c r="B79" s="3">
        <v>78</v>
      </c>
      <c r="C79" s="3" t="s">
        <v>38</v>
      </c>
      <c r="D79" s="3" t="s">
        <v>216</v>
      </c>
      <c r="E79" s="3" t="s">
        <v>26</v>
      </c>
      <c r="F79" s="3"/>
      <c r="G79" s="3" t="s">
        <v>13</v>
      </c>
      <c r="H79" s="3" t="s">
        <v>27</v>
      </c>
      <c r="I79" s="3" t="s">
        <v>553</v>
      </c>
      <c r="J79" s="3" t="s">
        <v>554</v>
      </c>
      <c r="K79" s="3" t="s">
        <v>555</v>
      </c>
      <c r="L79" s="3" t="s">
        <v>556</v>
      </c>
      <c r="M79" s="3"/>
      <c r="N79" s="3" t="s">
        <v>70</v>
      </c>
      <c r="O79" s="3" t="s">
        <v>557</v>
      </c>
      <c r="P79" s="10">
        <f>SUM(Paper2Coding[[#This Row],[Open Delegation]:[Expertise]])</f>
        <v>2</v>
      </c>
      <c r="Q79" s="10">
        <f t="shared" si="30"/>
        <v>0</v>
      </c>
      <c r="R79" s="10">
        <f t="shared" si="31"/>
        <v>0</v>
      </c>
      <c r="S79" s="10">
        <f t="shared" si="32"/>
        <v>0</v>
      </c>
      <c r="T79" s="10">
        <f t="shared" si="33"/>
        <v>0</v>
      </c>
      <c r="U79" s="10">
        <f t="shared" si="34"/>
        <v>0</v>
      </c>
      <c r="V79" s="10">
        <f t="shared" si="35"/>
        <v>0</v>
      </c>
      <c r="W79" s="10">
        <f t="shared" si="36"/>
        <v>1</v>
      </c>
      <c r="X79" s="10">
        <f t="shared" si="37"/>
        <v>0</v>
      </c>
      <c r="Y79" s="10">
        <f>SUM(Paper2Coding[[#This Row],[Subject-matter correction]:[none]])</f>
        <v>1</v>
      </c>
      <c r="Z79" s="10">
        <f t="shared" si="38"/>
        <v>0</v>
      </c>
      <c r="AA79" s="10">
        <f t="shared" si="39"/>
        <v>0</v>
      </c>
      <c r="AB79" s="10">
        <f t="shared" si="40"/>
        <v>0</v>
      </c>
      <c r="AC79" s="10">
        <f t="shared" si="41"/>
        <v>0</v>
      </c>
      <c r="AD79" s="10">
        <f t="shared" si="42"/>
        <v>0</v>
      </c>
      <c r="AE79" s="10">
        <f t="shared" si="43"/>
        <v>0</v>
      </c>
      <c r="AF79" s="10">
        <f t="shared" si="44"/>
        <v>1</v>
      </c>
    </row>
    <row r="80" spans="1:32" ht="57.95" customHeight="1" x14ac:dyDescent="0.2">
      <c r="A80" s="3" t="s">
        <v>558</v>
      </c>
      <c r="B80" s="3">
        <v>79</v>
      </c>
      <c r="C80" s="3" t="s">
        <v>39</v>
      </c>
      <c r="D80" s="3" t="s">
        <v>559</v>
      </c>
      <c r="E80" s="3" t="s">
        <v>24</v>
      </c>
      <c r="F80" s="3" t="s">
        <v>15</v>
      </c>
      <c r="G80" s="3" t="s">
        <v>16</v>
      </c>
      <c r="H80" s="3" t="s">
        <v>27</v>
      </c>
      <c r="I80" s="3" t="s">
        <v>560</v>
      </c>
      <c r="J80" s="3" t="s">
        <v>561</v>
      </c>
      <c r="K80" s="3" t="s">
        <v>562</v>
      </c>
      <c r="L80" s="3" t="s">
        <v>563</v>
      </c>
      <c r="M80" s="3"/>
      <c r="N80" s="3" t="s">
        <v>70</v>
      </c>
      <c r="O80" s="3" t="s">
        <v>564</v>
      </c>
      <c r="P80" s="10">
        <f>SUM(Paper2Coding[[#This Row],[Open Delegation]:[Expertise]])</f>
        <v>3</v>
      </c>
      <c r="Q80" s="10">
        <f t="shared" si="30"/>
        <v>0</v>
      </c>
      <c r="R80" s="10">
        <f t="shared" si="31"/>
        <v>0</v>
      </c>
      <c r="S80" s="10">
        <f t="shared" si="32"/>
        <v>1</v>
      </c>
      <c r="T80" s="10">
        <f t="shared" si="33"/>
        <v>0</v>
      </c>
      <c r="U80" s="10">
        <f t="shared" si="34"/>
        <v>0</v>
      </c>
      <c r="V80" s="10">
        <f t="shared" si="35"/>
        <v>1</v>
      </c>
      <c r="W80" s="10">
        <f t="shared" si="36"/>
        <v>0</v>
      </c>
      <c r="X80" s="10">
        <f t="shared" si="37"/>
        <v>0</v>
      </c>
      <c r="Y80" s="10">
        <f>SUM(Paper2Coding[[#This Row],[Subject-matter correction]:[none]])</f>
        <v>1</v>
      </c>
      <c r="Z80" s="10">
        <f t="shared" si="38"/>
        <v>0</v>
      </c>
      <c r="AA80" s="10">
        <f t="shared" si="39"/>
        <v>0</v>
      </c>
      <c r="AB80" s="10">
        <f t="shared" si="40"/>
        <v>0</v>
      </c>
      <c r="AC80" s="10">
        <f t="shared" si="41"/>
        <v>0</v>
      </c>
      <c r="AD80" s="10">
        <f t="shared" si="42"/>
        <v>0</v>
      </c>
      <c r="AE80" s="10">
        <f t="shared" si="43"/>
        <v>0</v>
      </c>
      <c r="AF80" s="10">
        <f t="shared" si="44"/>
        <v>1</v>
      </c>
    </row>
    <row r="81" spans="1:32" ht="48" customHeight="1" x14ac:dyDescent="0.2">
      <c r="A81" s="3" t="s">
        <v>565</v>
      </c>
      <c r="B81" s="3">
        <v>80</v>
      </c>
      <c r="C81" s="3" t="s">
        <v>39</v>
      </c>
      <c r="D81" s="3" t="s">
        <v>566</v>
      </c>
      <c r="E81" s="3" t="s">
        <v>12</v>
      </c>
      <c r="F81" s="3" t="s">
        <v>24</v>
      </c>
      <c r="G81" s="3" t="s">
        <v>13</v>
      </c>
      <c r="H81" s="3" t="s">
        <v>27</v>
      </c>
      <c r="I81" s="3" t="s">
        <v>567</v>
      </c>
      <c r="J81" s="3" t="s">
        <v>568</v>
      </c>
      <c r="K81" s="3" t="s">
        <v>569</v>
      </c>
      <c r="L81" s="3" t="s">
        <v>570</v>
      </c>
      <c r="M81" s="3"/>
      <c r="N81" s="3" t="s">
        <v>70</v>
      </c>
      <c r="O81" s="3"/>
      <c r="P81" s="10">
        <f>SUM(Paper2Coding[[#This Row],[Open Delegation]:[Expertise]])</f>
        <v>3</v>
      </c>
      <c r="Q81" s="10">
        <f t="shared" si="30"/>
        <v>0</v>
      </c>
      <c r="R81" s="10">
        <f t="shared" si="31"/>
        <v>1</v>
      </c>
      <c r="S81" s="10">
        <f t="shared" si="32"/>
        <v>0</v>
      </c>
      <c r="T81" s="10">
        <f t="shared" si="33"/>
        <v>0</v>
      </c>
      <c r="U81" s="10">
        <f t="shared" si="34"/>
        <v>0</v>
      </c>
      <c r="V81" s="10">
        <f t="shared" si="35"/>
        <v>1</v>
      </c>
      <c r="W81" s="10">
        <f t="shared" si="36"/>
        <v>0</v>
      </c>
      <c r="X81" s="10">
        <f t="shared" si="37"/>
        <v>0</v>
      </c>
      <c r="Y81" s="10">
        <f>SUM(Paper2Coding[[#This Row],[Subject-matter correction]:[none]])</f>
        <v>1</v>
      </c>
      <c r="Z81" s="10">
        <f t="shared" si="38"/>
        <v>0</v>
      </c>
      <c r="AA81" s="10">
        <f t="shared" si="39"/>
        <v>0</v>
      </c>
      <c r="AB81" s="10">
        <f t="shared" si="40"/>
        <v>0</v>
      </c>
      <c r="AC81" s="10">
        <f t="shared" si="41"/>
        <v>0</v>
      </c>
      <c r="AD81" s="10">
        <f t="shared" si="42"/>
        <v>0</v>
      </c>
      <c r="AE81" s="10">
        <f t="shared" si="43"/>
        <v>0</v>
      </c>
      <c r="AF81" s="10">
        <f t="shared" si="44"/>
        <v>1</v>
      </c>
    </row>
    <row r="82" spans="1:32" ht="48" customHeight="1" x14ac:dyDescent="0.2">
      <c r="A82" s="3" t="s">
        <v>571</v>
      </c>
      <c r="B82" s="3">
        <v>81</v>
      </c>
      <c r="C82" s="3" t="s">
        <v>39</v>
      </c>
      <c r="D82" s="3" t="s">
        <v>572</v>
      </c>
      <c r="E82" s="3" t="s">
        <v>12</v>
      </c>
      <c r="F82" s="3"/>
      <c r="G82" s="3" t="s">
        <v>13</v>
      </c>
      <c r="H82" s="3" t="s">
        <v>25</v>
      </c>
      <c r="I82" s="3" t="s">
        <v>573</v>
      </c>
      <c r="J82" s="3" t="s">
        <v>574</v>
      </c>
      <c r="K82" s="3" t="s">
        <v>575</v>
      </c>
      <c r="L82" s="3" t="s">
        <v>576</v>
      </c>
      <c r="M82" s="3"/>
      <c r="N82" s="3" t="s">
        <v>70</v>
      </c>
      <c r="O82" s="3"/>
      <c r="P82" s="10">
        <f>SUM(Paper2Coding[[#This Row],[Open Delegation]:[Expertise]])</f>
        <v>2</v>
      </c>
      <c r="Q82" s="10">
        <f t="shared" si="30"/>
        <v>0</v>
      </c>
      <c r="R82" s="10">
        <f t="shared" si="31"/>
        <v>1</v>
      </c>
      <c r="S82" s="10">
        <f t="shared" si="32"/>
        <v>0</v>
      </c>
      <c r="T82" s="10">
        <f t="shared" si="33"/>
        <v>0</v>
      </c>
      <c r="U82" s="10">
        <f t="shared" si="34"/>
        <v>0</v>
      </c>
      <c r="V82" s="10">
        <f t="shared" si="35"/>
        <v>0</v>
      </c>
      <c r="W82" s="10">
        <f t="shared" si="36"/>
        <v>0</v>
      </c>
      <c r="X82" s="10">
        <f t="shared" si="37"/>
        <v>0</v>
      </c>
      <c r="Y82" s="10">
        <f>SUM(Paper2Coding[[#This Row],[Subject-matter correction]:[none]])</f>
        <v>1</v>
      </c>
      <c r="Z82" s="10">
        <f t="shared" si="38"/>
        <v>0</v>
      </c>
      <c r="AA82" s="10">
        <f t="shared" si="39"/>
        <v>0</v>
      </c>
      <c r="AB82" s="10">
        <f t="shared" si="40"/>
        <v>0</v>
      </c>
      <c r="AC82" s="10">
        <f t="shared" si="41"/>
        <v>0</v>
      </c>
      <c r="AD82" s="10">
        <f t="shared" si="42"/>
        <v>0</v>
      </c>
      <c r="AE82" s="10">
        <f t="shared" si="43"/>
        <v>1</v>
      </c>
      <c r="AF82" s="10">
        <f t="shared" si="44"/>
        <v>0</v>
      </c>
    </row>
    <row r="83" spans="1:32" ht="48" customHeight="1" x14ac:dyDescent="0.2">
      <c r="A83" s="3" t="s">
        <v>577</v>
      </c>
      <c r="B83" s="3">
        <v>82</v>
      </c>
      <c r="C83" s="3" t="s">
        <v>39</v>
      </c>
      <c r="D83" s="3" t="s">
        <v>578</v>
      </c>
      <c r="E83" s="3" t="s">
        <v>21</v>
      </c>
      <c r="F83" s="3"/>
      <c r="G83" s="3" t="s">
        <v>13</v>
      </c>
      <c r="H83" s="3" t="s">
        <v>27</v>
      </c>
      <c r="I83" s="3" t="s">
        <v>579</v>
      </c>
      <c r="J83" s="3" t="s">
        <v>271</v>
      </c>
      <c r="K83" s="3" t="s">
        <v>580</v>
      </c>
      <c r="L83" s="3"/>
      <c r="M83" s="3"/>
      <c r="N83" s="3" t="s">
        <v>274</v>
      </c>
      <c r="O83" s="3" t="s">
        <v>275</v>
      </c>
      <c r="P83" s="10">
        <f>SUM(Paper2Coding[[#This Row],[Open Delegation]:[Expertise]])</f>
        <v>2</v>
      </c>
      <c r="Q83" s="10">
        <f t="shared" si="30"/>
        <v>0</v>
      </c>
      <c r="R83" s="10">
        <f t="shared" si="31"/>
        <v>0</v>
      </c>
      <c r="S83" s="10">
        <f t="shared" si="32"/>
        <v>0</v>
      </c>
      <c r="T83" s="10">
        <f t="shared" si="33"/>
        <v>0</v>
      </c>
      <c r="U83" s="10">
        <f t="shared" si="34"/>
        <v>1</v>
      </c>
      <c r="V83" s="10">
        <f t="shared" si="35"/>
        <v>0</v>
      </c>
      <c r="W83" s="10">
        <f t="shared" si="36"/>
        <v>0</v>
      </c>
      <c r="X83" s="10">
        <f t="shared" si="37"/>
        <v>0</v>
      </c>
      <c r="Y83" s="10">
        <f>SUM(Paper2Coding[[#This Row],[Subject-matter correction]:[none]])</f>
        <v>1</v>
      </c>
      <c r="Z83" s="10">
        <f t="shared" si="38"/>
        <v>0</v>
      </c>
      <c r="AA83" s="10">
        <f t="shared" si="39"/>
        <v>0</v>
      </c>
      <c r="AB83" s="10">
        <f t="shared" si="40"/>
        <v>0</v>
      </c>
      <c r="AC83" s="10">
        <f t="shared" si="41"/>
        <v>0</v>
      </c>
      <c r="AD83" s="10">
        <f t="shared" si="42"/>
        <v>0</v>
      </c>
      <c r="AE83" s="10">
        <f t="shared" si="43"/>
        <v>0</v>
      </c>
      <c r="AF83" s="10">
        <f t="shared" si="44"/>
        <v>1</v>
      </c>
    </row>
    <row r="84" spans="1:32" ht="57.95" customHeight="1" x14ac:dyDescent="0.2">
      <c r="A84" s="3" t="s">
        <v>581</v>
      </c>
      <c r="B84" s="3">
        <v>83</v>
      </c>
      <c r="C84" s="3" t="s">
        <v>39</v>
      </c>
      <c r="D84" s="3" t="s">
        <v>582</v>
      </c>
      <c r="E84" s="3" t="s">
        <v>28</v>
      </c>
      <c r="F84" s="3" t="s">
        <v>374</v>
      </c>
      <c r="G84" s="3" t="s">
        <v>22</v>
      </c>
      <c r="H84" s="3" t="s">
        <v>583</v>
      </c>
      <c r="I84" s="3" t="s">
        <v>584</v>
      </c>
      <c r="J84" s="3" t="s">
        <v>585</v>
      </c>
      <c r="K84" s="3" t="s">
        <v>586</v>
      </c>
      <c r="L84" s="3" t="s">
        <v>587</v>
      </c>
      <c r="M84" s="3"/>
      <c r="N84" s="3" t="s">
        <v>70</v>
      </c>
      <c r="O84" s="3"/>
      <c r="P84" s="10">
        <f>SUM(Paper2Coding[[#This Row],[Open Delegation]:[Expertise]])</f>
        <v>6</v>
      </c>
      <c r="Q84" s="10">
        <f t="shared" si="30"/>
        <v>0</v>
      </c>
      <c r="R84" s="10">
        <f t="shared" si="31"/>
        <v>0</v>
      </c>
      <c r="S84" s="10">
        <f t="shared" si="32"/>
        <v>0</v>
      </c>
      <c r="T84" s="10">
        <f t="shared" si="33"/>
        <v>0</v>
      </c>
      <c r="U84" s="10">
        <f t="shared" si="34"/>
        <v>1</v>
      </c>
      <c r="V84" s="10">
        <f t="shared" si="35"/>
        <v>1</v>
      </c>
      <c r="W84" s="10">
        <f t="shared" si="36"/>
        <v>0</v>
      </c>
      <c r="X84" s="10">
        <f t="shared" si="37"/>
        <v>1</v>
      </c>
      <c r="Y84" s="10">
        <f>SUM(Paper2Coding[[#This Row],[Subject-matter correction]:[none]])</f>
        <v>3</v>
      </c>
      <c r="Z84" s="10">
        <f t="shared" si="38"/>
        <v>0</v>
      </c>
      <c r="AA84" s="10">
        <f t="shared" si="39"/>
        <v>0</v>
      </c>
      <c r="AB84" s="10">
        <f t="shared" si="40"/>
        <v>0</v>
      </c>
      <c r="AC84" s="10">
        <f t="shared" si="41"/>
        <v>1</v>
      </c>
      <c r="AD84" s="10">
        <f t="shared" si="42"/>
        <v>1</v>
      </c>
      <c r="AE84" s="10">
        <f t="shared" si="43"/>
        <v>1</v>
      </c>
      <c r="AF84" s="10">
        <f t="shared" si="44"/>
        <v>0</v>
      </c>
    </row>
    <row r="85" spans="1:32" ht="57.95" customHeight="1" x14ac:dyDescent="0.2">
      <c r="A85" s="3" t="s">
        <v>588</v>
      </c>
      <c r="B85" s="3">
        <v>84</v>
      </c>
      <c r="C85" s="3" t="s">
        <v>39</v>
      </c>
      <c r="D85" s="3" t="s">
        <v>589</v>
      </c>
      <c r="E85" s="3" t="s">
        <v>21</v>
      </c>
      <c r="F85" s="3" t="s">
        <v>590</v>
      </c>
      <c r="G85" s="3" t="s">
        <v>19</v>
      </c>
      <c r="H85" s="3" t="s">
        <v>591</v>
      </c>
      <c r="I85" s="3" t="s">
        <v>592</v>
      </c>
      <c r="J85" s="3" t="s">
        <v>593</v>
      </c>
      <c r="K85" s="3" t="s">
        <v>594</v>
      </c>
      <c r="L85" s="3" t="s">
        <v>595</v>
      </c>
      <c r="M85" s="3"/>
      <c r="N85" s="3" t="s">
        <v>70</v>
      </c>
      <c r="O85" s="3"/>
      <c r="P85" s="10">
        <f>SUM(Paper2Coding[[#This Row],[Open Delegation]:[Expertise]])</f>
        <v>8</v>
      </c>
      <c r="Q85" s="10">
        <f t="shared" si="30"/>
        <v>0</v>
      </c>
      <c r="R85" s="10">
        <f t="shared" si="31"/>
        <v>0</v>
      </c>
      <c r="S85" s="10">
        <f t="shared" si="32"/>
        <v>0</v>
      </c>
      <c r="T85" s="10">
        <f t="shared" si="33"/>
        <v>1</v>
      </c>
      <c r="U85" s="10">
        <f t="shared" si="34"/>
        <v>1</v>
      </c>
      <c r="V85" s="10">
        <f t="shared" si="35"/>
        <v>1</v>
      </c>
      <c r="W85" s="10">
        <f t="shared" si="36"/>
        <v>1</v>
      </c>
      <c r="X85" s="10">
        <f t="shared" si="37"/>
        <v>0</v>
      </c>
      <c r="Y85" s="10">
        <f>SUM(Paper2Coding[[#This Row],[Subject-matter correction]:[none]])</f>
        <v>4</v>
      </c>
      <c r="Z85" s="10">
        <f t="shared" si="38"/>
        <v>0</v>
      </c>
      <c r="AA85" s="10">
        <f t="shared" si="39"/>
        <v>0</v>
      </c>
      <c r="AB85" s="10">
        <f t="shared" si="40"/>
        <v>1</v>
      </c>
      <c r="AC85" s="10">
        <f t="shared" si="41"/>
        <v>1</v>
      </c>
      <c r="AD85" s="10">
        <f t="shared" si="42"/>
        <v>1</v>
      </c>
      <c r="AE85" s="10">
        <f t="shared" si="43"/>
        <v>1</v>
      </c>
      <c r="AF85" s="10">
        <f t="shared" si="44"/>
        <v>0</v>
      </c>
    </row>
    <row r="86" spans="1:32" ht="57.95" customHeight="1" x14ac:dyDescent="0.2">
      <c r="A86" s="3" t="s">
        <v>596</v>
      </c>
      <c r="B86" s="3">
        <v>85</v>
      </c>
      <c r="C86" s="3" t="s">
        <v>39</v>
      </c>
      <c r="D86" s="3" t="s">
        <v>597</v>
      </c>
      <c r="E86" s="3" t="s">
        <v>28</v>
      </c>
      <c r="F86" s="3" t="s">
        <v>598</v>
      </c>
      <c r="G86" s="3" t="s">
        <v>22</v>
      </c>
      <c r="H86" s="3" t="s">
        <v>599</v>
      </c>
      <c r="I86" s="3" t="s">
        <v>600</v>
      </c>
      <c r="J86" s="3" t="s">
        <v>601</v>
      </c>
      <c r="K86" s="3" t="s">
        <v>602</v>
      </c>
      <c r="L86" s="3" t="s">
        <v>603</v>
      </c>
      <c r="M86" s="3"/>
      <c r="N86" s="3" t="s">
        <v>70</v>
      </c>
      <c r="O86" s="3"/>
      <c r="P86" s="10">
        <f>SUM(Paper2Coding[[#This Row],[Open Delegation]:[Expertise]])</f>
        <v>7</v>
      </c>
      <c r="Q86" s="10">
        <f t="shared" si="30"/>
        <v>0</v>
      </c>
      <c r="R86" s="10">
        <f t="shared" si="31"/>
        <v>0</v>
      </c>
      <c r="S86" s="10">
        <f t="shared" si="32"/>
        <v>0</v>
      </c>
      <c r="T86" s="10">
        <f t="shared" si="33"/>
        <v>1</v>
      </c>
      <c r="U86" s="10">
        <f t="shared" si="34"/>
        <v>0</v>
      </c>
      <c r="V86" s="10">
        <f t="shared" si="35"/>
        <v>1</v>
      </c>
      <c r="W86" s="10">
        <f t="shared" si="36"/>
        <v>1</v>
      </c>
      <c r="X86" s="10">
        <f t="shared" si="37"/>
        <v>1</v>
      </c>
      <c r="Y86" s="10">
        <f>SUM(Paper2Coding[[#This Row],[Subject-matter correction]:[none]])</f>
        <v>3</v>
      </c>
      <c r="Z86" s="10">
        <f t="shared" si="38"/>
        <v>0</v>
      </c>
      <c r="AA86" s="10">
        <f t="shared" si="39"/>
        <v>1</v>
      </c>
      <c r="AB86" s="10">
        <f t="shared" si="40"/>
        <v>0</v>
      </c>
      <c r="AC86" s="10">
        <f t="shared" si="41"/>
        <v>0</v>
      </c>
      <c r="AD86" s="10">
        <f t="shared" si="42"/>
        <v>1</v>
      </c>
      <c r="AE86" s="10">
        <f t="shared" si="43"/>
        <v>1</v>
      </c>
      <c r="AF86" s="10">
        <f t="shared" si="44"/>
        <v>0</v>
      </c>
    </row>
    <row r="87" spans="1:32" ht="48" customHeight="1" x14ac:dyDescent="0.2">
      <c r="A87" s="3" t="s">
        <v>604</v>
      </c>
      <c r="B87" s="3">
        <v>86</v>
      </c>
      <c r="C87" s="3" t="s">
        <v>39</v>
      </c>
      <c r="D87" s="3" t="s">
        <v>605</v>
      </c>
      <c r="E87" s="3" t="s">
        <v>12</v>
      </c>
      <c r="F87" s="3" t="s">
        <v>21</v>
      </c>
      <c r="G87" s="3" t="s">
        <v>13</v>
      </c>
      <c r="H87" s="3" t="s">
        <v>87</v>
      </c>
      <c r="I87" s="3" t="s">
        <v>606</v>
      </c>
      <c r="J87" s="3" t="s">
        <v>607</v>
      </c>
      <c r="K87" s="3" t="s">
        <v>608</v>
      </c>
      <c r="L87" s="3" t="s">
        <v>609</v>
      </c>
      <c r="M87" s="3"/>
      <c r="N87" s="3" t="s">
        <v>70</v>
      </c>
      <c r="O87" s="3"/>
      <c r="P87" s="10">
        <f>SUM(Paper2Coding[[#This Row],[Open Delegation]:[Expertise]])</f>
        <v>4</v>
      </c>
      <c r="Q87" s="10">
        <f t="shared" si="30"/>
        <v>0</v>
      </c>
      <c r="R87" s="10">
        <f t="shared" si="31"/>
        <v>1</v>
      </c>
      <c r="S87" s="10">
        <f t="shared" si="32"/>
        <v>0</v>
      </c>
      <c r="T87" s="10">
        <f t="shared" si="33"/>
        <v>0</v>
      </c>
      <c r="U87" s="10">
        <f t="shared" si="34"/>
        <v>1</v>
      </c>
      <c r="V87" s="10">
        <f t="shared" si="35"/>
        <v>0</v>
      </c>
      <c r="W87" s="10">
        <f t="shared" si="36"/>
        <v>0</v>
      </c>
      <c r="X87" s="10">
        <f t="shared" si="37"/>
        <v>0</v>
      </c>
      <c r="Y87" s="10">
        <f>SUM(Paper2Coding[[#This Row],[Subject-matter correction]:[none]])</f>
        <v>2</v>
      </c>
      <c r="Z87" s="10">
        <f t="shared" si="38"/>
        <v>0</v>
      </c>
      <c r="AA87" s="10">
        <f t="shared" si="39"/>
        <v>0</v>
      </c>
      <c r="AB87" s="10">
        <f t="shared" si="40"/>
        <v>0</v>
      </c>
      <c r="AC87" s="10">
        <f t="shared" si="41"/>
        <v>0</v>
      </c>
      <c r="AD87" s="10">
        <f t="shared" si="42"/>
        <v>1</v>
      </c>
      <c r="AE87" s="10">
        <f t="shared" si="43"/>
        <v>1</v>
      </c>
      <c r="AF87" s="10">
        <f t="shared" si="44"/>
        <v>0</v>
      </c>
    </row>
    <row r="88" spans="1:32" ht="48" customHeight="1" x14ac:dyDescent="0.2">
      <c r="A88" s="3" t="s">
        <v>610</v>
      </c>
      <c r="B88" s="3">
        <v>87</v>
      </c>
      <c r="C88" s="3" t="s">
        <v>39</v>
      </c>
      <c r="D88" s="3" t="s">
        <v>611</v>
      </c>
      <c r="E88" s="3" t="s">
        <v>15</v>
      </c>
      <c r="F88" s="3" t="s">
        <v>192</v>
      </c>
      <c r="G88" s="3" t="s">
        <v>16</v>
      </c>
      <c r="H88" s="3" t="s">
        <v>87</v>
      </c>
      <c r="I88" s="3" t="s">
        <v>612</v>
      </c>
      <c r="J88" s="3" t="s">
        <v>613</v>
      </c>
      <c r="K88" s="3" t="s">
        <v>614</v>
      </c>
      <c r="L88" s="3" t="s">
        <v>615</v>
      </c>
      <c r="M88" s="3"/>
      <c r="N88" s="3" t="s">
        <v>70</v>
      </c>
      <c r="O88" s="3"/>
      <c r="P88" s="10">
        <f>SUM(Paper2Coding[[#This Row],[Open Delegation]:[Expertise]])</f>
        <v>5</v>
      </c>
      <c r="Q88" s="10">
        <f t="shared" si="30"/>
        <v>0</v>
      </c>
      <c r="R88" s="10">
        <f t="shared" si="31"/>
        <v>1</v>
      </c>
      <c r="S88" s="10">
        <f t="shared" si="32"/>
        <v>1</v>
      </c>
      <c r="T88" s="10">
        <f t="shared" si="33"/>
        <v>0</v>
      </c>
      <c r="U88" s="10">
        <f t="shared" si="34"/>
        <v>0</v>
      </c>
      <c r="V88" s="10">
        <f t="shared" si="35"/>
        <v>1</v>
      </c>
      <c r="W88" s="10">
        <f t="shared" si="36"/>
        <v>0</v>
      </c>
      <c r="X88" s="10">
        <f t="shared" si="37"/>
        <v>0</v>
      </c>
      <c r="Y88" s="10">
        <f>SUM(Paper2Coding[[#This Row],[Subject-matter correction]:[none]])</f>
        <v>2</v>
      </c>
      <c r="Z88" s="10">
        <f t="shared" si="38"/>
        <v>0</v>
      </c>
      <c r="AA88" s="10">
        <f t="shared" si="39"/>
        <v>0</v>
      </c>
      <c r="AB88" s="10">
        <f t="shared" si="40"/>
        <v>0</v>
      </c>
      <c r="AC88" s="10">
        <f t="shared" si="41"/>
        <v>0</v>
      </c>
      <c r="AD88" s="10">
        <f t="shared" si="42"/>
        <v>1</v>
      </c>
      <c r="AE88" s="10">
        <f t="shared" si="43"/>
        <v>1</v>
      </c>
      <c r="AF88" s="10">
        <f t="shared" si="44"/>
        <v>0</v>
      </c>
    </row>
    <row r="89" spans="1:32" ht="48" customHeight="1" x14ac:dyDescent="0.2">
      <c r="A89" s="3" t="s">
        <v>616</v>
      </c>
      <c r="B89" s="3">
        <v>88</v>
      </c>
      <c r="C89" s="3" t="s">
        <v>39</v>
      </c>
      <c r="D89" s="3" t="s">
        <v>617</v>
      </c>
      <c r="E89" s="3" t="s">
        <v>12</v>
      </c>
      <c r="F89" s="3" t="s">
        <v>24</v>
      </c>
      <c r="G89" s="3" t="s">
        <v>13</v>
      </c>
      <c r="H89" s="3" t="s">
        <v>87</v>
      </c>
      <c r="I89" s="3" t="s">
        <v>618</v>
      </c>
      <c r="J89" s="3" t="s">
        <v>619</v>
      </c>
      <c r="K89" s="3" t="s">
        <v>620</v>
      </c>
      <c r="L89" s="3" t="s">
        <v>621</v>
      </c>
      <c r="M89" s="3" t="s">
        <v>622</v>
      </c>
      <c r="N89" s="3" t="s">
        <v>70</v>
      </c>
      <c r="O89" s="3"/>
      <c r="P89" s="10">
        <f>SUM(Paper2Coding[[#This Row],[Open Delegation]:[Expertise]])</f>
        <v>4</v>
      </c>
      <c r="Q89" s="10">
        <f t="shared" si="30"/>
        <v>0</v>
      </c>
      <c r="R89" s="10">
        <f t="shared" si="31"/>
        <v>1</v>
      </c>
      <c r="S89" s="10">
        <f t="shared" si="32"/>
        <v>0</v>
      </c>
      <c r="T89" s="10">
        <f t="shared" si="33"/>
        <v>0</v>
      </c>
      <c r="U89" s="10">
        <f t="shared" si="34"/>
        <v>0</v>
      </c>
      <c r="V89" s="10">
        <f t="shared" si="35"/>
        <v>1</v>
      </c>
      <c r="W89" s="10">
        <f t="shared" si="36"/>
        <v>0</v>
      </c>
      <c r="X89" s="10">
        <f t="shared" si="37"/>
        <v>0</v>
      </c>
      <c r="Y89" s="10">
        <f>SUM(Paper2Coding[[#This Row],[Subject-matter correction]:[none]])</f>
        <v>2</v>
      </c>
      <c r="Z89" s="10">
        <f t="shared" si="38"/>
        <v>0</v>
      </c>
      <c r="AA89" s="10">
        <f t="shared" si="39"/>
        <v>0</v>
      </c>
      <c r="AB89" s="10">
        <f t="shared" si="40"/>
        <v>0</v>
      </c>
      <c r="AC89" s="10">
        <f t="shared" si="41"/>
        <v>0</v>
      </c>
      <c r="AD89" s="10">
        <f t="shared" si="42"/>
        <v>1</v>
      </c>
      <c r="AE89" s="10">
        <f t="shared" si="43"/>
        <v>1</v>
      </c>
      <c r="AF89" s="10">
        <f t="shared" si="44"/>
        <v>0</v>
      </c>
    </row>
    <row r="90" spans="1:32" ht="48" customHeight="1" x14ac:dyDescent="0.2">
      <c r="A90" s="3" t="s">
        <v>623</v>
      </c>
      <c r="B90" s="3">
        <v>89</v>
      </c>
      <c r="C90" s="3" t="s">
        <v>39</v>
      </c>
      <c r="D90" s="3" t="s">
        <v>624</v>
      </c>
      <c r="E90" s="3" t="s">
        <v>21</v>
      </c>
      <c r="F90" s="3" t="s">
        <v>625</v>
      </c>
      <c r="G90" s="3" t="s">
        <v>19</v>
      </c>
      <c r="H90" s="3" t="s">
        <v>626</v>
      </c>
      <c r="I90" s="3" t="s">
        <v>627</v>
      </c>
      <c r="J90" s="3" t="s">
        <v>628</v>
      </c>
      <c r="K90" s="3" t="s">
        <v>629</v>
      </c>
      <c r="L90" s="3" t="s">
        <v>630</v>
      </c>
      <c r="M90" s="3" t="s">
        <v>366</v>
      </c>
      <c r="N90" s="3" t="s">
        <v>70</v>
      </c>
      <c r="O90" s="3"/>
      <c r="P90" s="10">
        <f>SUM(Paper2Coding[[#This Row],[Open Delegation]:[Expertise]])</f>
        <v>8</v>
      </c>
      <c r="Q90" s="10">
        <f t="shared" si="30"/>
        <v>0</v>
      </c>
      <c r="R90" s="10">
        <f t="shared" si="31"/>
        <v>1</v>
      </c>
      <c r="S90" s="10">
        <f t="shared" si="32"/>
        <v>0</v>
      </c>
      <c r="T90" s="10">
        <f t="shared" si="33"/>
        <v>1</v>
      </c>
      <c r="U90" s="10">
        <f t="shared" si="34"/>
        <v>1</v>
      </c>
      <c r="V90" s="10">
        <f t="shared" si="35"/>
        <v>1</v>
      </c>
      <c r="W90" s="10">
        <f t="shared" si="36"/>
        <v>1</v>
      </c>
      <c r="X90" s="10">
        <f t="shared" si="37"/>
        <v>0</v>
      </c>
      <c r="Y90" s="10">
        <f>SUM(Paper2Coding[[#This Row],[Subject-matter correction]:[none]])</f>
        <v>3</v>
      </c>
      <c r="Z90" s="10">
        <f t="shared" si="38"/>
        <v>0</v>
      </c>
      <c r="AA90" s="10">
        <f t="shared" si="39"/>
        <v>1</v>
      </c>
      <c r="AB90" s="10">
        <f t="shared" si="40"/>
        <v>0</v>
      </c>
      <c r="AC90" s="10">
        <f t="shared" si="41"/>
        <v>1</v>
      </c>
      <c r="AD90" s="10">
        <f t="shared" si="42"/>
        <v>0</v>
      </c>
      <c r="AE90" s="10">
        <f t="shared" si="43"/>
        <v>1</v>
      </c>
      <c r="AF90" s="10">
        <f t="shared" si="44"/>
        <v>0</v>
      </c>
    </row>
    <row r="91" spans="1:32" ht="48" customHeight="1" x14ac:dyDescent="0.2">
      <c r="A91" s="3" t="s">
        <v>631</v>
      </c>
      <c r="B91" s="3">
        <v>90</v>
      </c>
      <c r="C91" s="3" t="s">
        <v>39</v>
      </c>
      <c r="D91" s="3" t="s">
        <v>632</v>
      </c>
      <c r="E91" s="3" t="s">
        <v>21</v>
      </c>
      <c r="F91" s="3" t="s">
        <v>633</v>
      </c>
      <c r="G91" s="3" t="s">
        <v>19</v>
      </c>
      <c r="H91" s="3" t="s">
        <v>25</v>
      </c>
      <c r="I91" s="3" t="s">
        <v>634</v>
      </c>
      <c r="J91" s="3" t="s">
        <v>635</v>
      </c>
      <c r="K91" s="3" t="s">
        <v>636</v>
      </c>
      <c r="L91" s="3" t="s">
        <v>637</v>
      </c>
      <c r="M91" s="3"/>
      <c r="N91" s="3" t="s">
        <v>70</v>
      </c>
      <c r="O91" s="3"/>
      <c r="P91" s="10">
        <f>SUM(Paper2Coding[[#This Row],[Open Delegation]:[Expertise]])</f>
        <v>4</v>
      </c>
      <c r="Q91" s="10">
        <f t="shared" si="30"/>
        <v>0</v>
      </c>
      <c r="R91" s="10">
        <f t="shared" si="31"/>
        <v>1</v>
      </c>
      <c r="S91" s="10">
        <f t="shared" si="32"/>
        <v>0</v>
      </c>
      <c r="T91" s="10">
        <f t="shared" si="33"/>
        <v>1</v>
      </c>
      <c r="U91" s="10">
        <f t="shared" si="34"/>
        <v>1</v>
      </c>
      <c r="V91" s="10">
        <f t="shared" si="35"/>
        <v>0</v>
      </c>
      <c r="W91" s="10">
        <f t="shared" si="36"/>
        <v>0</v>
      </c>
      <c r="X91" s="10">
        <f t="shared" si="37"/>
        <v>0</v>
      </c>
      <c r="Y91" s="10">
        <f>SUM(Paper2Coding[[#This Row],[Subject-matter correction]:[none]])</f>
        <v>1</v>
      </c>
      <c r="Z91" s="10">
        <f t="shared" si="38"/>
        <v>0</v>
      </c>
      <c r="AA91" s="10">
        <f t="shared" si="39"/>
        <v>0</v>
      </c>
      <c r="AB91" s="10">
        <f t="shared" si="40"/>
        <v>0</v>
      </c>
      <c r="AC91" s="10">
        <f t="shared" si="41"/>
        <v>0</v>
      </c>
      <c r="AD91" s="10">
        <f t="shared" si="42"/>
        <v>0</v>
      </c>
      <c r="AE91" s="10">
        <f t="shared" si="43"/>
        <v>1</v>
      </c>
      <c r="AF91" s="10">
        <f t="shared" si="44"/>
        <v>0</v>
      </c>
    </row>
  </sheetData>
  <conditionalFormatting sqref="N2:N91">
    <cfRule type="containsText" dxfId="0" priority="1" operator="containsText" text="No substantiv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1"/>
  <sheetViews>
    <sheetView zoomScale="10" zoomScaleNormal="10" workbookViewId="0"/>
  </sheetViews>
  <sheetFormatPr defaultRowHeight="14.25" x14ac:dyDescent="0.2"/>
  <cols>
    <col min="1" max="1" width="12" customWidth="1"/>
    <col min="2" max="2" width="9" customWidth="1"/>
    <col min="3" max="3" width="23" customWidth="1"/>
    <col min="4" max="4" width="55" customWidth="1"/>
    <col min="5" max="5" width="165" customWidth="1"/>
  </cols>
  <sheetData>
    <row r="1" spans="1:5" ht="36" customHeight="1" x14ac:dyDescent="0.2">
      <c r="A1" s="2" t="s">
        <v>52</v>
      </c>
      <c r="B1" s="2" t="s">
        <v>53</v>
      </c>
      <c r="C1" s="2" t="s">
        <v>59</v>
      </c>
      <c r="D1" s="2" t="s">
        <v>61</v>
      </c>
      <c r="E1" s="2" t="s">
        <v>638</v>
      </c>
    </row>
    <row r="2" spans="1:5" ht="39.950000000000003" customHeight="1" x14ac:dyDescent="0.2">
      <c r="A2" s="3" t="s">
        <v>64</v>
      </c>
      <c r="B2" s="3">
        <v>1</v>
      </c>
      <c r="C2" s="3" t="s">
        <v>68</v>
      </c>
      <c r="D2" s="3"/>
      <c r="E2" s="3" t="s">
        <v>65</v>
      </c>
    </row>
    <row r="3" spans="1:5" ht="146.1" customHeight="1" x14ac:dyDescent="0.2">
      <c r="A3" s="3" t="s">
        <v>71</v>
      </c>
      <c r="B3" s="3">
        <v>2</v>
      </c>
      <c r="C3" s="3" t="s">
        <v>77</v>
      </c>
      <c r="D3" s="3"/>
      <c r="E3" s="3" t="s">
        <v>639</v>
      </c>
    </row>
    <row r="4" spans="1:5" ht="39.950000000000003" customHeight="1" x14ac:dyDescent="0.2">
      <c r="A4" s="3" t="s">
        <v>79</v>
      </c>
      <c r="B4" s="3">
        <v>3</v>
      </c>
      <c r="C4" s="3" t="s">
        <v>83</v>
      </c>
      <c r="D4" s="3"/>
      <c r="E4" s="3" t="s">
        <v>80</v>
      </c>
    </row>
    <row r="5" spans="1:5" ht="39.950000000000003" customHeight="1" x14ac:dyDescent="0.2">
      <c r="A5" s="3" t="s">
        <v>85</v>
      </c>
      <c r="B5" s="3">
        <v>4</v>
      </c>
      <c r="C5" s="3" t="s">
        <v>90</v>
      </c>
      <c r="D5" s="3"/>
      <c r="E5" s="3" t="s">
        <v>86</v>
      </c>
    </row>
    <row r="6" spans="1:5" ht="42" customHeight="1" x14ac:dyDescent="0.2">
      <c r="A6" s="3" t="s">
        <v>92</v>
      </c>
      <c r="B6" s="3">
        <v>5</v>
      </c>
      <c r="C6" s="3" t="s">
        <v>96</v>
      </c>
      <c r="D6" s="3"/>
      <c r="E6" s="3" t="s">
        <v>640</v>
      </c>
    </row>
    <row r="7" spans="1:5" ht="81" customHeight="1" x14ac:dyDescent="0.2">
      <c r="A7" s="3" t="s">
        <v>98</v>
      </c>
      <c r="B7" s="3">
        <v>6</v>
      </c>
      <c r="C7" s="3" t="s">
        <v>104</v>
      </c>
      <c r="D7" s="3"/>
      <c r="E7" s="3" t="s">
        <v>641</v>
      </c>
    </row>
    <row r="8" spans="1:5" ht="54.95" customHeight="1" x14ac:dyDescent="0.2">
      <c r="A8" s="3" t="s">
        <v>106</v>
      </c>
      <c r="B8" s="3">
        <v>7</v>
      </c>
      <c r="C8" s="3" t="s">
        <v>110</v>
      </c>
      <c r="D8" s="3"/>
      <c r="E8" s="3" t="s">
        <v>642</v>
      </c>
    </row>
    <row r="9" spans="1:5" ht="39.950000000000003" customHeight="1" x14ac:dyDescent="0.2">
      <c r="A9" s="3" t="s">
        <v>112</v>
      </c>
      <c r="B9" s="3">
        <v>8</v>
      </c>
      <c r="C9" s="3" t="s">
        <v>116</v>
      </c>
      <c r="D9" s="3"/>
      <c r="E9" s="3" t="s">
        <v>113</v>
      </c>
    </row>
    <row r="10" spans="1:5" ht="39.950000000000003" customHeight="1" x14ac:dyDescent="0.2">
      <c r="A10" s="3" t="s">
        <v>118</v>
      </c>
      <c r="B10" s="3">
        <v>9</v>
      </c>
      <c r="C10" s="3" t="s">
        <v>122</v>
      </c>
      <c r="D10" s="3"/>
      <c r="E10" s="3" t="s">
        <v>119</v>
      </c>
    </row>
    <row r="11" spans="1:5" ht="120" customHeight="1" x14ac:dyDescent="0.2">
      <c r="A11" s="3" t="s">
        <v>124</v>
      </c>
      <c r="B11" s="3">
        <v>10</v>
      </c>
      <c r="C11" s="3" t="s">
        <v>130</v>
      </c>
      <c r="D11" s="3"/>
      <c r="E11" s="3" t="s">
        <v>643</v>
      </c>
    </row>
    <row r="12" spans="1:5" ht="39.950000000000003" customHeight="1" x14ac:dyDescent="0.2">
      <c r="A12" s="3" t="s">
        <v>132</v>
      </c>
      <c r="B12" s="3">
        <v>11</v>
      </c>
      <c r="C12" s="3" t="s">
        <v>136</v>
      </c>
      <c r="D12" s="3"/>
      <c r="E12" s="3" t="s">
        <v>133</v>
      </c>
    </row>
    <row r="13" spans="1:5" ht="39.950000000000003" customHeight="1" x14ac:dyDescent="0.2">
      <c r="A13" s="3" t="s">
        <v>138</v>
      </c>
      <c r="B13" s="3">
        <v>12</v>
      </c>
      <c r="C13" s="3" t="s">
        <v>143</v>
      </c>
      <c r="D13" s="3"/>
      <c r="E13" s="3" t="s">
        <v>139</v>
      </c>
    </row>
    <row r="14" spans="1:5" ht="39.950000000000003" customHeight="1" x14ac:dyDescent="0.2">
      <c r="A14" s="3" t="s">
        <v>145</v>
      </c>
      <c r="B14" s="3">
        <v>13</v>
      </c>
      <c r="C14" s="3" t="s">
        <v>150</v>
      </c>
      <c r="D14" s="3"/>
      <c r="E14" s="3" t="s">
        <v>146</v>
      </c>
    </row>
    <row r="15" spans="1:5" ht="54.95" customHeight="1" x14ac:dyDescent="0.2">
      <c r="A15" s="3" t="s">
        <v>152</v>
      </c>
      <c r="B15" s="3">
        <v>14</v>
      </c>
      <c r="C15" s="3" t="s">
        <v>156</v>
      </c>
      <c r="D15" s="3"/>
      <c r="E15" s="3" t="s">
        <v>644</v>
      </c>
    </row>
    <row r="16" spans="1:5" ht="39.950000000000003" customHeight="1" x14ac:dyDescent="0.2">
      <c r="A16" s="3" t="s">
        <v>158</v>
      </c>
      <c r="B16" s="3">
        <v>15</v>
      </c>
      <c r="C16" s="3" t="s">
        <v>162</v>
      </c>
      <c r="D16" s="3"/>
      <c r="E16" s="3" t="s">
        <v>159</v>
      </c>
    </row>
    <row r="17" spans="1:5" ht="39.950000000000003" customHeight="1" x14ac:dyDescent="0.2">
      <c r="A17" s="3" t="s">
        <v>164</v>
      </c>
      <c r="B17" s="3">
        <v>16</v>
      </c>
      <c r="C17" s="3" t="s">
        <v>168</v>
      </c>
      <c r="D17" s="3"/>
      <c r="E17" s="3" t="s">
        <v>165</v>
      </c>
    </row>
    <row r="18" spans="1:5" ht="39.950000000000003" customHeight="1" x14ac:dyDescent="0.2">
      <c r="A18" s="3" t="s">
        <v>170</v>
      </c>
      <c r="B18" s="3">
        <v>17</v>
      </c>
      <c r="C18" s="3" t="s">
        <v>174</v>
      </c>
      <c r="D18" s="3"/>
      <c r="E18" s="3" t="s">
        <v>171</v>
      </c>
    </row>
    <row r="19" spans="1:5" ht="54.95" customHeight="1" x14ac:dyDescent="0.2">
      <c r="A19" s="3" t="s">
        <v>176</v>
      </c>
      <c r="B19" s="3">
        <v>18</v>
      </c>
      <c r="C19" s="3" t="s">
        <v>181</v>
      </c>
      <c r="D19" s="3"/>
      <c r="E19" s="3" t="s">
        <v>645</v>
      </c>
    </row>
    <row r="20" spans="1:5" ht="42" customHeight="1" x14ac:dyDescent="0.2">
      <c r="A20" s="3" t="s">
        <v>183</v>
      </c>
      <c r="B20" s="3">
        <v>19</v>
      </c>
      <c r="C20" s="3" t="s">
        <v>188</v>
      </c>
      <c r="D20" s="3"/>
      <c r="E20" s="3" t="s">
        <v>646</v>
      </c>
    </row>
    <row r="21" spans="1:5" ht="42" customHeight="1" x14ac:dyDescent="0.2">
      <c r="A21" s="3" t="s">
        <v>190</v>
      </c>
      <c r="B21" s="3">
        <v>20</v>
      </c>
      <c r="C21" s="3" t="s">
        <v>195</v>
      </c>
      <c r="D21" s="3"/>
      <c r="E21" s="3" t="s">
        <v>647</v>
      </c>
    </row>
    <row r="22" spans="1:5" ht="93.95" customHeight="1" x14ac:dyDescent="0.2">
      <c r="A22" s="3" t="s">
        <v>197</v>
      </c>
      <c r="B22" s="3">
        <v>21</v>
      </c>
      <c r="C22" s="3" t="s">
        <v>201</v>
      </c>
      <c r="D22" s="3"/>
      <c r="E22" s="3" t="s">
        <v>648</v>
      </c>
    </row>
    <row r="23" spans="1:5" ht="39.950000000000003" customHeight="1" x14ac:dyDescent="0.2">
      <c r="A23" s="3" t="s">
        <v>203</v>
      </c>
      <c r="B23" s="3">
        <v>22</v>
      </c>
      <c r="C23" s="3" t="s">
        <v>207</v>
      </c>
      <c r="D23" s="3"/>
      <c r="E23" s="3" t="s">
        <v>204</v>
      </c>
    </row>
    <row r="24" spans="1:5" ht="54.95" customHeight="1" x14ac:dyDescent="0.2">
      <c r="A24" s="3" t="s">
        <v>209</v>
      </c>
      <c r="B24" s="3">
        <v>23</v>
      </c>
      <c r="C24" s="3" t="s">
        <v>213</v>
      </c>
      <c r="D24" s="3"/>
      <c r="E24" s="3" t="s">
        <v>649</v>
      </c>
    </row>
    <row r="25" spans="1:5" ht="39.950000000000003" customHeight="1" x14ac:dyDescent="0.2">
      <c r="A25" s="3" t="s">
        <v>215</v>
      </c>
      <c r="B25" s="3">
        <v>24</v>
      </c>
      <c r="C25" s="3" t="s">
        <v>219</v>
      </c>
      <c r="D25" s="3"/>
      <c r="E25" s="3" t="s">
        <v>216</v>
      </c>
    </row>
    <row r="26" spans="1:5" ht="42" customHeight="1" x14ac:dyDescent="0.2">
      <c r="A26" s="3" t="s">
        <v>222</v>
      </c>
      <c r="B26" s="3">
        <v>25</v>
      </c>
      <c r="C26" s="3" t="s">
        <v>226</v>
      </c>
      <c r="D26" s="3"/>
      <c r="E26" s="3" t="s">
        <v>650</v>
      </c>
    </row>
    <row r="27" spans="1:5" ht="42" customHeight="1" x14ac:dyDescent="0.2">
      <c r="A27" s="3" t="s">
        <v>228</v>
      </c>
      <c r="B27" s="3">
        <v>26</v>
      </c>
      <c r="C27" s="3" t="s">
        <v>233</v>
      </c>
      <c r="D27" s="3"/>
      <c r="E27" s="3" t="s">
        <v>651</v>
      </c>
    </row>
    <row r="28" spans="1:5" ht="54.95" customHeight="1" x14ac:dyDescent="0.2">
      <c r="A28" s="3" t="s">
        <v>235</v>
      </c>
      <c r="B28" s="3">
        <v>27</v>
      </c>
      <c r="C28" s="3" t="s">
        <v>239</v>
      </c>
      <c r="D28" s="3"/>
      <c r="E28" s="3" t="s">
        <v>652</v>
      </c>
    </row>
    <row r="29" spans="1:5" ht="54.95" customHeight="1" x14ac:dyDescent="0.2">
      <c r="A29" s="3" t="s">
        <v>241</v>
      </c>
      <c r="B29" s="3">
        <v>28</v>
      </c>
      <c r="C29" s="3" t="s">
        <v>246</v>
      </c>
      <c r="D29" s="3"/>
      <c r="E29" s="3" t="s">
        <v>653</v>
      </c>
    </row>
    <row r="30" spans="1:5" ht="42" customHeight="1" x14ac:dyDescent="0.2">
      <c r="A30" s="3" t="s">
        <v>248</v>
      </c>
      <c r="B30" s="3">
        <v>29</v>
      </c>
      <c r="C30" s="3" t="s">
        <v>252</v>
      </c>
      <c r="D30" s="3"/>
      <c r="E30" s="3" t="s">
        <v>654</v>
      </c>
    </row>
    <row r="31" spans="1:5" ht="185.1" customHeight="1" x14ac:dyDescent="0.2">
      <c r="A31" s="3" t="s">
        <v>254</v>
      </c>
      <c r="B31" s="3">
        <v>30</v>
      </c>
      <c r="C31" s="3" t="s">
        <v>258</v>
      </c>
      <c r="D31" s="3"/>
      <c r="E31" s="3" t="s">
        <v>655</v>
      </c>
    </row>
    <row r="32" spans="1:5" ht="39.950000000000003" customHeight="1" x14ac:dyDescent="0.2">
      <c r="A32" s="3" t="s">
        <v>260</v>
      </c>
      <c r="B32" s="3">
        <v>31</v>
      </c>
      <c r="C32" s="3" t="s">
        <v>264</v>
      </c>
      <c r="D32" s="3"/>
      <c r="E32" s="3" t="s">
        <v>261</v>
      </c>
    </row>
    <row r="33" spans="1:5" ht="68.099999999999994" customHeight="1" x14ac:dyDescent="0.2">
      <c r="A33" s="3" t="s">
        <v>266</v>
      </c>
      <c r="B33" s="3">
        <v>32</v>
      </c>
      <c r="C33" s="3" t="s">
        <v>272</v>
      </c>
      <c r="D33" s="3" t="s">
        <v>273</v>
      </c>
      <c r="E33" s="3" t="s">
        <v>656</v>
      </c>
    </row>
    <row r="34" spans="1:5" ht="39.950000000000003" customHeight="1" x14ac:dyDescent="0.2">
      <c r="A34" s="3" t="s">
        <v>276</v>
      </c>
      <c r="B34" s="3">
        <v>33</v>
      </c>
      <c r="C34" s="3" t="s">
        <v>280</v>
      </c>
      <c r="D34" s="3"/>
      <c r="E34" s="3" t="s">
        <v>277</v>
      </c>
    </row>
    <row r="35" spans="1:5" ht="42" customHeight="1" x14ac:dyDescent="0.2">
      <c r="A35" s="3" t="s">
        <v>283</v>
      </c>
      <c r="B35" s="3">
        <v>34</v>
      </c>
      <c r="C35" s="3" t="s">
        <v>288</v>
      </c>
      <c r="D35" s="3"/>
      <c r="E35" s="3" t="s">
        <v>657</v>
      </c>
    </row>
    <row r="36" spans="1:5" ht="42" customHeight="1" x14ac:dyDescent="0.2">
      <c r="A36" s="3" t="s">
        <v>290</v>
      </c>
      <c r="B36" s="3">
        <v>35</v>
      </c>
      <c r="C36" s="3" t="s">
        <v>294</v>
      </c>
      <c r="D36" s="3"/>
      <c r="E36" s="3" t="s">
        <v>658</v>
      </c>
    </row>
    <row r="37" spans="1:5" ht="39.950000000000003" customHeight="1" x14ac:dyDescent="0.2">
      <c r="A37" s="3" t="s">
        <v>296</v>
      </c>
      <c r="B37" s="3">
        <v>36</v>
      </c>
      <c r="C37" s="3" t="s">
        <v>300</v>
      </c>
      <c r="D37" s="3"/>
      <c r="E37" s="3" t="s">
        <v>297</v>
      </c>
    </row>
    <row r="38" spans="1:5" ht="42" customHeight="1" x14ac:dyDescent="0.2">
      <c r="A38" s="3" t="s">
        <v>302</v>
      </c>
      <c r="B38" s="3">
        <v>37</v>
      </c>
      <c r="C38" s="3" t="s">
        <v>308</v>
      </c>
      <c r="D38" s="3"/>
      <c r="E38" s="3" t="s">
        <v>659</v>
      </c>
    </row>
    <row r="39" spans="1:5" ht="39.950000000000003" customHeight="1" x14ac:dyDescent="0.2">
      <c r="A39" s="3" t="s">
        <v>310</v>
      </c>
      <c r="B39" s="3">
        <v>38</v>
      </c>
      <c r="C39" s="3" t="s">
        <v>314</v>
      </c>
      <c r="D39" s="3"/>
      <c r="E39" s="3" t="s">
        <v>311</v>
      </c>
    </row>
    <row r="40" spans="1:5" ht="39.950000000000003" customHeight="1" x14ac:dyDescent="0.2">
      <c r="A40" s="3" t="s">
        <v>317</v>
      </c>
      <c r="B40" s="3">
        <v>39</v>
      </c>
      <c r="C40" s="3" t="s">
        <v>321</v>
      </c>
      <c r="D40" s="3"/>
      <c r="E40" s="3" t="s">
        <v>318</v>
      </c>
    </row>
    <row r="41" spans="1:5" ht="42" customHeight="1" x14ac:dyDescent="0.2">
      <c r="A41" s="3" t="s">
        <v>323</v>
      </c>
      <c r="B41" s="3">
        <v>40</v>
      </c>
      <c r="C41" s="3" t="s">
        <v>327</v>
      </c>
      <c r="D41" s="3"/>
      <c r="E41" s="3" t="s">
        <v>660</v>
      </c>
    </row>
    <row r="42" spans="1:5" ht="42" customHeight="1" x14ac:dyDescent="0.2">
      <c r="A42" s="3" t="s">
        <v>329</v>
      </c>
      <c r="B42" s="3">
        <v>41</v>
      </c>
      <c r="C42" s="3" t="s">
        <v>333</v>
      </c>
      <c r="D42" s="3"/>
      <c r="E42" s="3" t="s">
        <v>661</v>
      </c>
    </row>
    <row r="43" spans="1:5" ht="107.1" customHeight="1" x14ac:dyDescent="0.2">
      <c r="A43" s="3" t="s">
        <v>335</v>
      </c>
      <c r="B43" s="3">
        <v>42</v>
      </c>
      <c r="C43" s="3" t="s">
        <v>340</v>
      </c>
      <c r="D43" s="3"/>
      <c r="E43" s="3" t="s">
        <v>662</v>
      </c>
    </row>
    <row r="44" spans="1:5" ht="39.950000000000003" customHeight="1" x14ac:dyDescent="0.2">
      <c r="A44" s="3" t="s">
        <v>342</v>
      </c>
      <c r="B44" s="3">
        <v>43</v>
      </c>
      <c r="C44" s="3" t="s">
        <v>346</v>
      </c>
      <c r="D44" s="3"/>
      <c r="E44" s="3" t="s">
        <v>343</v>
      </c>
    </row>
    <row r="45" spans="1:5" ht="42" customHeight="1" x14ac:dyDescent="0.2">
      <c r="A45" s="3" t="s">
        <v>348</v>
      </c>
      <c r="B45" s="3">
        <v>44</v>
      </c>
      <c r="C45" s="3" t="s">
        <v>353</v>
      </c>
      <c r="D45" s="3"/>
      <c r="E45" s="3" t="s">
        <v>663</v>
      </c>
    </row>
    <row r="46" spans="1:5" ht="93.95" customHeight="1" x14ac:dyDescent="0.2">
      <c r="A46" s="3" t="s">
        <v>355</v>
      </c>
      <c r="B46" s="3">
        <v>45</v>
      </c>
      <c r="C46" s="3" t="s">
        <v>358</v>
      </c>
      <c r="D46" s="3" t="s">
        <v>359</v>
      </c>
      <c r="E46" s="3" t="s">
        <v>664</v>
      </c>
    </row>
    <row r="47" spans="1:5" ht="276" customHeight="1" x14ac:dyDescent="0.2">
      <c r="A47" s="3" t="s">
        <v>360</v>
      </c>
      <c r="B47" s="3">
        <v>46</v>
      </c>
      <c r="C47" s="3" t="s">
        <v>365</v>
      </c>
      <c r="D47" s="3" t="s">
        <v>366</v>
      </c>
      <c r="E47" s="3" t="s">
        <v>665</v>
      </c>
    </row>
    <row r="48" spans="1:5" ht="39.950000000000003" customHeight="1" x14ac:dyDescent="0.2">
      <c r="A48" s="3" t="s">
        <v>368</v>
      </c>
      <c r="B48" s="3">
        <v>47</v>
      </c>
      <c r="C48" s="3" t="s">
        <v>371</v>
      </c>
      <c r="D48" s="3" t="s">
        <v>366</v>
      </c>
      <c r="E48" s="3" t="s">
        <v>369</v>
      </c>
    </row>
    <row r="49" spans="1:5" ht="185.1" customHeight="1" x14ac:dyDescent="0.2">
      <c r="A49" s="3" t="s">
        <v>372</v>
      </c>
      <c r="B49" s="3">
        <v>48</v>
      </c>
      <c r="C49" s="3" t="s">
        <v>377</v>
      </c>
      <c r="D49" s="3" t="s">
        <v>379</v>
      </c>
      <c r="E49" s="3" t="s">
        <v>666</v>
      </c>
    </row>
    <row r="50" spans="1:5" ht="42" customHeight="1" x14ac:dyDescent="0.2">
      <c r="A50" s="3" t="s">
        <v>380</v>
      </c>
      <c r="B50" s="3">
        <v>49</v>
      </c>
      <c r="C50" s="3" t="s">
        <v>384</v>
      </c>
      <c r="D50" s="3" t="s">
        <v>366</v>
      </c>
      <c r="E50" s="3" t="s">
        <v>667</v>
      </c>
    </row>
    <row r="51" spans="1:5" ht="54.95" customHeight="1" x14ac:dyDescent="0.2">
      <c r="A51" s="3" t="s">
        <v>385</v>
      </c>
      <c r="B51" s="3">
        <v>50</v>
      </c>
      <c r="C51" s="3" t="s">
        <v>391</v>
      </c>
      <c r="D51" s="3" t="s">
        <v>366</v>
      </c>
      <c r="E51" s="3" t="s">
        <v>668</v>
      </c>
    </row>
    <row r="52" spans="1:5" ht="42" customHeight="1" x14ac:dyDescent="0.2">
      <c r="A52" s="3" t="s">
        <v>392</v>
      </c>
      <c r="B52" s="3">
        <v>51</v>
      </c>
      <c r="C52" s="3" t="s">
        <v>396</v>
      </c>
      <c r="D52" s="3" t="s">
        <v>359</v>
      </c>
      <c r="E52" s="3" t="s">
        <v>669</v>
      </c>
    </row>
    <row r="53" spans="1:5" ht="81" customHeight="1" x14ac:dyDescent="0.2">
      <c r="A53" s="3" t="s">
        <v>397</v>
      </c>
      <c r="B53" s="3">
        <v>52</v>
      </c>
      <c r="C53" s="3" t="s">
        <v>402</v>
      </c>
      <c r="D53" s="3" t="s">
        <v>403</v>
      </c>
      <c r="E53" s="3" t="s">
        <v>670</v>
      </c>
    </row>
    <row r="54" spans="1:5" ht="54.95" customHeight="1" x14ac:dyDescent="0.2">
      <c r="A54" s="3" t="s">
        <v>404</v>
      </c>
      <c r="B54" s="3">
        <v>53</v>
      </c>
      <c r="C54" s="3" t="s">
        <v>408</v>
      </c>
      <c r="D54" s="3" t="s">
        <v>359</v>
      </c>
      <c r="E54" s="3" t="s">
        <v>671</v>
      </c>
    </row>
    <row r="55" spans="1:5" ht="39.950000000000003" customHeight="1" x14ac:dyDescent="0.2">
      <c r="A55" s="3" t="s">
        <v>410</v>
      </c>
      <c r="B55" s="3">
        <v>54</v>
      </c>
      <c r="C55" s="3" t="s">
        <v>413</v>
      </c>
      <c r="D55" s="3"/>
      <c r="E55" s="3" t="s">
        <v>216</v>
      </c>
    </row>
    <row r="56" spans="1:5" ht="39.950000000000003" customHeight="1" x14ac:dyDescent="0.2">
      <c r="A56" s="3" t="s">
        <v>415</v>
      </c>
      <c r="B56" s="3">
        <v>55</v>
      </c>
      <c r="C56" s="3" t="s">
        <v>419</v>
      </c>
      <c r="D56" s="3" t="s">
        <v>359</v>
      </c>
      <c r="E56" s="3" t="s">
        <v>416</v>
      </c>
    </row>
    <row r="57" spans="1:5" ht="54.95" customHeight="1" x14ac:dyDescent="0.2">
      <c r="A57" s="3" t="s">
        <v>421</v>
      </c>
      <c r="B57" s="3">
        <v>56</v>
      </c>
      <c r="C57" s="3" t="s">
        <v>426</v>
      </c>
      <c r="D57" s="3" t="s">
        <v>359</v>
      </c>
      <c r="E57" s="3" t="s">
        <v>672</v>
      </c>
    </row>
    <row r="58" spans="1:5" ht="42" customHeight="1" x14ac:dyDescent="0.2">
      <c r="A58" s="3" t="s">
        <v>428</v>
      </c>
      <c r="B58" s="3">
        <v>57</v>
      </c>
      <c r="C58" s="3" t="s">
        <v>432</v>
      </c>
      <c r="D58" s="3"/>
      <c r="E58" s="3" t="s">
        <v>673</v>
      </c>
    </row>
    <row r="59" spans="1:5" ht="39.950000000000003" customHeight="1" x14ac:dyDescent="0.2">
      <c r="A59" s="3" t="s">
        <v>434</v>
      </c>
      <c r="B59" s="3">
        <v>58</v>
      </c>
      <c r="C59" s="3" t="s">
        <v>438</v>
      </c>
      <c r="D59" s="3"/>
      <c r="E59" s="3" t="s">
        <v>435</v>
      </c>
    </row>
    <row r="60" spans="1:5" ht="132.94999999999999" customHeight="1" x14ac:dyDescent="0.2">
      <c r="A60" s="3" t="s">
        <v>440</v>
      </c>
      <c r="B60" s="3">
        <v>59</v>
      </c>
      <c r="C60" s="3" t="s">
        <v>444</v>
      </c>
      <c r="D60" s="3"/>
      <c r="E60" s="3" t="s">
        <v>674</v>
      </c>
    </row>
    <row r="61" spans="1:5" ht="42" customHeight="1" x14ac:dyDescent="0.2">
      <c r="A61" s="3" t="s">
        <v>446</v>
      </c>
      <c r="B61" s="3">
        <v>60</v>
      </c>
      <c r="C61" s="3" t="s">
        <v>450</v>
      </c>
      <c r="D61" s="3"/>
      <c r="E61" s="3" t="s">
        <v>675</v>
      </c>
    </row>
    <row r="62" spans="1:5" ht="39.950000000000003" customHeight="1" x14ac:dyDescent="0.2">
      <c r="A62" s="3" t="s">
        <v>452</v>
      </c>
      <c r="B62" s="3">
        <v>61</v>
      </c>
      <c r="C62" s="3" t="s">
        <v>456</v>
      </c>
      <c r="D62" s="3" t="s">
        <v>458</v>
      </c>
      <c r="E62" s="3" t="s">
        <v>453</v>
      </c>
    </row>
    <row r="63" spans="1:5" ht="42" customHeight="1" x14ac:dyDescent="0.2">
      <c r="A63" s="3" t="s">
        <v>459</v>
      </c>
      <c r="B63" s="3">
        <v>62</v>
      </c>
      <c r="C63" s="3" t="s">
        <v>463</v>
      </c>
      <c r="D63" s="3" t="s">
        <v>465</v>
      </c>
      <c r="E63" s="3" t="s">
        <v>460</v>
      </c>
    </row>
    <row r="64" spans="1:5" ht="39.950000000000003" customHeight="1" x14ac:dyDescent="0.2">
      <c r="A64" s="3" t="s">
        <v>466</v>
      </c>
      <c r="B64" s="3">
        <v>63</v>
      </c>
      <c r="C64" s="3" t="s">
        <v>469</v>
      </c>
      <c r="D64" s="3"/>
      <c r="E64" s="3" t="s">
        <v>216</v>
      </c>
    </row>
    <row r="65" spans="1:5" ht="39.950000000000003" customHeight="1" x14ac:dyDescent="0.2">
      <c r="A65" s="3" t="s">
        <v>471</v>
      </c>
      <c r="B65" s="3">
        <v>64</v>
      </c>
      <c r="C65" s="3" t="s">
        <v>475</v>
      </c>
      <c r="D65" s="3"/>
      <c r="E65" s="3" t="s">
        <v>472</v>
      </c>
    </row>
    <row r="66" spans="1:5" ht="39.950000000000003" customHeight="1" x14ac:dyDescent="0.2">
      <c r="A66" s="3" t="s">
        <v>477</v>
      </c>
      <c r="B66" s="3">
        <v>65</v>
      </c>
      <c r="C66" s="3" t="s">
        <v>480</v>
      </c>
      <c r="D66" s="3"/>
      <c r="E66" s="3" t="s">
        <v>216</v>
      </c>
    </row>
    <row r="67" spans="1:5" ht="224.1" customHeight="1" x14ac:dyDescent="0.2">
      <c r="A67" s="3" t="s">
        <v>482</v>
      </c>
      <c r="B67" s="3">
        <v>66</v>
      </c>
      <c r="C67" s="3" t="s">
        <v>486</v>
      </c>
      <c r="D67" s="3"/>
      <c r="E67" s="3" t="s">
        <v>676</v>
      </c>
    </row>
    <row r="68" spans="1:5" ht="42" customHeight="1" x14ac:dyDescent="0.2">
      <c r="A68" s="3" t="s">
        <v>488</v>
      </c>
      <c r="B68" s="3">
        <v>67</v>
      </c>
      <c r="C68" s="3" t="s">
        <v>492</v>
      </c>
      <c r="D68" s="3" t="s">
        <v>366</v>
      </c>
      <c r="E68" s="3" t="s">
        <v>677</v>
      </c>
    </row>
    <row r="69" spans="1:5" ht="39.950000000000003" customHeight="1" x14ac:dyDescent="0.2">
      <c r="A69" s="3" t="s">
        <v>495</v>
      </c>
      <c r="B69" s="3">
        <v>68</v>
      </c>
      <c r="C69" s="3" t="s">
        <v>499</v>
      </c>
      <c r="D69" s="3"/>
      <c r="E69" s="3" t="s">
        <v>496</v>
      </c>
    </row>
    <row r="70" spans="1:5" ht="42" customHeight="1" x14ac:dyDescent="0.2">
      <c r="A70" s="3" t="s">
        <v>501</v>
      </c>
      <c r="B70" s="3">
        <v>69</v>
      </c>
      <c r="C70" s="3" t="s">
        <v>505</v>
      </c>
      <c r="D70" s="3"/>
      <c r="E70" s="3" t="s">
        <v>678</v>
      </c>
    </row>
    <row r="71" spans="1:5" ht="39.950000000000003" customHeight="1" x14ac:dyDescent="0.2">
      <c r="A71" s="3" t="s">
        <v>507</v>
      </c>
      <c r="B71" s="3">
        <v>70</v>
      </c>
      <c r="C71" s="3" t="s">
        <v>511</v>
      </c>
      <c r="D71" s="3"/>
      <c r="E71" s="3" t="s">
        <v>508</v>
      </c>
    </row>
    <row r="72" spans="1:5" ht="39.950000000000003" customHeight="1" x14ac:dyDescent="0.2">
      <c r="A72" s="3" t="s">
        <v>513</v>
      </c>
      <c r="B72" s="3">
        <v>71</v>
      </c>
      <c r="C72" s="3" t="s">
        <v>517</v>
      </c>
      <c r="D72" s="3"/>
      <c r="E72" s="3" t="s">
        <v>514</v>
      </c>
    </row>
    <row r="73" spans="1:5" ht="39.950000000000003" customHeight="1" x14ac:dyDescent="0.2">
      <c r="A73" s="3" t="s">
        <v>519</v>
      </c>
      <c r="B73" s="3">
        <v>72</v>
      </c>
      <c r="C73" s="3" t="s">
        <v>523</v>
      </c>
      <c r="D73" s="3"/>
      <c r="E73" s="3" t="s">
        <v>520</v>
      </c>
    </row>
    <row r="74" spans="1:5" ht="39.950000000000003" customHeight="1" x14ac:dyDescent="0.2">
      <c r="A74" s="3" t="s">
        <v>525</v>
      </c>
      <c r="B74" s="3">
        <v>73</v>
      </c>
      <c r="C74" s="3" t="s">
        <v>530</v>
      </c>
      <c r="D74" s="3"/>
      <c r="E74" s="3" t="s">
        <v>526</v>
      </c>
    </row>
    <row r="75" spans="1:5" ht="39.950000000000003" customHeight="1" x14ac:dyDescent="0.2">
      <c r="A75" s="3" t="s">
        <v>532</v>
      </c>
      <c r="B75" s="3">
        <v>74</v>
      </c>
      <c r="C75" s="3" t="s">
        <v>535</v>
      </c>
      <c r="D75" s="3"/>
      <c r="E75" s="3" t="s">
        <v>216</v>
      </c>
    </row>
    <row r="76" spans="1:5" ht="42" customHeight="1" x14ac:dyDescent="0.2">
      <c r="A76" s="3" t="s">
        <v>537</v>
      </c>
      <c r="B76" s="3">
        <v>75</v>
      </c>
      <c r="C76" s="3" t="s">
        <v>541</v>
      </c>
      <c r="D76" s="3"/>
      <c r="E76" s="3" t="s">
        <v>679</v>
      </c>
    </row>
    <row r="77" spans="1:5" ht="39.950000000000003" customHeight="1" x14ac:dyDescent="0.2">
      <c r="A77" s="3" t="s">
        <v>543</v>
      </c>
      <c r="B77" s="3">
        <v>76</v>
      </c>
      <c r="C77" s="3" t="s">
        <v>546</v>
      </c>
      <c r="D77" s="3" t="s">
        <v>359</v>
      </c>
      <c r="E77" s="3" t="s">
        <v>544</v>
      </c>
    </row>
    <row r="78" spans="1:5" ht="39.950000000000003" customHeight="1" x14ac:dyDescent="0.2">
      <c r="A78" s="3" t="s">
        <v>548</v>
      </c>
      <c r="B78" s="3">
        <v>77</v>
      </c>
      <c r="C78" s="3" t="s">
        <v>551</v>
      </c>
      <c r="D78" s="3" t="s">
        <v>359</v>
      </c>
      <c r="E78" s="3" t="s">
        <v>544</v>
      </c>
    </row>
    <row r="79" spans="1:5" ht="39.950000000000003" customHeight="1" x14ac:dyDescent="0.2">
      <c r="A79" s="3" t="s">
        <v>552</v>
      </c>
      <c r="B79" s="3">
        <v>78</v>
      </c>
      <c r="C79" s="3" t="s">
        <v>555</v>
      </c>
      <c r="D79" s="3"/>
      <c r="E79" s="3" t="s">
        <v>216</v>
      </c>
    </row>
    <row r="80" spans="1:5" ht="408.95" customHeight="1" x14ac:dyDescent="0.2">
      <c r="A80" s="3" t="s">
        <v>558</v>
      </c>
      <c r="B80" s="3">
        <v>79</v>
      </c>
      <c r="C80" s="3" t="s">
        <v>562</v>
      </c>
      <c r="D80" s="3"/>
      <c r="E80" s="3" t="s">
        <v>680</v>
      </c>
    </row>
    <row r="81" spans="1:5" ht="39.950000000000003" customHeight="1" x14ac:dyDescent="0.2">
      <c r="A81" s="3" t="s">
        <v>565</v>
      </c>
      <c r="B81" s="3">
        <v>80</v>
      </c>
      <c r="C81" s="3" t="s">
        <v>569</v>
      </c>
      <c r="D81" s="3"/>
      <c r="E81" s="3" t="s">
        <v>566</v>
      </c>
    </row>
    <row r="82" spans="1:5" ht="54.95" customHeight="1" x14ac:dyDescent="0.2">
      <c r="A82" s="3" t="s">
        <v>571</v>
      </c>
      <c r="B82" s="3">
        <v>81</v>
      </c>
      <c r="C82" s="3" t="s">
        <v>575</v>
      </c>
      <c r="D82" s="3"/>
      <c r="E82" s="3" t="s">
        <v>681</v>
      </c>
    </row>
    <row r="83" spans="1:5" ht="42" customHeight="1" x14ac:dyDescent="0.2">
      <c r="A83" s="3" t="s">
        <v>577</v>
      </c>
      <c r="B83" s="3">
        <v>82</v>
      </c>
      <c r="C83" s="3" t="s">
        <v>580</v>
      </c>
      <c r="D83" s="3"/>
      <c r="E83" s="3" t="s">
        <v>682</v>
      </c>
    </row>
    <row r="84" spans="1:5" ht="132.94999999999999" customHeight="1" x14ac:dyDescent="0.2">
      <c r="A84" s="3" t="s">
        <v>581</v>
      </c>
      <c r="B84" s="3">
        <v>83</v>
      </c>
      <c r="C84" s="3" t="s">
        <v>586</v>
      </c>
      <c r="D84" s="3"/>
      <c r="E84" s="3" t="s">
        <v>683</v>
      </c>
    </row>
    <row r="85" spans="1:5" ht="120" customHeight="1" x14ac:dyDescent="0.2">
      <c r="A85" s="3" t="s">
        <v>588</v>
      </c>
      <c r="B85" s="3">
        <v>84</v>
      </c>
      <c r="C85" s="3" t="s">
        <v>594</v>
      </c>
      <c r="D85" s="3"/>
      <c r="E85" s="3" t="s">
        <v>684</v>
      </c>
    </row>
    <row r="86" spans="1:5" ht="93.95" customHeight="1" x14ac:dyDescent="0.2">
      <c r="A86" s="3" t="s">
        <v>596</v>
      </c>
      <c r="B86" s="3">
        <v>85</v>
      </c>
      <c r="C86" s="3" t="s">
        <v>602</v>
      </c>
      <c r="D86" s="3"/>
      <c r="E86" s="3" t="s">
        <v>685</v>
      </c>
    </row>
    <row r="87" spans="1:5" ht="42" customHeight="1" x14ac:dyDescent="0.2">
      <c r="A87" s="3" t="s">
        <v>604</v>
      </c>
      <c r="B87" s="3">
        <v>86</v>
      </c>
      <c r="C87" s="3" t="s">
        <v>608</v>
      </c>
      <c r="D87" s="3"/>
      <c r="E87" s="3" t="s">
        <v>686</v>
      </c>
    </row>
    <row r="88" spans="1:5" ht="54.95" customHeight="1" x14ac:dyDescent="0.2">
      <c r="A88" s="3" t="s">
        <v>610</v>
      </c>
      <c r="B88" s="3">
        <v>87</v>
      </c>
      <c r="C88" s="3" t="s">
        <v>614</v>
      </c>
      <c r="D88" s="3"/>
      <c r="E88" s="3" t="s">
        <v>687</v>
      </c>
    </row>
    <row r="89" spans="1:5" ht="54.95" customHeight="1" x14ac:dyDescent="0.2">
      <c r="A89" s="3" t="s">
        <v>616</v>
      </c>
      <c r="B89" s="3">
        <v>88</v>
      </c>
      <c r="C89" s="3" t="s">
        <v>620</v>
      </c>
      <c r="D89" s="3" t="s">
        <v>622</v>
      </c>
      <c r="E89" s="3" t="s">
        <v>688</v>
      </c>
    </row>
    <row r="90" spans="1:5" ht="68.099999999999994" customHeight="1" x14ac:dyDescent="0.2">
      <c r="A90" s="3" t="s">
        <v>623</v>
      </c>
      <c r="B90" s="3">
        <v>89</v>
      </c>
      <c r="C90" s="3" t="s">
        <v>629</v>
      </c>
      <c r="D90" s="3" t="s">
        <v>366</v>
      </c>
      <c r="E90" s="3" t="s">
        <v>689</v>
      </c>
    </row>
    <row r="91" spans="1:5" ht="42" customHeight="1" x14ac:dyDescent="0.2">
      <c r="A91" s="3" t="s">
        <v>631</v>
      </c>
      <c r="B91" s="3">
        <v>90</v>
      </c>
      <c r="C91" s="3" t="s">
        <v>636</v>
      </c>
      <c r="D91" s="3"/>
      <c r="E91" s="3" t="s">
        <v>690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0"/>
  <sheetViews>
    <sheetView workbookViewId="0"/>
  </sheetViews>
  <sheetFormatPr defaultRowHeight="14.25" x14ac:dyDescent="0.2"/>
  <cols>
    <col min="1" max="1" width="23" customWidth="1"/>
    <col min="2" max="2" width="31" customWidth="1"/>
    <col min="3" max="3" width="145" customWidth="1"/>
  </cols>
  <sheetData>
    <row r="1" spans="1:3" ht="36" customHeight="1" x14ac:dyDescent="0.2">
      <c r="A1" s="2" t="s">
        <v>691</v>
      </c>
      <c r="B1" s="2" t="s">
        <v>692</v>
      </c>
      <c r="C1" s="2" t="s">
        <v>693</v>
      </c>
    </row>
    <row r="2" spans="1:3" ht="44.1" customHeight="1" x14ac:dyDescent="0.2">
      <c r="A2" s="3" t="s">
        <v>694</v>
      </c>
      <c r="B2" s="3" t="s">
        <v>695</v>
      </c>
      <c r="C2" s="3" t="s">
        <v>696</v>
      </c>
    </row>
    <row r="3" spans="1:3" ht="44.1" customHeight="1" x14ac:dyDescent="0.2">
      <c r="A3" s="3" t="s">
        <v>694</v>
      </c>
      <c r="B3" s="3" t="s">
        <v>697</v>
      </c>
      <c r="C3" s="3" t="s">
        <v>698</v>
      </c>
    </row>
    <row r="4" spans="1:3" ht="44.1" customHeight="1" x14ac:dyDescent="0.2">
      <c r="A4" s="3" t="s">
        <v>694</v>
      </c>
      <c r="B4" s="3" t="s">
        <v>699</v>
      </c>
      <c r="C4" s="3" t="s">
        <v>700</v>
      </c>
    </row>
    <row r="5" spans="1:3" ht="44.1" customHeight="1" x14ac:dyDescent="0.2">
      <c r="A5" s="3" t="s">
        <v>694</v>
      </c>
      <c r="B5" s="3" t="s">
        <v>701</v>
      </c>
      <c r="C5" s="3" t="s">
        <v>702</v>
      </c>
    </row>
    <row r="6" spans="1:3" ht="44.1" customHeight="1" x14ac:dyDescent="0.2">
      <c r="A6" s="3" t="s">
        <v>694</v>
      </c>
      <c r="B6" s="3" t="s">
        <v>703</v>
      </c>
      <c r="C6" s="3" t="s">
        <v>704</v>
      </c>
    </row>
    <row r="7" spans="1:3" ht="44.1" customHeight="1" x14ac:dyDescent="0.2">
      <c r="A7" s="3" t="s">
        <v>694</v>
      </c>
      <c r="B7" s="3" t="s">
        <v>705</v>
      </c>
      <c r="C7" s="3" t="s">
        <v>706</v>
      </c>
    </row>
    <row r="8" spans="1:3" ht="44.1" customHeight="1" x14ac:dyDescent="0.2">
      <c r="A8" s="3" t="s">
        <v>694</v>
      </c>
      <c r="B8" s="3" t="s">
        <v>707</v>
      </c>
      <c r="C8" s="3" t="s">
        <v>708</v>
      </c>
    </row>
    <row r="9" spans="1:3" ht="44.1" customHeight="1" x14ac:dyDescent="0.2">
      <c r="A9" s="3" t="s">
        <v>694</v>
      </c>
      <c r="B9" s="3" t="s">
        <v>709</v>
      </c>
      <c r="C9" s="3" t="s">
        <v>710</v>
      </c>
    </row>
    <row r="10" spans="1:3" ht="44.1" customHeight="1" x14ac:dyDescent="0.2">
      <c r="A10" s="3" t="s">
        <v>694</v>
      </c>
      <c r="B10" s="3" t="s">
        <v>711</v>
      </c>
      <c r="C10" s="3" t="s">
        <v>712</v>
      </c>
    </row>
    <row r="11" spans="1:3" ht="42" customHeight="1" x14ac:dyDescent="0.2">
      <c r="A11" s="3" t="s">
        <v>694</v>
      </c>
      <c r="B11" s="3" t="s">
        <v>713</v>
      </c>
      <c r="C11" s="3" t="s">
        <v>714</v>
      </c>
    </row>
    <row r="12" spans="1:3" ht="44.1" customHeight="1" x14ac:dyDescent="0.2">
      <c r="A12" s="3" t="s">
        <v>694</v>
      </c>
      <c r="B12" s="3" t="s">
        <v>715</v>
      </c>
      <c r="C12" s="3" t="s">
        <v>716</v>
      </c>
    </row>
    <row r="13" spans="1:3" ht="44.1" customHeight="1" x14ac:dyDescent="0.2">
      <c r="A13" s="3" t="s">
        <v>694</v>
      </c>
      <c r="B13" s="3" t="s">
        <v>717</v>
      </c>
      <c r="C13" s="3" t="s">
        <v>718</v>
      </c>
    </row>
    <row r="14" spans="1:3" ht="44.1" customHeight="1" x14ac:dyDescent="0.2">
      <c r="A14" s="3" t="s">
        <v>694</v>
      </c>
      <c r="B14" s="3" t="s">
        <v>719</v>
      </c>
      <c r="C14" s="3" t="s">
        <v>720</v>
      </c>
    </row>
    <row r="15" spans="1:3" ht="44.1" customHeight="1" x14ac:dyDescent="0.2">
      <c r="A15" s="3" t="s">
        <v>694</v>
      </c>
      <c r="B15" s="3" t="s">
        <v>721</v>
      </c>
      <c r="C15" s="3" t="s">
        <v>722</v>
      </c>
    </row>
    <row r="16" spans="1:3" ht="44.1" customHeight="1" x14ac:dyDescent="0.2">
      <c r="A16" s="3" t="s">
        <v>694</v>
      </c>
      <c r="B16" s="3" t="s">
        <v>723</v>
      </c>
      <c r="C16" s="3" t="s">
        <v>724</v>
      </c>
    </row>
    <row r="17" spans="1:3" ht="44.1" customHeight="1" x14ac:dyDescent="0.2">
      <c r="A17" s="3" t="s">
        <v>694</v>
      </c>
      <c r="B17" s="3" t="s">
        <v>725</v>
      </c>
      <c r="C17" s="3" t="s">
        <v>726</v>
      </c>
    </row>
    <row r="18" spans="1:3" ht="44.1" customHeight="1" x14ac:dyDescent="0.2">
      <c r="A18" s="3" t="s">
        <v>694</v>
      </c>
      <c r="B18" s="3" t="s">
        <v>727</v>
      </c>
      <c r="C18" s="3" t="s">
        <v>728</v>
      </c>
    </row>
    <row r="19" spans="1:3" ht="42" customHeight="1" x14ac:dyDescent="0.2">
      <c r="A19" s="3" t="s">
        <v>2</v>
      </c>
      <c r="B19" s="3" t="s">
        <v>9</v>
      </c>
      <c r="C19" s="3" t="s">
        <v>729</v>
      </c>
    </row>
    <row r="20" spans="1:3" ht="42" customHeight="1" x14ac:dyDescent="0.2">
      <c r="A20" s="3" t="s">
        <v>2</v>
      </c>
      <c r="B20" s="3" t="s">
        <v>12</v>
      </c>
      <c r="C20" s="3" t="s">
        <v>730</v>
      </c>
    </row>
    <row r="21" spans="1:3" ht="42" customHeight="1" x14ac:dyDescent="0.2">
      <c r="A21" s="3" t="s">
        <v>2</v>
      </c>
      <c r="B21" s="3" t="s">
        <v>15</v>
      </c>
      <c r="C21" s="3" t="s">
        <v>731</v>
      </c>
    </row>
    <row r="22" spans="1:3" ht="42" customHeight="1" x14ac:dyDescent="0.2">
      <c r="A22" s="3" t="s">
        <v>2</v>
      </c>
      <c r="B22" s="3" t="s">
        <v>18</v>
      </c>
      <c r="C22" s="3" t="s">
        <v>732</v>
      </c>
    </row>
    <row r="23" spans="1:3" ht="42" customHeight="1" x14ac:dyDescent="0.2">
      <c r="A23" s="3" t="s">
        <v>2</v>
      </c>
      <c r="B23" s="3" t="s">
        <v>21</v>
      </c>
      <c r="C23" s="3" t="s">
        <v>733</v>
      </c>
    </row>
    <row r="24" spans="1:3" ht="44.1" customHeight="1" x14ac:dyDescent="0.2">
      <c r="A24" s="3" t="s">
        <v>2</v>
      </c>
      <c r="B24" s="3" t="s">
        <v>24</v>
      </c>
      <c r="C24" s="3" t="s">
        <v>734</v>
      </c>
    </row>
    <row r="25" spans="1:3" ht="42" customHeight="1" x14ac:dyDescent="0.2">
      <c r="A25" s="3" t="s">
        <v>2</v>
      </c>
      <c r="B25" s="3" t="s">
        <v>26</v>
      </c>
      <c r="C25" s="3" t="s">
        <v>735</v>
      </c>
    </row>
    <row r="26" spans="1:3" ht="44.1" customHeight="1" x14ac:dyDescent="0.2">
      <c r="A26" s="3" t="s">
        <v>2</v>
      </c>
      <c r="B26" s="3" t="s">
        <v>28</v>
      </c>
      <c r="C26" s="3" t="s">
        <v>736</v>
      </c>
    </row>
    <row r="27" spans="1:3" ht="42" customHeight="1" x14ac:dyDescent="0.2">
      <c r="A27" s="3" t="s">
        <v>5</v>
      </c>
      <c r="B27" s="3" t="s">
        <v>10</v>
      </c>
      <c r="C27" s="3" t="s">
        <v>737</v>
      </c>
    </row>
    <row r="28" spans="1:3" ht="42" customHeight="1" x14ac:dyDescent="0.2">
      <c r="A28" s="3" t="s">
        <v>5</v>
      </c>
      <c r="B28" s="3" t="s">
        <v>13</v>
      </c>
      <c r="C28" s="3" t="s">
        <v>738</v>
      </c>
    </row>
    <row r="29" spans="1:3" ht="42" customHeight="1" x14ac:dyDescent="0.2">
      <c r="A29" s="3" t="s">
        <v>5</v>
      </c>
      <c r="B29" s="3" t="s">
        <v>16</v>
      </c>
      <c r="C29" s="3" t="s">
        <v>739</v>
      </c>
    </row>
    <row r="30" spans="1:3" ht="42" customHeight="1" x14ac:dyDescent="0.2">
      <c r="A30" s="3" t="s">
        <v>5</v>
      </c>
      <c r="B30" s="3" t="s">
        <v>19</v>
      </c>
      <c r="C30" s="3" t="s">
        <v>740</v>
      </c>
    </row>
    <row r="31" spans="1:3" ht="42" customHeight="1" x14ac:dyDescent="0.2">
      <c r="A31" s="3" t="s">
        <v>5</v>
      </c>
      <c r="B31" s="3" t="s">
        <v>22</v>
      </c>
      <c r="C31" s="3" t="s">
        <v>741</v>
      </c>
    </row>
    <row r="32" spans="1:3" ht="44.1" customHeight="1" x14ac:dyDescent="0.2">
      <c r="A32" s="3" t="s">
        <v>8</v>
      </c>
      <c r="B32" s="3" t="s">
        <v>11</v>
      </c>
      <c r="C32" s="3" t="s">
        <v>742</v>
      </c>
    </row>
    <row r="33" spans="1:3" ht="42" customHeight="1" x14ac:dyDescent="0.2">
      <c r="A33" s="3" t="s">
        <v>8</v>
      </c>
      <c r="B33" s="3" t="s">
        <v>14</v>
      </c>
      <c r="C33" s="3" t="s">
        <v>743</v>
      </c>
    </row>
    <row r="34" spans="1:3" ht="42" customHeight="1" x14ac:dyDescent="0.2">
      <c r="A34" s="3" t="s">
        <v>8</v>
      </c>
      <c r="B34" s="3" t="s">
        <v>17</v>
      </c>
      <c r="C34" s="3" t="s">
        <v>744</v>
      </c>
    </row>
    <row r="35" spans="1:3" ht="44.1" customHeight="1" x14ac:dyDescent="0.2">
      <c r="A35" s="3" t="s">
        <v>8</v>
      </c>
      <c r="B35" s="3" t="s">
        <v>20</v>
      </c>
      <c r="C35" s="3" t="s">
        <v>745</v>
      </c>
    </row>
    <row r="36" spans="1:3" ht="42" customHeight="1" x14ac:dyDescent="0.2">
      <c r="A36" s="3" t="s">
        <v>8</v>
      </c>
      <c r="B36" s="3" t="s">
        <v>23</v>
      </c>
      <c r="C36" s="3" t="s">
        <v>746</v>
      </c>
    </row>
    <row r="37" spans="1:3" ht="42" customHeight="1" x14ac:dyDescent="0.2">
      <c r="A37" s="3" t="s">
        <v>8</v>
      </c>
      <c r="B37" s="3" t="s">
        <v>25</v>
      </c>
      <c r="C37" s="3" t="s">
        <v>747</v>
      </c>
    </row>
    <row r="38" spans="1:3" ht="42" customHeight="1" x14ac:dyDescent="0.2">
      <c r="A38" s="3" t="s">
        <v>8</v>
      </c>
      <c r="B38" s="3" t="s">
        <v>27</v>
      </c>
      <c r="C38" s="3" t="s">
        <v>748</v>
      </c>
    </row>
    <row r="39" spans="1:3" ht="44.1" customHeight="1" x14ac:dyDescent="0.2">
      <c r="A39" s="3" t="s">
        <v>749</v>
      </c>
      <c r="B39" s="3" t="s">
        <v>750</v>
      </c>
      <c r="C39" s="3" t="s">
        <v>751</v>
      </c>
    </row>
    <row r="40" spans="1:3" ht="44.1" customHeight="1" x14ac:dyDescent="0.2">
      <c r="A40" s="3" t="s">
        <v>749</v>
      </c>
      <c r="B40" s="3" t="s">
        <v>752</v>
      </c>
      <c r="C40" s="3" t="s">
        <v>753</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eaab77ea-b4a5-49e3-a1e8-d6dd23a1f286}" enabled="0" method="" siteId="{eaab77ea-b4a5-49e3-a1e8-d6dd23a1f28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Coding</vt:lpstr>
      <vt:lpstr>Human prompts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Vahid Garousi</cp:lastModifiedBy>
  <dcterms:modified xsi:type="dcterms:W3CDTF">2026-10-05T21:22:17Z</dcterms:modified>
</cp:coreProperties>
</file>