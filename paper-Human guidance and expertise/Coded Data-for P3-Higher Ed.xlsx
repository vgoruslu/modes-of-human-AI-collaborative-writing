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qubstudentcloud-my.sharepoint.com/personal/3054738_ads_qub_ac_uk/Documents/my_drafts/A-IN PREPARATION (WRITING)/just AI/AI research &amp; writing/3-Human Expertise/Analyzed XLSs/"/>
    </mc:Choice>
  </mc:AlternateContent>
  <xr:revisionPtr revIDLastSave="4" documentId="11_5A68900829DCCF0B8097C0D49A2692FBDCF413B5" xr6:coauthVersionLast="47" xr6:coauthVersionMax="47" xr10:uidLastSave="{664232F3-C718-4E68-A355-4E51B66C7B9C}"/>
  <bookViews>
    <workbookView xWindow="-120" yWindow="-120" windowWidth="29040" windowHeight="15720" xr2:uid="{00000000-000D-0000-FFFF-FFFF00000000}"/>
  </bookViews>
  <sheets>
    <sheet name="Summary" sheetId="1" r:id="rId1"/>
    <sheet name="Coding" sheetId="2" r:id="rId2"/>
    <sheet name="Human prompts" sheetId="3" r:id="rId3"/>
    <sheet name="Codebook"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120" i="2" l="1"/>
  <c r="AE120" i="2"/>
  <c r="AD120" i="2"/>
  <c r="AC120" i="2"/>
  <c r="AB120" i="2"/>
  <c r="AA120" i="2"/>
  <c r="Z120" i="2"/>
  <c r="Y120" i="2"/>
  <c r="X120" i="2"/>
  <c r="W120" i="2"/>
  <c r="V120" i="2"/>
  <c r="U120" i="2"/>
  <c r="T120" i="2"/>
  <c r="S120" i="2"/>
  <c r="R120" i="2"/>
  <c r="Q120" i="2"/>
  <c r="P120" i="2" s="1"/>
  <c r="AF119" i="2"/>
  <c r="AE119" i="2"/>
  <c r="AD119" i="2"/>
  <c r="AC119" i="2"/>
  <c r="AB119" i="2"/>
  <c r="AA119" i="2"/>
  <c r="Z119" i="2"/>
  <c r="Y119" i="2"/>
  <c r="X119" i="2"/>
  <c r="W119" i="2"/>
  <c r="V119" i="2"/>
  <c r="U119" i="2"/>
  <c r="T119" i="2"/>
  <c r="S119" i="2"/>
  <c r="R119" i="2"/>
  <c r="Q119" i="2"/>
  <c r="P119" i="2" s="1"/>
  <c r="AF118" i="2"/>
  <c r="AE118" i="2"/>
  <c r="AD118" i="2"/>
  <c r="AC118" i="2"/>
  <c r="AB118" i="2"/>
  <c r="AA118" i="2"/>
  <c r="Z118" i="2"/>
  <c r="Y118" i="2" s="1"/>
  <c r="X118" i="2"/>
  <c r="W118" i="2"/>
  <c r="V118" i="2"/>
  <c r="U118" i="2"/>
  <c r="T118" i="2"/>
  <c r="S118" i="2"/>
  <c r="P118" i="2" s="1"/>
  <c r="R118" i="2"/>
  <c r="Q118" i="2"/>
  <c r="AF117" i="2"/>
  <c r="AE117" i="2"/>
  <c r="AD117" i="2"/>
  <c r="AC117" i="2"/>
  <c r="AB117" i="2"/>
  <c r="AA117" i="2"/>
  <c r="Z117" i="2"/>
  <c r="Y117" i="2" s="1"/>
  <c r="X117" i="2"/>
  <c r="W117" i="2"/>
  <c r="V117" i="2"/>
  <c r="U117" i="2"/>
  <c r="T117" i="2"/>
  <c r="S117" i="2"/>
  <c r="R117" i="2"/>
  <c r="Q117" i="2"/>
  <c r="P117" i="2" s="1"/>
  <c r="AF116" i="2"/>
  <c r="AE116" i="2"/>
  <c r="AD116" i="2"/>
  <c r="AC116" i="2"/>
  <c r="AB116" i="2"/>
  <c r="AA116" i="2"/>
  <c r="Z116" i="2"/>
  <c r="Y116" i="2" s="1"/>
  <c r="X116" i="2"/>
  <c r="W116" i="2"/>
  <c r="V116" i="2"/>
  <c r="U116" i="2"/>
  <c r="P116" i="2" s="1"/>
  <c r="T116" i="2"/>
  <c r="S116" i="2"/>
  <c r="R116" i="2"/>
  <c r="Q116" i="2"/>
  <c r="AF115" i="2"/>
  <c r="AE115" i="2"/>
  <c r="AD115" i="2"/>
  <c r="AC115" i="2"/>
  <c r="AB115" i="2"/>
  <c r="AA115" i="2"/>
  <c r="Z115" i="2"/>
  <c r="Y115" i="2" s="1"/>
  <c r="X115" i="2"/>
  <c r="W115" i="2"/>
  <c r="V115" i="2"/>
  <c r="U115" i="2"/>
  <c r="T115" i="2"/>
  <c r="S115" i="2"/>
  <c r="R115" i="2"/>
  <c r="Q115" i="2"/>
  <c r="P115" i="2" s="1"/>
  <c r="AF114" i="2"/>
  <c r="AE114" i="2"/>
  <c r="AD114" i="2"/>
  <c r="AC114" i="2"/>
  <c r="AB114" i="2"/>
  <c r="AA114" i="2"/>
  <c r="Z114" i="2"/>
  <c r="Y114" i="2" s="1"/>
  <c r="X114" i="2"/>
  <c r="W114" i="2"/>
  <c r="V114" i="2"/>
  <c r="U114" i="2"/>
  <c r="T114" i="2"/>
  <c r="S114" i="2"/>
  <c r="R114" i="2"/>
  <c r="Q114" i="2"/>
  <c r="P114" i="2" s="1"/>
  <c r="AF113" i="2"/>
  <c r="AE113" i="2"/>
  <c r="Y113" i="2" s="1"/>
  <c r="AD113" i="2"/>
  <c r="AC113" i="2"/>
  <c r="AB113" i="2"/>
  <c r="AA113" i="2"/>
  <c r="Z113" i="2"/>
  <c r="X113" i="2"/>
  <c r="P113" i="2" s="1"/>
  <c r="W113" i="2"/>
  <c r="V113" i="2"/>
  <c r="U113" i="2"/>
  <c r="T113" i="2"/>
  <c r="S113" i="2"/>
  <c r="R113" i="2"/>
  <c r="Q113" i="2"/>
  <c r="AF112" i="2"/>
  <c r="AE112" i="2"/>
  <c r="AD112" i="2"/>
  <c r="AC112" i="2"/>
  <c r="AB112" i="2"/>
  <c r="AA112" i="2"/>
  <c r="Z112" i="2"/>
  <c r="Y112" i="2"/>
  <c r="X112" i="2"/>
  <c r="W112" i="2"/>
  <c r="V112" i="2"/>
  <c r="U112" i="2"/>
  <c r="T112" i="2"/>
  <c r="S112" i="2"/>
  <c r="R112" i="2"/>
  <c r="Q112" i="2"/>
  <c r="P112" i="2"/>
  <c r="AF111" i="2"/>
  <c r="AE111" i="2"/>
  <c r="AD111" i="2"/>
  <c r="AC111" i="2"/>
  <c r="AB111" i="2"/>
  <c r="AA111" i="2"/>
  <c r="Z111" i="2"/>
  <c r="Y111" i="2" s="1"/>
  <c r="X111" i="2"/>
  <c r="W111" i="2"/>
  <c r="V111" i="2"/>
  <c r="U111" i="2"/>
  <c r="T111" i="2"/>
  <c r="S111" i="2"/>
  <c r="R111" i="2"/>
  <c r="Q111" i="2"/>
  <c r="P111" i="2" s="1"/>
  <c r="AF110" i="2"/>
  <c r="AE110" i="2"/>
  <c r="AD110" i="2"/>
  <c r="AC110" i="2"/>
  <c r="AB110" i="2"/>
  <c r="AA110" i="2"/>
  <c r="Y110" i="2" s="1"/>
  <c r="Z110" i="2"/>
  <c r="X110" i="2"/>
  <c r="W110" i="2"/>
  <c r="V110" i="2"/>
  <c r="U110" i="2"/>
  <c r="T110" i="2"/>
  <c r="S110" i="2"/>
  <c r="R110" i="2"/>
  <c r="Q110" i="2"/>
  <c r="P110" i="2" s="1"/>
  <c r="AF109" i="2"/>
  <c r="AE109" i="2"/>
  <c r="AD109" i="2"/>
  <c r="AC109" i="2"/>
  <c r="AB109" i="2"/>
  <c r="Y109" i="2" s="1"/>
  <c r="AA109" i="2"/>
  <c r="Z109" i="2"/>
  <c r="X109" i="2"/>
  <c r="W109" i="2"/>
  <c r="V109" i="2"/>
  <c r="U109" i="2"/>
  <c r="T109" i="2"/>
  <c r="S109" i="2"/>
  <c r="R109" i="2"/>
  <c r="Q109" i="2"/>
  <c r="P109" i="2" s="1"/>
  <c r="AF108" i="2"/>
  <c r="AE108" i="2"/>
  <c r="AD108" i="2"/>
  <c r="AC108" i="2"/>
  <c r="AB108" i="2"/>
  <c r="AA108" i="2"/>
  <c r="Z108" i="2"/>
  <c r="Y108" i="2" s="1"/>
  <c r="X108" i="2"/>
  <c r="W108" i="2"/>
  <c r="V108" i="2"/>
  <c r="U108" i="2"/>
  <c r="T108" i="2"/>
  <c r="S108" i="2"/>
  <c r="P108" i="2" s="1"/>
  <c r="R108" i="2"/>
  <c r="Q108" i="2"/>
  <c r="AF107" i="2"/>
  <c r="AE107" i="2"/>
  <c r="AD107" i="2"/>
  <c r="AC107" i="2"/>
  <c r="AB107" i="2"/>
  <c r="AA107" i="2"/>
  <c r="Y107" i="2" s="1"/>
  <c r="Z107" i="2"/>
  <c r="X107" i="2"/>
  <c r="W107" i="2"/>
  <c r="V107" i="2"/>
  <c r="U107" i="2"/>
  <c r="T107" i="2"/>
  <c r="S107" i="2"/>
  <c r="R107" i="2"/>
  <c r="Q107" i="2"/>
  <c r="P107" i="2" s="1"/>
  <c r="AF106" i="2"/>
  <c r="AE106" i="2"/>
  <c r="AD106" i="2"/>
  <c r="AC106" i="2"/>
  <c r="AB106" i="2"/>
  <c r="AA106" i="2"/>
  <c r="Z106" i="2"/>
  <c r="Y106" i="2" s="1"/>
  <c r="X106" i="2"/>
  <c r="W106" i="2"/>
  <c r="V106" i="2"/>
  <c r="P106" i="2" s="1"/>
  <c r="U106" i="2"/>
  <c r="T106" i="2"/>
  <c r="S106" i="2"/>
  <c r="R106" i="2"/>
  <c r="Q106" i="2"/>
  <c r="AF105" i="2"/>
  <c r="AE105" i="2"/>
  <c r="AD105" i="2"/>
  <c r="AC105" i="2"/>
  <c r="AB105" i="2"/>
  <c r="AA105" i="2"/>
  <c r="Z105" i="2"/>
  <c r="Y105" i="2" s="1"/>
  <c r="X105" i="2"/>
  <c r="W105" i="2"/>
  <c r="V105" i="2"/>
  <c r="U105" i="2"/>
  <c r="T105" i="2"/>
  <c r="S105" i="2"/>
  <c r="R105" i="2"/>
  <c r="Q105" i="2"/>
  <c r="P105" i="2"/>
  <c r="AF104" i="2"/>
  <c r="AE104" i="2"/>
  <c r="AD104" i="2"/>
  <c r="AC104" i="2"/>
  <c r="AB104" i="2"/>
  <c r="AA104" i="2"/>
  <c r="Z104" i="2"/>
  <c r="Y104" i="2"/>
  <c r="X104" i="2"/>
  <c r="W104" i="2"/>
  <c r="V104" i="2"/>
  <c r="U104" i="2"/>
  <c r="T104" i="2"/>
  <c r="S104" i="2"/>
  <c r="R104" i="2"/>
  <c r="Q104" i="2"/>
  <c r="P104" i="2" s="1"/>
  <c r="AF103" i="2"/>
  <c r="AE103" i="2"/>
  <c r="AD103" i="2"/>
  <c r="AC103" i="2"/>
  <c r="AB103" i="2"/>
  <c r="AA103" i="2"/>
  <c r="Z103" i="2"/>
  <c r="Y103" i="2"/>
  <c r="X103" i="2"/>
  <c r="W103" i="2"/>
  <c r="V103" i="2"/>
  <c r="U103" i="2"/>
  <c r="T103" i="2"/>
  <c r="S103" i="2"/>
  <c r="R103" i="2"/>
  <c r="Q103" i="2"/>
  <c r="P103" i="2" s="1"/>
  <c r="AF102" i="2"/>
  <c r="AE102" i="2"/>
  <c r="AD102" i="2"/>
  <c r="AC102" i="2"/>
  <c r="AB102" i="2"/>
  <c r="AA102" i="2"/>
  <c r="Z102" i="2"/>
  <c r="Y102" i="2" s="1"/>
  <c r="X102" i="2"/>
  <c r="W102" i="2"/>
  <c r="V102" i="2"/>
  <c r="U102" i="2"/>
  <c r="T102" i="2"/>
  <c r="S102" i="2"/>
  <c r="P102" i="2" s="1"/>
  <c r="R102" i="2"/>
  <c r="Q102" i="2"/>
  <c r="AF101" i="2"/>
  <c r="AE101" i="2"/>
  <c r="AD101" i="2"/>
  <c r="AC101" i="2"/>
  <c r="AB101" i="2"/>
  <c r="AA101" i="2"/>
  <c r="Z101" i="2"/>
  <c r="Y101" i="2" s="1"/>
  <c r="X101" i="2"/>
  <c r="W101" i="2"/>
  <c r="V101" i="2"/>
  <c r="U101" i="2"/>
  <c r="T101" i="2"/>
  <c r="S101" i="2"/>
  <c r="R101" i="2"/>
  <c r="Q101" i="2"/>
  <c r="P101" i="2" s="1"/>
  <c r="AF100" i="2"/>
  <c r="AE100" i="2"/>
  <c r="AD100" i="2"/>
  <c r="AC100" i="2"/>
  <c r="AB100" i="2"/>
  <c r="AA100" i="2"/>
  <c r="Z100" i="2"/>
  <c r="Y100" i="2" s="1"/>
  <c r="X100" i="2"/>
  <c r="W100" i="2"/>
  <c r="V100" i="2"/>
  <c r="U100" i="2"/>
  <c r="P100" i="2" s="1"/>
  <c r="T100" i="2"/>
  <c r="S100" i="2"/>
  <c r="R100" i="2"/>
  <c r="Q100" i="2"/>
  <c r="AF99" i="2"/>
  <c r="AE99" i="2"/>
  <c r="AD99" i="2"/>
  <c r="AC99" i="2"/>
  <c r="AB99" i="2"/>
  <c r="Y99" i="2" s="1"/>
  <c r="AA99" i="2"/>
  <c r="Z99" i="2"/>
  <c r="X99" i="2"/>
  <c r="W99" i="2"/>
  <c r="V99" i="2"/>
  <c r="U99" i="2"/>
  <c r="T99" i="2"/>
  <c r="S99" i="2"/>
  <c r="R99" i="2"/>
  <c r="Q99" i="2"/>
  <c r="P99" i="2" s="1"/>
  <c r="AF98" i="2"/>
  <c r="AE98" i="2"/>
  <c r="AD98" i="2"/>
  <c r="AC98" i="2"/>
  <c r="AB98" i="2"/>
  <c r="AA98" i="2"/>
  <c r="Z98" i="2"/>
  <c r="Y98" i="2" s="1"/>
  <c r="X98" i="2"/>
  <c r="W98" i="2"/>
  <c r="V98" i="2"/>
  <c r="U98" i="2"/>
  <c r="T98" i="2"/>
  <c r="S98" i="2"/>
  <c r="R98" i="2"/>
  <c r="Q98" i="2"/>
  <c r="P98" i="2" s="1"/>
  <c r="AF97" i="2"/>
  <c r="AE97" i="2"/>
  <c r="Y97" i="2" s="1"/>
  <c r="AD97" i="2"/>
  <c r="AC97" i="2"/>
  <c r="AB97" i="2"/>
  <c r="AA97" i="2"/>
  <c r="Z97" i="2"/>
  <c r="X97" i="2"/>
  <c r="P97" i="2" s="1"/>
  <c r="W97" i="2"/>
  <c r="V97" i="2"/>
  <c r="U97" i="2"/>
  <c r="T97" i="2"/>
  <c r="S97" i="2"/>
  <c r="R97" i="2"/>
  <c r="Q97" i="2"/>
  <c r="AF96" i="2"/>
  <c r="AE96" i="2"/>
  <c r="AD96" i="2"/>
  <c r="AC96" i="2"/>
  <c r="AB96" i="2"/>
  <c r="AA96" i="2"/>
  <c r="Z96" i="2"/>
  <c r="Y96" i="2"/>
  <c r="X96" i="2"/>
  <c r="W96" i="2"/>
  <c r="V96" i="2"/>
  <c r="U96" i="2"/>
  <c r="T96" i="2"/>
  <c r="S96" i="2"/>
  <c r="R96" i="2"/>
  <c r="Q96" i="2"/>
  <c r="P96" i="2"/>
  <c r="AF95" i="2"/>
  <c r="AE95" i="2"/>
  <c r="AD95" i="2"/>
  <c r="AC95" i="2"/>
  <c r="AB95" i="2"/>
  <c r="AA95" i="2"/>
  <c r="Z95" i="2"/>
  <c r="Y95" i="2" s="1"/>
  <c r="X95" i="2"/>
  <c r="W95" i="2"/>
  <c r="V95" i="2"/>
  <c r="U95" i="2"/>
  <c r="T95" i="2"/>
  <c r="S95" i="2"/>
  <c r="R95" i="2"/>
  <c r="Q95" i="2"/>
  <c r="P95" i="2" s="1"/>
  <c r="AF94" i="2"/>
  <c r="AE94" i="2"/>
  <c r="AD94" i="2"/>
  <c r="AC94" i="2"/>
  <c r="AB94" i="2"/>
  <c r="AA94" i="2"/>
  <c r="Y94" i="2" s="1"/>
  <c r="Z94" i="2"/>
  <c r="X94" i="2"/>
  <c r="W94" i="2"/>
  <c r="V94" i="2"/>
  <c r="U94" i="2"/>
  <c r="T94" i="2"/>
  <c r="S94" i="2"/>
  <c r="R94" i="2"/>
  <c r="Q94" i="2"/>
  <c r="P94" i="2" s="1"/>
  <c r="AF93" i="2"/>
  <c r="AE93" i="2"/>
  <c r="AD93" i="2"/>
  <c r="AC93" i="2"/>
  <c r="AB93" i="2"/>
  <c r="Y93" i="2" s="1"/>
  <c r="AA93" i="2"/>
  <c r="Z93" i="2"/>
  <c r="X93" i="2"/>
  <c r="W93" i="2"/>
  <c r="V93" i="2"/>
  <c r="U93" i="2"/>
  <c r="T93" i="2"/>
  <c r="S93" i="2"/>
  <c r="P93" i="2" s="1"/>
  <c r="R93" i="2"/>
  <c r="Q93" i="2"/>
  <c r="AF92" i="2"/>
  <c r="AE92" i="2"/>
  <c r="AD92" i="2"/>
  <c r="AC92" i="2"/>
  <c r="AB92" i="2"/>
  <c r="AA92" i="2"/>
  <c r="Z92" i="2"/>
  <c r="Y92" i="2" s="1"/>
  <c r="X92" i="2"/>
  <c r="W92" i="2"/>
  <c r="V92" i="2"/>
  <c r="U92" i="2"/>
  <c r="T92" i="2"/>
  <c r="S92" i="2"/>
  <c r="R92" i="2"/>
  <c r="Q92" i="2"/>
  <c r="P92" i="2" s="1"/>
  <c r="AF91" i="2"/>
  <c r="AE91" i="2"/>
  <c r="AD91" i="2"/>
  <c r="Y91" i="2" s="1"/>
  <c r="AC91" i="2"/>
  <c r="AB91" i="2"/>
  <c r="AA91" i="2"/>
  <c r="Z91" i="2"/>
  <c r="X91" i="2"/>
  <c r="W91" i="2"/>
  <c r="V91" i="2"/>
  <c r="U91" i="2"/>
  <c r="T91" i="2"/>
  <c r="S91" i="2"/>
  <c r="R91" i="2"/>
  <c r="Q91" i="2"/>
  <c r="P91" i="2" s="1"/>
  <c r="AF90" i="2"/>
  <c r="AE90" i="2"/>
  <c r="AD90" i="2"/>
  <c r="AC90" i="2"/>
  <c r="AB90" i="2"/>
  <c r="AA90" i="2"/>
  <c r="Z90" i="2"/>
  <c r="Y90" i="2" s="1"/>
  <c r="X90" i="2"/>
  <c r="W90" i="2"/>
  <c r="V90" i="2"/>
  <c r="P90" i="2" s="1"/>
  <c r="U90" i="2"/>
  <c r="T90" i="2"/>
  <c r="S90" i="2"/>
  <c r="R90" i="2"/>
  <c r="Q90" i="2"/>
  <c r="AF89" i="2"/>
  <c r="AE89" i="2"/>
  <c r="AD89" i="2"/>
  <c r="AC89" i="2"/>
  <c r="AB89" i="2"/>
  <c r="AA89" i="2"/>
  <c r="Z89" i="2"/>
  <c r="Y89" i="2" s="1"/>
  <c r="X89" i="2"/>
  <c r="W89" i="2"/>
  <c r="V89" i="2"/>
  <c r="U89" i="2"/>
  <c r="T89" i="2"/>
  <c r="S89" i="2"/>
  <c r="R89" i="2"/>
  <c r="Q89" i="2"/>
  <c r="P89" i="2"/>
  <c r="AF88" i="2"/>
  <c r="AE88" i="2"/>
  <c r="AD88" i="2"/>
  <c r="AC88" i="2"/>
  <c r="AB88" i="2"/>
  <c r="AA88" i="2"/>
  <c r="Z88" i="2"/>
  <c r="Y88" i="2"/>
  <c r="X88" i="2"/>
  <c r="W88" i="2"/>
  <c r="V88" i="2"/>
  <c r="U88" i="2"/>
  <c r="T88" i="2"/>
  <c r="S88" i="2"/>
  <c r="R88" i="2"/>
  <c r="Q88" i="2"/>
  <c r="P88" i="2" s="1"/>
  <c r="AF87" i="2"/>
  <c r="AE87" i="2"/>
  <c r="AD87" i="2"/>
  <c r="AC87" i="2"/>
  <c r="AB87" i="2"/>
  <c r="AA87" i="2"/>
  <c r="Z87" i="2"/>
  <c r="Y87" i="2"/>
  <c r="X87" i="2"/>
  <c r="W87" i="2"/>
  <c r="V87" i="2"/>
  <c r="U87" i="2"/>
  <c r="T87" i="2"/>
  <c r="S87" i="2"/>
  <c r="R87" i="2"/>
  <c r="P87" i="2" s="1"/>
  <c r="Q87" i="2"/>
  <c r="AF86" i="2"/>
  <c r="AE86" i="2"/>
  <c r="AD86" i="2"/>
  <c r="AC86" i="2"/>
  <c r="AB86" i="2"/>
  <c r="AA86" i="2"/>
  <c r="Z86" i="2"/>
  <c r="Y86" i="2" s="1"/>
  <c r="X86" i="2"/>
  <c r="W86" i="2"/>
  <c r="V86" i="2"/>
  <c r="U86" i="2"/>
  <c r="T86" i="2"/>
  <c r="S86" i="2"/>
  <c r="P86" i="2" s="1"/>
  <c r="R86" i="2"/>
  <c r="Q86" i="2"/>
  <c r="AF85" i="2"/>
  <c r="AE85" i="2"/>
  <c r="AD85" i="2"/>
  <c r="AC85" i="2"/>
  <c r="AB85" i="2"/>
  <c r="AA85" i="2"/>
  <c r="Z85" i="2"/>
  <c r="Y85" i="2" s="1"/>
  <c r="X85" i="2"/>
  <c r="W85" i="2"/>
  <c r="V85" i="2"/>
  <c r="U85" i="2"/>
  <c r="T85" i="2"/>
  <c r="S85" i="2"/>
  <c r="R85" i="2"/>
  <c r="Q85" i="2"/>
  <c r="P85" i="2" s="1"/>
  <c r="AF84" i="2"/>
  <c r="AE84" i="2"/>
  <c r="AD84" i="2"/>
  <c r="AC84" i="2"/>
  <c r="AB84" i="2"/>
  <c r="Y84" i="2" s="1"/>
  <c r="AA84" i="2"/>
  <c r="Z84" i="2"/>
  <c r="X84" i="2"/>
  <c r="W84" i="2"/>
  <c r="V84" i="2"/>
  <c r="U84" i="2"/>
  <c r="P84" i="2" s="1"/>
  <c r="T84" i="2"/>
  <c r="S84" i="2"/>
  <c r="R84" i="2"/>
  <c r="Q84" i="2"/>
  <c r="AF83" i="2"/>
  <c r="AE83" i="2"/>
  <c r="AD83" i="2"/>
  <c r="AC83" i="2"/>
  <c r="AB83" i="2"/>
  <c r="AA83" i="2"/>
  <c r="Z83" i="2"/>
  <c r="Y83" i="2" s="1"/>
  <c r="X83" i="2"/>
  <c r="W83" i="2"/>
  <c r="V83" i="2"/>
  <c r="U83" i="2"/>
  <c r="T83" i="2"/>
  <c r="S83" i="2"/>
  <c r="R83" i="2"/>
  <c r="Q83" i="2"/>
  <c r="P83" i="2" s="1"/>
  <c r="AF82" i="2"/>
  <c r="AE82" i="2"/>
  <c r="AD82" i="2"/>
  <c r="AC82" i="2"/>
  <c r="AB82" i="2"/>
  <c r="AA82" i="2"/>
  <c r="Z82" i="2"/>
  <c r="Y82" i="2" s="1"/>
  <c r="X82" i="2"/>
  <c r="W82" i="2"/>
  <c r="V82" i="2"/>
  <c r="U82" i="2"/>
  <c r="T82" i="2"/>
  <c r="S82" i="2"/>
  <c r="R82" i="2"/>
  <c r="P82" i="2" s="1"/>
  <c r="Q82" i="2"/>
  <c r="AF81" i="2"/>
  <c r="AE81" i="2"/>
  <c r="Y81" i="2" s="1"/>
  <c r="AD81" i="2"/>
  <c r="AC81" i="2"/>
  <c r="AB81" i="2"/>
  <c r="AA81" i="2"/>
  <c r="Z81" i="2"/>
  <c r="X81" i="2"/>
  <c r="P81" i="2" s="1"/>
  <c r="W81" i="2"/>
  <c r="V81" i="2"/>
  <c r="U81" i="2"/>
  <c r="T81" i="2"/>
  <c r="S81" i="2"/>
  <c r="R81" i="2"/>
  <c r="Q81" i="2"/>
  <c r="AF80" i="2"/>
  <c r="AE80" i="2"/>
  <c r="AD80" i="2"/>
  <c r="AC80" i="2"/>
  <c r="AB80" i="2"/>
  <c r="AA80" i="2"/>
  <c r="Z80" i="2"/>
  <c r="Y80" i="2"/>
  <c r="X80" i="2"/>
  <c r="W80" i="2"/>
  <c r="V80" i="2"/>
  <c r="U80" i="2"/>
  <c r="T80" i="2"/>
  <c r="S80" i="2"/>
  <c r="R80" i="2"/>
  <c r="Q80" i="2"/>
  <c r="P80" i="2"/>
  <c r="AF79" i="2"/>
  <c r="AE79" i="2"/>
  <c r="AD79" i="2"/>
  <c r="AC79" i="2"/>
  <c r="AB79" i="2"/>
  <c r="AA79" i="2"/>
  <c r="Z79" i="2"/>
  <c r="Y79" i="2" s="1"/>
  <c r="X79" i="2"/>
  <c r="W79" i="2"/>
  <c r="V79" i="2"/>
  <c r="U79" i="2"/>
  <c r="T79" i="2"/>
  <c r="S79" i="2"/>
  <c r="R79" i="2"/>
  <c r="Q79" i="2"/>
  <c r="P79" i="2" s="1"/>
  <c r="AF78" i="2"/>
  <c r="AE78" i="2"/>
  <c r="AD78" i="2"/>
  <c r="AC78" i="2"/>
  <c r="AB78" i="2"/>
  <c r="AA78" i="2"/>
  <c r="Y78" i="2" s="1"/>
  <c r="Z78" i="2"/>
  <c r="X78" i="2"/>
  <c r="W78" i="2"/>
  <c r="V78" i="2"/>
  <c r="U78" i="2"/>
  <c r="T78" i="2"/>
  <c r="S78" i="2"/>
  <c r="R78" i="2"/>
  <c r="Q78" i="2"/>
  <c r="P78" i="2" s="1"/>
  <c r="AF77" i="2"/>
  <c r="AE77" i="2"/>
  <c r="AD77" i="2"/>
  <c r="AC77" i="2"/>
  <c r="AB77" i="2"/>
  <c r="Y77" i="2" s="1"/>
  <c r="AA77" i="2"/>
  <c r="Z77" i="2"/>
  <c r="X77" i="2"/>
  <c r="W77" i="2"/>
  <c r="V77" i="2"/>
  <c r="U77" i="2"/>
  <c r="T77" i="2"/>
  <c r="S77" i="2"/>
  <c r="P77" i="2" s="1"/>
  <c r="R77" i="2"/>
  <c r="Q77" i="2"/>
  <c r="AF76" i="2"/>
  <c r="AE76" i="2"/>
  <c r="AD76" i="2"/>
  <c r="AC76" i="2"/>
  <c r="AB76" i="2"/>
  <c r="AA76" i="2"/>
  <c r="Z76" i="2"/>
  <c r="Y76" i="2" s="1"/>
  <c r="X76" i="2"/>
  <c r="W76" i="2"/>
  <c r="V76" i="2"/>
  <c r="U76" i="2"/>
  <c r="T76" i="2"/>
  <c r="S76" i="2"/>
  <c r="R76" i="2"/>
  <c r="Q76" i="2"/>
  <c r="P76" i="2" s="1"/>
  <c r="AF75" i="2"/>
  <c r="AE75" i="2"/>
  <c r="AD75" i="2"/>
  <c r="AC75" i="2"/>
  <c r="AB75" i="2"/>
  <c r="Y75" i="2" s="1"/>
  <c r="AA75" i="2"/>
  <c r="Z75" i="2"/>
  <c r="X75" i="2"/>
  <c r="W75" i="2"/>
  <c r="V75" i="2"/>
  <c r="U75" i="2"/>
  <c r="T75" i="2"/>
  <c r="S75" i="2"/>
  <c r="R75" i="2"/>
  <c r="Q75" i="2"/>
  <c r="P75" i="2" s="1"/>
  <c r="AF74" i="2"/>
  <c r="AE74" i="2"/>
  <c r="AD74" i="2"/>
  <c r="AC74" i="2"/>
  <c r="AB74" i="2"/>
  <c r="AA74" i="2"/>
  <c r="Z74" i="2"/>
  <c r="Y74" i="2" s="1"/>
  <c r="X74" i="2"/>
  <c r="W74" i="2"/>
  <c r="V74" i="2"/>
  <c r="P74" i="2" s="1"/>
  <c r="U74" i="2"/>
  <c r="T74" i="2"/>
  <c r="S74" i="2"/>
  <c r="R74" i="2"/>
  <c r="Q74" i="2"/>
  <c r="AF73" i="2"/>
  <c r="AE73" i="2"/>
  <c r="AD73" i="2"/>
  <c r="AC73" i="2"/>
  <c r="AB73" i="2"/>
  <c r="AA73" i="2"/>
  <c r="Y73" i="2" s="1"/>
  <c r="Z73" i="2"/>
  <c r="X73" i="2"/>
  <c r="W73" i="2"/>
  <c r="V73" i="2"/>
  <c r="U73" i="2"/>
  <c r="T73" i="2"/>
  <c r="S73" i="2"/>
  <c r="R73" i="2"/>
  <c r="Q73" i="2"/>
  <c r="P73" i="2"/>
  <c r="AF72" i="2"/>
  <c r="AE72" i="2"/>
  <c r="AD72" i="2"/>
  <c r="AC72" i="2"/>
  <c r="AB72" i="2"/>
  <c r="AA72" i="2"/>
  <c r="Z72" i="2"/>
  <c r="Y72" i="2"/>
  <c r="X72" i="2"/>
  <c r="W72" i="2"/>
  <c r="V72" i="2"/>
  <c r="U72" i="2"/>
  <c r="T72" i="2"/>
  <c r="S72" i="2"/>
  <c r="R72" i="2"/>
  <c r="Q72" i="2"/>
  <c r="P72" i="2" s="1"/>
  <c r="AF71" i="2"/>
  <c r="AE71" i="2"/>
  <c r="AD71" i="2"/>
  <c r="AC71" i="2"/>
  <c r="AB71" i="2"/>
  <c r="AA71" i="2"/>
  <c r="Z71" i="2"/>
  <c r="Y71" i="2"/>
  <c r="X71" i="2"/>
  <c r="W71" i="2"/>
  <c r="V71" i="2"/>
  <c r="U71" i="2"/>
  <c r="T71" i="2"/>
  <c r="S71" i="2"/>
  <c r="R71" i="2"/>
  <c r="P71" i="2" s="1"/>
  <c r="Q71" i="2"/>
  <c r="AF70" i="2"/>
  <c r="AE70" i="2"/>
  <c r="AD70" i="2"/>
  <c r="AC70" i="2"/>
  <c r="AB70" i="2"/>
  <c r="AA70" i="2"/>
  <c r="Z70" i="2"/>
  <c r="Y70" i="2" s="1"/>
  <c r="X70" i="2"/>
  <c r="W70" i="2"/>
  <c r="V70" i="2"/>
  <c r="U70" i="2"/>
  <c r="T70" i="2"/>
  <c r="S70" i="2"/>
  <c r="R70" i="2"/>
  <c r="Q70" i="2"/>
  <c r="P70" i="2" s="1"/>
  <c r="AF69" i="2"/>
  <c r="AE69" i="2"/>
  <c r="AD69" i="2"/>
  <c r="AC69" i="2"/>
  <c r="AB69" i="2"/>
  <c r="AA69" i="2"/>
  <c r="Z69" i="2"/>
  <c r="Y69" i="2" s="1"/>
  <c r="X69" i="2"/>
  <c r="W69" i="2"/>
  <c r="V69" i="2"/>
  <c r="U69" i="2"/>
  <c r="T69" i="2"/>
  <c r="S69" i="2"/>
  <c r="R69" i="2"/>
  <c r="P69" i="2" s="1"/>
  <c r="Q69" i="2"/>
  <c r="AF68" i="2"/>
  <c r="AE68" i="2"/>
  <c r="AD68" i="2"/>
  <c r="AC68" i="2"/>
  <c r="AB68" i="2"/>
  <c r="AA68" i="2"/>
  <c r="Y68" i="2" s="1"/>
  <c r="Z68" i="2"/>
  <c r="X68" i="2"/>
  <c r="W68" i="2"/>
  <c r="V68" i="2"/>
  <c r="U68" i="2"/>
  <c r="P68" i="2" s="1"/>
  <c r="T68" i="2"/>
  <c r="S68" i="2"/>
  <c r="R68" i="2"/>
  <c r="Q68" i="2"/>
  <c r="AF67" i="2"/>
  <c r="AE67" i="2"/>
  <c r="AD67" i="2"/>
  <c r="AC67" i="2"/>
  <c r="AB67" i="2"/>
  <c r="AA67" i="2"/>
  <c r="Z67" i="2"/>
  <c r="Y67" i="2" s="1"/>
  <c r="X67" i="2"/>
  <c r="W67" i="2"/>
  <c r="V67" i="2"/>
  <c r="U67" i="2"/>
  <c r="T67" i="2"/>
  <c r="S67" i="2"/>
  <c r="R67" i="2"/>
  <c r="Q67" i="2"/>
  <c r="P67" i="2" s="1"/>
  <c r="AF66" i="2"/>
  <c r="AE66" i="2"/>
  <c r="AD66" i="2"/>
  <c r="AC66" i="2"/>
  <c r="AB66" i="2"/>
  <c r="AA66" i="2"/>
  <c r="Z66" i="2"/>
  <c r="Y66" i="2" s="1"/>
  <c r="X66" i="2"/>
  <c r="W66" i="2"/>
  <c r="V66" i="2"/>
  <c r="U66" i="2"/>
  <c r="T66" i="2"/>
  <c r="S66" i="2"/>
  <c r="R66" i="2"/>
  <c r="P66" i="2" s="1"/>
  <c r="Q66" i="2"/>
  <c r="AF65" i="2"/>
  <c r="AE65" i="2"/>
  <c r="Y65" i="2" s="1"/>
  <c r="AD65" i="2"/>
  <c r="AC65" i="2"/>
  <c r="AB65" i="2"/>
  <c r="AA65" i="2"/>
  <c r="Z65" i="2"/>
  <c r="X65" i="2"/>
  <c r="P65" i="2" s="1"/>
  <c r="W65" i="2"/>
  <c r="V65" i="2"/>
  <c r="U65" i="2"/>
  <c r="T65" i="2"/>
  <c r="S65" i="2"/>
  <c r="R65" i="2"/>
  <c r="Q65" i="2"/>
  <c r="AF64" i="2"/>
  <c r="AE64" i="2"/>
  <c r="AD64" i="2"/>
  <c r="AC64" i="2"/>
  <c r="AB64" i="2"/>
  <c r="AA64" i="2"/>
  <c r="Z64" i="2"/>
  <c r="Y64" i="2"/>
  <c r="X64" i="2"/>
  <c r="W64" i="2"/>
  <c r="V64" i="2"/>
  <c r="U64" i="2"/>
  <c r="T64" i="2"/>
  <c r="S64" i="2"/>
  <c r="R64" i="2"/>
  <c r="Q64" i="2"/>
  <c r="P64" i="2"/>
  <c r="AF63" i="2"/>
  <c r="AE63" i="2"/>
  <c r="AD63" i="2"/>
  <c r="AC63" i="2"/>
  <c r="AB63" i="2"/>
  <c r="AA63" i="2"/>
  <c r="Z63" i="2"/>
  <c r="Y63" i="2" s="1"/>
  <c r="X63" i="2"/>
  <c r="W63" i="2"/>
  <c r="V63" i="2"/>
  <c r="U63" i="2"/>
  <c r="T63" i="2"/>
  <c r="S63" i="2"/>
  <c r="R63" i="2"/>
  <c r="Q63" i="2"/>
  <c r="P63" i="2" s="1"/>
  <c r="AF62" i="2"/>
  <c r="AE62" i="2"/>
  <c r="AD62" i="2"/>
  <c r="AC62" i="2"/>
  <c r="AB62" i="2"/>
  <c r="AA62" i="2"/>
  <c r="Y62" i="2" s="1"/>
  <c r="Z62" i="2"/>
  <c r="X62" i="2"/>
  <c r="W62" i="2"/>
  <c r="V62" i="2"/>
  <c r="U62" i="2"/>
  <c r="T62" i="2"/>
  <c r="S62" i="2"/>
  <c r="R62" i="2"/>
  <c r="Q62" i="2"/>
  <c r="P62" i="2" s="1"/>
  <c r="AF61" i="2"/>
  <c r="AE61" i="2"/>
  <c r="AD61" i="2"/>
  <c r="AC61" i="2"/>
  <c r="AB61" i="2"/>
  <c r="AA61" i="2"/>
  <c r="Z61" i="2"/>
  <c r="Y61" i="2" s="1"/>
  <c r="X61" i="2"/>
  <c r="W61" i="2"/>
  <c r="V61" i="2"/>
  <c r="U61" i="2"/>
  <c r="T61" i="2"/>
  <c r="S61" i="2"/>
  <c r="P61" i="2" s="1"/>
  <c r="R61" i="2"/>
  <c r="Q61" i="2"/>
  <c r="AF60" i="2"/>
  <c r="AE60" i="2"/>
  <c r="AD60" i="2"/>
  <c r="AC60" i="2"/>
  <c r="AB60" i="2"/>
  <c r="AA60" i="2"/>
  <c r="Y60" i="2" s="1"/>
  <c r="Z60" i="2"/>
  <c r="X60" i="2"/>
  <c r="W60" i="2"/>
  <c r="V60" i="2"/>
  <c r="U60" i="2"/>
  <c r="T60" i="2"/>
  <c r="S60" i="2"/>
  <c r="R60" i="2"/>
  <c r="Q60" i="2"/>
  <c r="P60" i="2" s="1"/>
  <c r="AF59" i="2"/>
  <c r="AE59" i="2"/>
  <c r="AD59" i="2"/>
  <c r="AC59" i="2"/>
  <c r="AB59" i="2"/>
  <c r="Y59" i="2" s="1"/>
  <c r="AA59" i="2"/>
  <c r="Z59" i="2"/>
  <c r="X59" i="2"/>
  <c r="W59" i="2"/>
  <c r="V59" i="2"/>
  <c r="U59" i="2"/>
  <c r="T59" i="2"/>
  <c r="S59" i="2"/>
  <c r="R59" i="2"/>
  <c r="Q59" i="2"/>
  <c r="P59" i="2" s="1"/>
  <c r="AF58" i="2"/>
  <c r="AE58" i="2"/>
  <c r="AD58" i="2"/>
  <c r="AC58" i="2"/>
  <c r="AB58" i="2"/>
  <c r="AA58" i="2"/>
  <c r="Z58" i="2"/>
  <c r="Y58" i="2" s="1"/>
  <c r="X58" i="2"/>
  <c r="W58" i="2"/>
  <c r="V58" i="2"/>
  <c r="P58" i="2" s="1"/>
  <c r="U58" i="2"/>
  <c r="T58" i="2"/>
  <c r="S58" i="2"/>
  <c r="R58" i="2"/>
  <c r="Q58" i="2"/>
  <c r="AF57" i="2"/>
  <c r="AE57" i="2"/>
  <c r="AD57" i="2"/>
  <c r="AC57" i="2"/>
  <c r="AB57" i="2"/>
  <c r="AA57" i="2"/>
  <c r="Y57" i="2" s="1"/>
  <c r="Z57" i="2"/>
  <c r="X57" i="2"/>
  <c r="W57" i="2"/>
  <c r="V57" i="2"/>
  <c r="U57" i="2"/>
  <c r="T57" i="2"/>
  <c r="S57" i="2"/>
  <c r="R57" i="2"/>
  <c r="Q57" i="2"/>
  <c r="P57" i="2"/>
  <c r="AF56" i="2"/>
  <c r="AE56" i="2"/>
  <c r="AD56" i="2"/>
  <c r="AC56" i="2"/>
  <c r="AB56" i="2"/>
  <c r="AA56" i="2"/>
  <c r="Z56" i="2"/>
  <c r="Y56" i="2"/>
  <c r="X56" i="2"/>
  <c r="W56" i="2"/>
  <c r="V56" i="2"/>
  <c r="U56" i="2"/>
  <c r="T56" i="2"/>
  <c r="S56" i="2"/>
  <c r="R56" i="2"/>
  <c r="Q56" i="2"/>
  <c r="P56" i="2" s="1"/>
  <c r="AF55" i="2"/>
  <c r="AE55" i="2"/>
  <c r="AD55" i="2"/>
  <c r="AC55" i="2"/>
  <c r="AB55" i="2"/>
  <c r="AA55" i="2"/>
  <c r="Z55" i="2"/>
  <c r="Y55" i="2"/>
  <c r="X55" i="2"/>
  <c r="W55" i="2"/>
  <c r="V55" i="2"/>
  <c r="U55" i="2"/>
  <c r="T55" i="2"/>
  <c r="S55" i="2"/>
  <c r="R55" i="2"/>
  <c r="P55" i="2" s="1"/>
  <c r="Q55" i="2"/>
  <c r="AF54" i="2"/>
  <c r="AE54" i="2"/>
  <c r="AD54" i="2"/>
  <c r="AC54" i="2"/>
  <c r="AB54" i="2"/>
  <c r="AA54" i="2"/>
  <c r="Z54" i="2"/>
  <c r="Y54" i="2" s="1"/>
  <c r="X54" i="2"/>
  <c r="W54" i="2"/>
  <c r="V54" i="2"/>
  <c r="U54" i="2"/>
  <c r="T54" i="2"/>
  <c r="S54" i="2"/>
  <c r="R54" i="2"/>
  <c r="Q54" i="2"/>
  <c r="P54" i="2" s="1"/>
  <c r="AF53" i="2"/>
  <c r="AE53" i="2"/>
  <c r="AD53" i="2"/>
  <c r="AC53" i="2"/>
  <c r="AB53" i="2"/>
  <c r="AA53" i="2"/>
  <c r="Z53" i="2"/>
  <c r="Y53" i="2" s="1"/>
  <c r="X53" i="2"/>
  <c r="W53" i="2"/>
  <c r="V53" i="2"/>
  <c r="U53" i="2"/>
  <c r="T53" i="2"/>
  <c r="S53" i="2"/>
  <c r="R53" i="2"/>
  <c r="P53" i="2" s="1"/>
  <c r="Q53" i="2"/>
  <c r="AF52" i="2"/>
  <c r="AE52" i="2"/>
  <c r="AD52" i="2"/>
  <c r="AC52" i="2"/>
  <c r="AB52" i="2"/>
  <c r="AA52" i="2"/>
  <c r="Y52" i="2" s="1"/>
  <c r="Z52" i="2"/>
  <c r="X52" i="2"/>
  <c r="W52" i="2"/>
  <c r="V52" i="2"/>
  <c r="U52" i="2"/>
  <c r="T52" i="2"/>
  <c r="S52" i="2"/>
  <c r="P52" i="2" s="1"/>
  <c r="R52" i="2"/>
  <c r="Q52" i="2"/>
  <c r="AF51" i="2"/>
  <c r="AE51" i="2"/>
  <c r="AD51" i="2"/>
  <c r="AC51" i="2"/>
  <c r="AB51" i="2"/>
  <c r="AA51" i="2"/>
  <c r="Z51" i="2"/>
  <c r="Y51" i="2" s="1"/>
  <c r="X51" i="2"/>
  <c r="W51" i="2"/>
  <c r="V51" i="2"/>
  <c r="U51" i="2"/>
  <c r="T51" i="2"/>
  <c r="S51" i="2"/>
  <c r="R51" i="2"/>
  <c r="Q51" i="2"/>
  <c r="P51" i="2" s="1"/>
  <c r="AF50" i="2"/>
  <c r="AE50" i="2"/>
  <c r="AD50" i="2"/>
  <c r="AC50" i="2"/>
  <c r="AB50" i="2"/>
  <c r="AA50" i="2"/>
  <c r="Z50" i="2"/>
  <c r="Y50" i="2" s="1"/>
  <c r="X50" i="2"/>
  <c r="W50" i="2"/>
  <c r="V50" i="2"/>
  <c r="U50" i="2"/>
  <c r="T50" i="2"/>
  <c r="S50" i="2"/>
  <c r="R50" i="2"/>
  <c r="P50" i="2" s="1"/>
  <c r="Q50" i="2"/>
  <c r="AF49" i="2"/>
  <c r="AE49" i="2"/>
  <c r="Y49" i="2" s="1"/>
  <c r="AD49" i="2"/>
  <c r="AC49" i="2"/>
  <c r="AB49" i="2"/>
  <c r="AA49" i="2"/>
  <c r="Z49" i="2"/>
  <c r="X49" i="2"/>
  <c r="P49" i="2" s="1"/>
  <c r="W49" i="2"/>
  <c r="V49" i="2"/>
  <c r="U49" i="2"/>
  <c r="T49" i="2"/>
  <c r="S49" i="2"/>
  <c r="R49" i="2"/>
  <c r="Q49" i="2"/>
  <c r="AF48" i="2"/>
  <c r="AE48" i="2"/>
  <c r="AD48" i="2"/>
  <c r="AC48" i="2"/>
  <c r="AB48" i="2"/>
  <c r="AA48" i="2"/>
  <c r="Z48" i="2"/>
  <c r="Y48" i="2"/>
  <c r="X48" i="2"/>
  <c r="W48" i="2"/>
  <c r="V48" i="2"/>
  <c r="U48" i="2"/>
  <c r="T48" i="2"/>
  <c r="S48" i="2"/>
  <c r="R48" i="2"/>
  <c r="Q48" i="2"/>
  <c r="P48" i="2"/>
  <c r="AF47" i="2"/>
  <c r="AE47" i="2"/>
  <c r="AD47" i="2"/>
  <c r="AC47" i="2"/>
  <c r="AB47" i="2"/>
  <c r="AA47" i="2"/>
  <c r="Z47" i="2"/>
  <c r="Y47" i="2" s="1"/>
  <c r="X47" i="2"/>
  <c r="W47" i="2"/>
  <c r="V47" i="2"/>
  <c r="U47" i="2"/>
  <c r="T47" i="2"/>
  <c r="S47" i="2"/>
  <c r="R47" i="2"/>
  <c r="Q47" i="2"/>
  <c r="P47" i="2" s="1"/>
  <c r="AF46" i="2"/>
  <c r="AE46" i="2"/>
  <c r="AD46" i="2"/>
  <c r="AC46" i="2"/>
  <c r="AB46" i="2"/>
  <c r="AA46" i="2"/>
  <c r="Y46" i="2" s="1"/>
  <c r="Z46" i="2"/>
  <c r="X46" i="2"/>
  <c r="W46" i="2"/>
  <c r="V46" i="2"/>
  <c r="U46" i="2"/>
  <c r="T46" i="2"/>
  <c r="S46" i="2"/>
  <c r="R46" i="2"/>
  <c r="Q46" i="2"/>
  <c r="P46" i="2" s="1"/>
  <c r="AF45" i="2"/>
  <c r="AE45" i="2"/>
  <c r="AD45" i="2"/>
  <c r="AC45" i="2"/>
  <c r="AB45" i="2"/>
  <c r="AA45" i="2"/>
  <c r="Z45" i="2"/>
  <c r="Y45" i="2" s="1"/>
  <c r="X45" i="2"/>
  <c r="W45" i="2"/>
  <c r="V45" i="2"/>
  <c r="U45" i="2"/>
  <c r="T45" i="2"/>
  <c r="S45" i="2"/>
  <c r="R45" i="2"/>
  <c r="P45" i="2" s="1"/>
  <c r="Q45" i="2"/>
  <c r="AF44" i="2"/>
  <c r="AE44" i="2"/>
  <c r="AD44" i="2"/>
  <c r="AC44" i="2"/>
  <c r="AB44" i="2"/>
  <c r="AA44" i="2"/>
  <c r="Z44" i="2"/>
  <c r="Y44" i="2" s="1"/>
  <c r="X44" i="2"/>
  <c r="W44" i="2"/>
  <c r="V44" i="2"/>
  <c r="U44" i="2"/>
  <c r="T44" i="2"/>
  <c r="S44" i="2"/>
  <c r="P44" i="2" s="1"/>
  <c r="R44" i="2"/>
  <c r="Q44" i="2"/>
  <c r="AF43" i="2"/>
  <c r="AE43" i="2"/>
  <c r="AD43" i="2"/>
  <c r="AC43" i="2"/>
  <c r="AB43" i="2"/>
  <c r="Y43" i="2" s="1"/>
  <c r="AA43" i="2"/>
  <c r="Z43" i="2"/>
  <c r="X43" i="2"/>
  <c r="W43" i="2"/>
  <c r="V43" i="2"/>
  <c r="U43" i="2"/>
  <c r="T43" i="2"/>
  <c r="S43" i="2"/>
  <c r="R43" i="2"/>
  <c r="Q43" i="2"/>
  <c r="P43" i="2" s="1"/>
  <c r="AF42" i="2"/>
  <c r="AE42" i="2"/>
  <c r="AD42" i="2"/>
  <c r="AC42" i="2"/>
  <c r="AB42" i="2"/>
  <c r="AA42" i="2"/>
  <c r="Z42" i="2"/>
  <c r="Y42" i="2" s="1"/>
  <c r="X42" i="2"/>
  <c r="W42" i="2"/>
  <c r="V42" i="2"/>
  <c r="U42" i="2"/>
  <c r="T42" i="2"/>
  <c r="S42" i="2"/>
  <c r="R42" i="2"/>
  <c r="Q42" i="2"/>
  <c r="P42" i="2"/>
  <c r="AF41" i="2"/>
  <c r="AE41" i="2"/>
  <c r="AD41" i="2"/>
  <c r="AC41" i="2"/>
  <c r="AB41" i="2"/>
  <c r="AA41" i="2"/>
  <c r="Y41" i="2" s="1"/>
  <c r="Z41" i="2"/>
  <c r="X41" i="2"/>
  <c r="W41" i="2"/>
  <c r="V41" i="2"/>
  <c r="U41" i="2"/>
  <c r="T41" i="2"/>
  <c r="S41" i="2"/>
  <c r="R41" i="2"/>
  <c r="Q41" i="2"/>
  <c r="P41" i="2"/>
  <c r="AF40" i="2"/>
  <c r="AE40" i="2"/>
  <c r="AD40" i="2"/>
  <c r="AC40" i="2"/>
  <c r="AB40" i="2"/>
  <c r="AA40" i="2"/>
  <c r="Z40" i="2"/>
  <c r="Y40" i="2"/>
  <c r="X40" i="2"/>
  <c r="W40" i="2"/>
  <c r="V40" i="2"/>
  <c r="U40" i="2"/>
  <c r="T40" i="2"/>
  <c r="S40" i="2"/>
  <c r="R40" i="2"/>
  <c r="Q40" i="2"/>
  <c r="P40" i="2" s="1"/>
  <c r="AF39" i="2"/>
  <c r="AE39" i="2"/>
  <c r="AD39" i="2"/>
  <c r="AC39" i="2"/>
  <c r="AB39" i="2"/>
  <c r="AA39" i="2"/>
  <c r="Z39" i="2"/>
  <c r="Y39" i="2"/>
  <c r="X39" i="2"/>
  <c r="W39" i="2"/>
  <c r="V39" i="2"/>
  <c r="U39" i="2"/>
  <c r="T39" i="2"/>
  <c r="S39" i="2"/>
  <c r="R39" i="2"/>
  <c r="P39" i="2" s="1"/>
  <c r="Q39" i="2"/>
  <c r="AF38" i="2"/>
  <c r="AE38" i="2"/>
  <c r="AD38" i="2"/>
  <c r="AC38" i="2"/>
  <c r="AB38" i="2"/>
  <c r="AA38" i="2"/>
  <c r="Z38" i="2"/>
  <c r="Y38" i="2" s="1"/>
  <c r="X38" i="2"/>
  <c r="W38" i="2"/>
  <c r="V38" i="2"/>
  <c r="U38" i="2"/>
  <c r="T38" i="2"/>
  <c r="S38" i="2"/>
  <c r="R38" i="2"/>
  <c r="Q38" i="2"/>
  <c r="P38" i="2" s="1"/>
  <c r="AF37" i="2"/>
  <c r="AE37" i="2"/>
  <c r="AD37" i="2"/>
  <c r="AC37" i="2"/>
  <c r="AB37" i="2"/>
  <c r="AA37" i="2"/>
  <c r="Z37" i="2"/>
  <c r="Y37" i="2" s="1"/>
  <c r="X37" i="2"/>
  <c r="W37" i="2"/>
  <c r="V37" i="2"/>
  <c r="U37" i="2"/>
  <c r="T37" i="2"/>
  <c r="S37" i="2"/>
  <c r="R37" i="2"/>
  <c r="Q37" i="2"/>
  <c r="P37" i="2" s="1"/>
  <c r="AF36" i="2"/>
  <c r="AE36" i="2"/>
  <c r="AD36" i="2"/>
  <c r="AC36" i="2"/>
  <c r="AB36" i="2"/>
  <c r="AA36" i="2"/>
  <c r="Y36" i="2" s="1"/>
  <c r="Z36" i="2"/>
  <c r="X36" i="2"/>
  <c r="W36" i="2"/>
  <c r="V36" i="2"/>
  <c r="U36" i="2"/>
  <c r="T36" i="2"/>
  <c r="S36" i="2"/>
  <c r="P36" i="2" s="1"/>
  <c r="R36" i="2"/>
  <c r="Q36" i="2"/>
  <c r="AF35" i="2"/>
  <c r="AE35" i="2"/>
  <c r="AD35" i="2"/>
  <c r="AC35" i="2"/>
  <c r="AB35" i="2"/>
  <c r="Y35" i="2" s="1"/>
  <c r="AA35" i="2"/>
  <c r="Z35" i="2"/>
  <c r="X35" i="2"/>
  <c r="W35" i="2"/>
  <c r="V35" i="2"/>
  <c r="U35" i="2"/>
  <c r="T35" i="2"/>
  <c r="S35" i="2"/>
  <c r="R35" i="2"/>
  <c r="Q35" i="2"/>
  <c r="P35" i="2" s="1"/>
  <c r="AF34" i="2"/>
  <c r="AE34" i="2"/>
  <c r="AD34" i="2"/>
  <c r="AC34" i="2"/>
  <c r="AB34" i="2"/>
  <c r="AA34" i="2"/>
  <c r="Z34" i="2"/>
  <c r="Y34" i="2" s="1"/>
  <c r="X34" i="2"/>
  <c r="W34" i="2"/>
  <c r="V34" i="2"/>
  <c r="U34" i="2"/>
  <c r="T34" i="2"/>
  <c r="S34" i="2"/>
  <c r="R34" i="2"/>
  <c r="P34" i="2" s="1"/>
  <c r="Q34" i="2"/>
  <c r="AF33" i="2"/>
  <c r="AE33" i="2"/>
  <c r="AD33" i="2"/>
  <c r="AC33" i="2"/>
  <c r="AB33" i="2"/>
  <c r="AA33" i="2"/>
  <c r="Z33" i="2"/>
  <c r="Y33" i="2"/>
  <c r="X33" i="2"/>
  <c r="P33" i="2" s="1"/>
  <c r="W33" i="2"/>
  <c r="V33" i="2"/>
  <c r="U33" i="2"/>
  <c r="T33" i="2"/>
  <c r="S33" i="2"/>
  <c r="R33" i="2"/>
  <c r="Q33" i="2"/>
  <c r="AF32" i="2"/>
  <c r="AE32" i="2"/>
  <c r="AD32" i="2"/>
  <c r="AC32" i="2"/>
  <c r="AB32" i="2"/>
  <c r="AA32" i="2"/>
  <c r="Z32" i="2"/>
  <c r="Y32" i="2"/>
  <c r="X32" i="2"/>
  <c r="W32" i="2"/>
  <c r="V32" i="2"/>
  <c r="U32" i="2"/>
  <c r="T32" i="2"/>
  <c r="S32" i="2"/>
  <c r="R32" i="2"/>
  <c r="Q32" i="2"/>
  <c r="P32" i="2"/>
  <c r="AF31" i="2"/>
  <c r="AE31" i="2"/>
  <c r="AD31" i="2"/>
  <c r="AC31" i="2"/>
  <c r="AB31" i="2"/>
  <c r="AA31" i="2"/>
  <c r="Z31" i="2"/>
  <c r="Y31" i="2" s="1"/>
  <c r="X31" i="2"/>
  <c r="W31" i="2"/>
  <c r="V31" i="2"/>
  <c r="U31" i="2"/>
  <c r="T31" i="2"/>
  <c r="S31" i="2"/>
  <c r="R31" i="2"/>
  <c r="Q31" i="2"/>
  <c r="P31" i="2" s="1"/>
  <c r="AF30" i="2"/>
  <c r="AE30" i="2"/>
  <c r="AD30" i="2"/>
  <c r="AC30" i="2"/>
  <c r="AB30" i="2"/>
  <c r="AA30" i="2"/>
  <c r="Y30" i="2" s="1"/>
  <c r="Z30" i="2"/>
  <c r="X30" i="2"/>
  <c r="W30" i="2"/>
  <c r="V30" i="2"/>
  <c r="U30" i="2"/>
  <c r="T30" i="2"/>
  <c r="S30" i="2"/>
  <c r="R30" i="2"/>
  <c r="Q30" i="2"/>
  <c r="P30" i="2" s="1"/>
  <c r="AF29" i="2"/>
  <c r="AE29" i="2"/>
  <c r="AD29" i="2"/>
  <c r="AC29" i="2"/>
  <c r="AB29" i="2"/>
  <c r="AA29" i="2"/>
  <c r="Z29" i="2"/>
  <c r="Y29" i="2" s="1"/>
  <c r="X29" i="2"/>
  <c r="W29" i="2"/>
  <c r="V29" i="2"/>
  <c r="U29" i="2"/>
  <c r="T29" i="2"/>
  <c r="S29" i="2"/>
  <c r="R29" i="2"/>
  <c r="P29" i="2" s="1"/>
  <c r="Q29" i="2"/>
  <c r="AF28" i="2"/>
  <c r="AE28" i="2"/>
  <c r="AD28" i="2"/>
  <c r="AC28" i="2"/>
  <c r="AB28" i="2"/>
  <c r="AA28" i="2"/>
  <c r="Z28" i="2"/>
  <c r="Y28" i="2" s="1"/>
  <c r="X28" i="2"/>
  <c r="W28" i="2"/>
  <c r="V28" i="2"/>
  <c r="U28" i="2"/>
  <c r="T28" i="2"/>
  <c r="P28" i="2" s="1"/>
  <c r="S28" i="2"/>
  <c r="R28" i="2"/>
  <c r="Q28" i="2"/>
  <c r="AF27" i="2"/>
  <c r="AE27" i="2"/>
  <c r="AD27" i="2"/>
  <c r="AC27" i="2"/>
  <c r="AB27" i="2"/>
  <c r="Y27" i="2" s="1"/>
  <c r="AA27" i="2"/>
  <c r="Z27" i="2"/>
  <c r="X27" i="2"/>
  <c r="W27" i="2"/>
  <c r="V27" i="2"/>
  <c r="U27" i="2"/>
  <c r="T27" i="2"/>
  <c r="S27" i="2"/>
  <c r="R27" i="2"/>
  <c r="Q27" i="2"/>
  <c r="P27" i="2" s="1"/>
  <c r="AF26" i="2"/>
  <c r="AE26" i="2"/>
  <c r="AD26" i="2"/>
  <c r="AC26" i="2"/>
  <c r="AB26" i="2"/>
  <c r="AA26" i="2"/>
  <c r="Z26" i="2"/>
  <c r="Y26" i="2" s="1"/>
  <c r="X26" i="2"/>
  <c r="W26" i="2"/>
  <c r="V26" i="2"/>
  <c r="U26" i="2"/>
  <c r="T26" i="2"/>
  <c r="S26" i="2"/>
  <c r="R26" i="2"/>
  <c r="Q26" i="2"/>
  <c r="P26" i="2"/>
  <c r="AF25" i="2"/>
  <c r="AE25" i="2"/>
  <c r="AD25" i="2"/>
  <c r="AC25" i="2"/>
  <c r="AB25" i="2"/>
  <c r="AA25" i="2"/>
  <c r="Y25" i="2" s="1"/>
  <c r="Z25" i="2"/>
  <c r="X25" i="2"/>
  <c r="W25" i="2"/>
  <c r="V25" i="2"/>
  <c r="U25" i="2"/>
  <c r="T25" i="2"/>
  <c r="S25" i="2"/>
  <c r="R25" i="2"/>
  <c r="Q25" i="2"/>
  <c r="P25" i="2"/>
  <c r="AF24" i="2"/>
  <c r="AE24" i="2"/>
  <c r="AD24" i="2"/>
  <c r="AC24" i="2"/>
  <c r="AB24" i="2"/>
  <c r="AA24" i="2"/>
  <c r="Z24" i="2"/>
  <c r="Y24" i="2"/>
  <c r="X24" i="2"/>
  <c r="W24" i="2"/>
  <c r="V24" i="2"/>
  <c r="U24" i="2"/>
  <c r="T24" i="2"/>
  <c r="S24" i="2"/>
  <c r="R24" i="2"/>
  <c r="Q24" i="2"/>
  <c r="P24" i="2" s="1"/>
  <c r="AF23" i="2"/>
  <c r="AE23" i="2"/>
  <c r="AD23" i="2"/>
  <c r="AC23" i="2"/>
  <c r="AB23" i="2"/>
  <c r="AA23" i="2"/>
  <c r="Z23" i="2"/>
  <c r="Y23" i="2"/>
  <c r="X23" i="2"/>
  <c r="W23" i="2"/>
  <c r="V23" i="2"/>
  <c r="U23" i="2"/>
  <c r="T23" i="2"/>
  <c r="S23" i="2"/>
  <c r="R23" i="2"/>
  <c r="P23" i="2" s="1"/>
  <c r="Q23" i="2"/>
  <c r="AF22" i="2"/>
  <c r="AE22" i="2"/>
  <c r="AD22" i="2"/>
  <c r="AC22" i="2"/>
  <c r="AB22" i="2"/>
  <c r="AA22" i="2"/>
  <c r="Z22" i="2"/>
  <c r="Y22" i="2" s="1"/>
  <c r="X22" i="2"/>
  <c r="W22" i="2"/>
  <c r="V22" i="2"/>
  <c r="U22" i="2"/>
  <c r="T22" i="2"/>
  <c r="S22" i="2"/>
  <c r="R22" i="2"/>
  <c r="Q22" i="2"/>
  <c r="P22" i="2" s="1"/>
  <c r="AF21" i="2"/>
  <c r="AE21" i="2"/>
  <c r="AD21" i="2"/>
  <c r="AC21" i="2"/>
  <c r="AB21" i="2"/>
  <c r="AA21" i="2"/>
  <c r="Z21" i="2"/>
  <c r="Y21" i="2" s="1"/>
  <c r="X21" i="2"/>
  <c r="W21" i="2"/>
  <c r="V21" i="2"/>
  <c r="U21" i="2"/>
  <c r="T21" i="2"/>
  <c r="S21" i="2"/>
  <c r="R21" i="2"/>
  <c r="Q21" i="2"/>
  <c r="P21" i="2" s="1"/>
  <c r="AF20" i="2"/>
  <c r="AE20" i="2"/>
  <c r="AD20" i="2"/>
  <c r="AC20" i="2"/>
  <c r="AB20" i="2"/>
  <c r="AA20" i="2"/>
  <c r="Y20" i="2" s="1"/>
  <c r="Z20" i="2"/>
  <c r="X20" i="2"/>
  <c r="W20" i="2"/>
  <c r="V20" i="2"/>
  <c r="U20" i="2"/>
  <c r="T20" i="2"/>
  <c r="S20" i="2"/>
  <c r="P20" i="2" s="1"/>
  <c r="R20" i="2"/>
  <c r="Q20" i="2"/>
  <c r="AF19" i="2"/>
  <c r="AE19" i="2"/>
  <c r="AD19" i="2"/>
  <c r="AC19" i="2"/>
  <c r="Y19" i="2" s="1"/>
  <c r="AB19" i="2"/>
  <c r="AA19" i="2"/>
  <c r="Z19" i="2"/>
  <c r="X19" i="2"/>
  <c r="W19" i="2"/>
  <c r="V19" i="2"/>
  <c r="U19" i="2"/>
  <c r="T19" i="2"/>
  <c r="S19" i="2"/>
  <c r="R19" i="2"/>
  <c r="Q19" i="2"/>
  <c r="P19" i="2" s="1"/>
  <c r="AF18" i="2"/>
  <c r="AE18" i="2"/>
  <c r="AD18" i="2"/>
  <c r="AC18" i="2"/>
  <c r="AB18" i="2"/>
  <c r="AA18" i="2"/>
  <c r="Z18" i="2"/>
  <c r="Y18" i="2" s="1"/>
  <c r="X18" i="2"/>
  <c r="W18" i="2"/>
  <c r="P18" i="2" s="1"/>
  <c r="V18" i="2"/>
  <c r="U18" i="2"/>
  <c r="T18" i="2"/>
  <c r="S18" i="2"/>
  <c r="R18" i="2"/>
  <c r="Q18" i="2"/>
  <c r="AF17" i="2"/>
  <c r="AE17" i="2"/>
  <c r="AD17" i="2"/>
  <c r="AC17" i="2"/>
  <c r="AB17" i="2"/>
  <c r="AA17" i="2"/>
  <c r="Z17" i="2"/>
  <c r="Y17" i="2"/>
  <c r="X17" i="2"/>
  <c r="P17" i="2" s="1"/>
  <c r="W17" i="2"/>
  <c r="V17" i="2"/>
  <c r="U17" i="2"/>
  <c r="T17" i="2"/>
  <c r="S17" i="2"/>
  <c r="R17" i="2"/>
  <c r="Q17" i="2"/>
  <c r="AF16" i="2"/>
  <c r="AE16" i="2"/>
  <c r="AD16" i="2"/>
  <c r="AC16" i="2"/>
  <c r="AB16" i="2"/>
  <c r="AA16" i="2"/>
  <c r="Z16" i="2"/>
  <c r="Y16" i="2"/>
  <c r="X16" i="2"/>
  <c r="W16" i="2"/>
  <c r="V16" i="2"/>
  <c r="U16" i="2"/>
  <c r="T16" i="2"/>
  <c r="S16" i="2"/>
  <c r="R16" i="2"/>
  <c r="Q16" i="2"/>
  <c r="P16" i="2"/>
  <c r="AF15" i="2"/>
  <c r="AE15" i="2"/>
  <c r="AD15" i="2"/>
  <c r="AC15" i="2"/>
  <c r="AB15" i="2"/>
  <c r="AA15" i="2"/>
  <c r="Z15" i="2"/>
  <c r="Y15" i="2" s="1"/>
  <c r="X15" i="2"/>
  <c r="W15" i="2"/>
  <c r="V15" i="2"/>
  <c r="U15" i="2"/>
  <c r="T15" i="2"/>
  <c r="S15" i="2"/>
  <c r="R15" i="2"/>
  <c r="Q15" i="2"/>
  <c r="P15" i="2" s="1"/>
  <c r="AF14" i="2"/>
  <c r="AE14" i="2"/>
  <c r="AD14" i="2"/>
  <c r="AC14" i="2"/>
  <c r="AB14" i="2"/>
  <c r="AA14" i="2"/>
  <c r="Y14" i="2" s="1"/>
  <c r="Z14" i="2"/>
  <c r="X14" i="2"/>
  <c r="W14" i="2"/>
  <c r="V14" i="2"/>
  <c r="U14" i="2"/>
  <c r="T14" i="2"/>
  <c r="S14" i="2"/>
  <c r="R14" i="2"/>
  <c r="Q14" i="2"/>
  <c r="P14" i="2" s="1"/>
  <c r="AF13" i="2"/>
  <c r="AE13" i="2"/>
  <c r="AD13" i="2"/>
  <c r="AC13" i="2"/>
  <c r="AB13" i="2"/>
  <c r="AA13" i="2"/>
  <c r="Z13" i="2"/>
  <c r="Y13" i="2" s="1"/>
  <c r="X13" i="2"/>
  <c r="W13" i="2"/>
  <c r="V13" i="2"/>
  <c r="U13" i="2"/>
  <c r="T13" i="2"/>
  <c r="S13" i="2"/>
  <c r="R13" i="2"/>
  <c r="P13" i="2" s="1"/>
  <c r="Q13" i="2"/>
  <c r="AF12" i="2"/>
  <c r="AE12" i="2"/>
  <c r="AD12" i="2"/>
  <c r="AC12" i="2"/>
  <c r="AB12" i="2"/>
  <c r="AA12" i="2"/>
  <c r="Z12" i="2"/>
  <c r="Y12" i="2" s="1"/>
  <c r="X12" i="2"/>
  <c r="W12" i="2"/>
  <c r="V12" i="2"/>
  <c r="U12" i="2"/>
  <c r="T12" i="2"/>
  <c r="P12" i="2" s="1"/>
  <c r="S12" i="2"/>
  <c r="R12" i="2"/>
  <c r="Q12" i="2"/>
  <c r="AF11" i="2"/>
  <c r="AE11" i="2"/>
  <c r="AD11" i="2"/>
  <c r="AC11" i="2"/>
  <c r="AB11" i="2"/>
  <c r="Y11" i="2" s="1"/>
  <c r="AA11" i="2"/>
  <c r="Z11" i="2"/>
  <c r="X11" i="2"/>
  <c r="W11" i="2"/>
  <c r="V11" i="2"/>
  <c r="U11" i="2"/>
  <c r="T11" i="2"/>
  <c r="S11" i="2"/>
  <c r="R11" i="2"/>
  <c r="Q11" i="2"/>
  <c r="P11" i="2" s="1"/>
  <c r="AF10" i="2"/>
  <c r="AE10" i="2"/>
  <c r="AD10" i="2"/>
  <c r="AC10" i="2"/>
  <c r="AB10" i="2"/>
  <c r="AA10" i="2"/>
  <c r="Z10" i="2"/>
  <c r="Y10" i="2" s="1"/>
  <c r="X10" i="2"/>
  <c r="W10" i="2"/>
  <c r="V10" i="2"/>
  <c r="U10" i="2"/>
  <c r="T10" i="2"/>
  <c r="S10" i="2"/>
  <c r="R10" i="2"/>
  <c r="Q10" i="2"/>
  <c r="P10" i="2"/>
  <c r="AF9" i="2"/>
  <c r="K15" i="1" s="1"/>
  <c r="L15" i="1" s="1"/>
  <c r="AE9" i="2"/>
  <c r="AD9" i="2"/>
  <c r="AC9" i="2"/>
  <c r="AB9" i="2"/>
  <c r="AA9" i="2"/>
  <c r="Z9" i="2"/>
  <c r="Y9" i="2"/>
  <c r="X9" i="2"/>
  <c r="W9" i="2"/>
  <c r="V9" i="2"/>
  <c r="U9" i="2"/>
  <c r="T9" i="2"/>
  <c r="S9" i="2"/>
  <c r="R9" i="2"/>
  <c r="Q9" i="2"/>
  <c r="P9" i="2"/>
  <c r="AF8" i="2"/>
  <c r="AE8" i="2"/>
  <c r="AD8" i="2"/>
  <c r="AC8" i="2"/>
  <c r="AB8" i="2"/>
  <c r="AA8" i="2"/>
  <c r="Z8" i="2"/>
  <c r="Y8" i="2"/>
  <c r="X8" i="2"/>
  <c r="W8" i="2"/>
  <c r="V8" i="2"/>
  <c r="U8" i="2"/>
  <c r="T8" i="2"/>
  <c r="S8" i="2"/>
  <c r="R8" i="2"/>
  <c r="Q8" i="2"/>
  <c r="P8" i="2" s="1"/>
  <c r="AF7" i="2"/>
  <c r="AE7" i="2"/>
  <c r="AD7" i="2"/>
  <c r="AC7" i="2"/>
  <c r="AB7" i="2"/>
  <c r="AA7" i="2"/>
  <c r="Z7" i="2"/>
  <c r="Y7" i="2"/>
  <c r="X7" i="2"/>
  <c r="W7" i="2"/>
  <c r="V7" i="2"/>
  <c r="U7" i="2"/>
  <c r="T7" i="2"/>
  <c r="S7" i="2"/>
  <c r="R7" i="2"/>
  <c r="P7" i="2" s="1"/>
  <c r="Q7" i="2"/>
  <c r="AF6" i="2"/>
  <c r="AE6" i="2"/>
  <c r="AD6" i="2"/>
  <c r="AC6" i="2"/>
  <c r="AB6" i="2"/>
  <c r="AA6" i="2"/>
  <c r="Z6" i="2"/>
  <c r="Y6" i="2" s="1"/>
  <c r="X6" i="2"/>
  <c r="W6" i="2"/>
  <c r="V6" i="2"/>
  <c r="U6" i="2"/>
  <c r="T6" i="2"/>
  <c r="S6" i="2"/>
  <c r="C11" i="1" s="1"/>
  <c r="D11" i="1" s="1"/>
  <c r="R6" i="2"/>
  <c r="Q6" i="2"/>
  <c r="P6" i="2" s="1"/>
  <c r="AF5" i="2"/>
  <c r="AE5" i="2"/>
  <c r="AD5" i="2"/>
  <c r="AC5" i="2"/>
  <c r="AB5" i="2"/>
  <c r="AA5" i="2"/>
  <c r="Z5" i="2"/>
  <c r="Y5" i="2" s="1"/>
  <c r="X5" i="2"/>
  <c r="W5" i="2"/>
  <c r="V5" i="2"/>
  <c r="U5" i="2"/>
  <c r="T5" i="2"/>
  <c r="P5" i="2" s="1"/>
  <c r="S5" i="2"/>
  <c r="R5" i="2"/>
  <c r="Q5" i="2"/>
  <c r="AF4" i="2"/>
  <c r="AE4" i="2"/>
  <c r="AD4" i="2"/>
  <c r="AC4" i="2"/>
  <c r="AB4" i="2"/>
  <c r="K11" i="1" s="1"/>
  <c r="L11" i="1" s="1"/>
  <c r="AA4" i="2"/>
  <c r="Y4" i="2" s="1"/>
  <c r="Z4" i="2"/>
  <c r="X4" i="2"/>
  <c r="W4" i="2"/>
  <c r="V4" i="2"/>
  <c r="U4" i="2"/>
  <c r="C13" i="1" s="1"/>
  <c r="D13" i="1" s="1"/>
  <c r="T4" i="2"/>
  <c r="S4" i="2"/>
  <c r="R4" i="2"/>
  <c r="Q4" i="2"/>
  <c r="P4" i="2" s="1"/>
  <c r="AF3" i="2"/>
  <c r="AE3" i="2"/>
  <c r="AD3" i="2"/>
  <c r="AC3" i="2"/>
  <c r="K12" i="1" s="1"/>
  <c r="L12" i="1" s="1"/>
  <c r="AB3" i="2"/>
  <c r="AA3" i="2"/>
  <c r="Z3" i="2"/>
  <c r="X3" i="2"/>
  <c r="W3" i="2"/>
  <c r="V3" i="2"/>
  <c r="C14" i="1" s="1"/>
  <c r="D14" i="1" s="1"/>
  <c r="U3" i="2"/>
  <c r="T3" i="2"/>
  <c r="S3" i="2"/>
  <c r="R3" i="2"/>
  <c r="Q3" i="2"/>
  <c r="P3" i="2" s="1"/>
  <c r="AF2" i="2"/>
  <c r="AE2" i="2"/>
  <c r="K14" i="1" s="1"/>
  <c r="L14" i="1" s="1"/>
  <c r="AD2" i="2"/>
  <c r="K13" i="1" s="1"/>
  <c r="L13" i="1" s="1"/>
  <c r="AC2" i="2"/>
  <c r="AB2" i="2"/>
  <c r="AA2" i="2"/>
  <c r="K10" i="1" s="1"/>
  <c r="L10" i="1" s="1"/>
  <c r="Z2" i="2"/>
  <c r="K9" i="1" s="1"/>
  <c r="L9" i="1" s="1"/>
  <c r="X2" i="2"/>
  <c r="C16" i="1" s="1"/>
  <c r="D16" i="1" s="1"/>
  <c r="W2" i="2"/>
  <c r="C15" i="1" s="1"/>
  <c r="D15" i="1" s="1"/>
  <c r="V2" i="2"/>
  <c r="U2" i="2"/>
  <c r="T2" i="2"/>
  <c r="C12" i="1" s="1"/>
  <c r="D12" i="1" s="1"/>
  <c r="S2" i="2"/>
  <c r="P2" i="2" s="1"/>
  <c r="R2" i="2"/>
  <c r="Q2" i="2"/>
  <c r="I24" i="1"/>
  <c r="H24" i="1"/>
  <c r="G24" i="1"/>
  <c r="F24" i="1"/>
  <c r="E24" i="1"/>
  <c r="D24" i="1"/>
  <c r="I23" i="1"/>
  <c r="H23" i="1"/>
  <c r="G23" i="1"/>
  <c r="F23" i="1"/>
  <c r="E23" i="1"/>
  <c r="D23" i="1"/>
  <c r="I22" i="1"/>
  <c r="H22" i="1"/>
  <c r="G22" i="1"/>
  <c r="F22" i="1"/>
  <c r="E22" i="1"/>
  <c r="D22" i="1"/>
  <c r="I21" i="1"/>
  <c r="H21" i="1"/>
  <c r="G21" i="1"/>
  <c r="F21" i="1"/>
  <c r="E21" i="1"/>
  <c r="D21" i="1"/>
  <c r="I20" i="1"/>
  <c r="H20" i="1"/>
  <c r="G20" i="1"/>
  <c r="F20" i="1"/>
  <c r="E20" i="1"/>
  <c r="D20" i="1"/>
  <c r="B16" i="1"/>
  <c r="B15" i="1"/>
  <c r="B14" i="1"/>
  <c r="G13" i="1"/>
  <c r="H13" i="1" s="1"/>
  <c r="B13" i="1"/>
  <c r="G12" i="1"/>
  <c r="H12" i="1" s="1"/>
  <c r="B12" i="1"/>
  <c r="H11" i="1"/>
  <c r="G11" i="1"/>
  <c r="B11" i="1"/>
  <c r="G10" i="1"/>
  <c r="H10" i="1" s="1"/>
  <c r="B10" i="1"/>
  <c r="G9" i="1"/>
  <c r="H9" i="1" s="1"/>
  <c r="B9" i="1"/>
  <c r="Y2" i="2" l="1"/>
  <c r="Y3" i="2"/>
  <c r="G15" i="1"/>
  <c r="G16" i="1" s="1"/>
  <c r="C10" i="1"/>
  <c r="D10" i="1" s="1"/>
  <c r="C9" i="1"/>
  <c r="D9" i="1" s="1"/>
</calcChain>
</file>

<file path=xl/sharedStrings.xml><?xml version="1.0" encoding="utf-8"?>
<sst xmlns="http://schemas.openxmlformats.org/spreadsheetml/2006/main" count="2126" uniqueCount="950">
  <si>
    <t>Diagnosing quality of higher education</t>
  </si>
  <si>
    <t>Human–AI interaction coding • single first-pass analysis • counts reflect category presence</t>
  </si>
  <si>
    <t>Human prompts</t>
  </si>
  <si>
    <t>Count revised: 122 → 119 after joining continuation fragments.</t>
  </si>
  <si>
    <t>No next AI response</t>
  </si>
  <si>
    <t>Expertise “none” = no explicit evidence in that prompt.</t>
  </si>
  <si>
    <t>Interaction type</t>
  </si>
  <si>
    <t>Primary count</t>
  </si>
  <si>
    <t>Any occurrence</t>
  </si>
  <si>
    <t>Share of prompts</t>
  </si>
  <si>
    <t>Agency mode</t>
  </si>
  <si>
    <t>Prompts</t>
  </si>
  <si>
    <t>Share</t>
  </si>
  <si>
    <t>Expertise evidence</t>
  </si>
  <si>
    <t>Delegation</t>
  </si>
  <si>
    <t>Delegative</t>
  </si>
  <si>
    <t>domain correction</t>
  </si>
  <si>
    <t>Directed delegation</t>
  </si>
  <si>
    <t>Directive</t>
  </si>
  <si>
    <t>conceptual discrimination</t>
  </si>
  <si>
    <t>Evaluation</t>
  </si>
  <si>
    <t>Evaluative</t>
  </si>
  <si>
    <t>evidence judgment</t>
  </si>
  <si>
    <t>Correction/Challenge</t>
  </si>
  <si>
    <t>Critical</t>
  </si>
  <si>
    <t>methodological judgment</t>
  </si>
  <si>
    <t>Redirection</t>
  </si>
  <si>
    <t>Deliberative</t>
  </si>
  <si>
    <t>argumentative judgment</t>
  </si>
  <si>
    <t>Knowledge injection</t>
  </si>
  <si>
    <t>genre/writing expertise</t>
  </si>
  <si>
    <t>Selection/Rejection</t>
  </si>
  <si>
    <t>Positive expertise evidence</t>
  </si>
  <si>
    <t>none</t>
  </si>
  <si>
    <t>Deliberation</t>
  </si>
  <si>
    <t>Share with evidence</t>
  </si>
  <si>
    <t>Phase</t>
  </si>
  <si>
    <t>First prompt</t>
  </si>
  <si>
    <t>Last prompt</t>
  </si>
  <si>
    <t>Conceptual framing and model</t>
  </si>
  <si>
    <t>Structure and research design</t>
  </si>
  <si>
    <t>Diagnosis, model and reforms</t>
  </si>
  <si>
    <t>Review and submission preparation</t>
  </si>
  <si>
    <t>Follow-on paper planning</t>
  </si>
  <si>
    <t>Key coding patterns and limits</t>
  </si>
  <si>
    <t>Directed delegation occurs in 81/119 prompts (68.1%); knowledge injection in 62 (52.1%). The researcher frequently supplies the substance and constrains AI drafting.</t>
  </si>
  <si>
    <t>Critical agency occurs in 26 prompts (21.8%). Challenges cover causal-loop terminology (25,119), study scope (29), survey omission (40), report relevance (103–107) and wording.</t>
  </si>
  <si>
    <t>Positive expertise evidence is coded in 105/119 prompts (88.2%); genre/writing in 66, argumentative judgment in 32, conceptual discrimination in 28, evidence judgment in 29.</t>
  </si>
  <si>
    <t>The model develops through researcher-supplied categories, arrows and mechanisms (5,10,24–25,60,66,93,116). Technical corrections recur alongside manuscript editing.</t>
  </si>
  <si>
    <t>Evidence control appears in source chronology (48–50), survey design/findings (32,40–42,53), and challenges to older or irrelevant reports (99–104,112).</t>
  </si>
  <si>
    <t>Two prompts after reported submission (118–119) develop a generic model paper. They are retained but separately labelled for manuscript-only comparisons.</t>
  </si>
  <si>
    <t>The converted Word export needs careful boundary interpretation. These 119 text-bearing prompts do not establish completeness of the original chat.</t>
  </si>
  <si>
    <t>Prompt ID</t>
  </si>
  <si>
    <t>Sequence</t>
  </si>
  <si>
    <t>Prompt excerpt</t>
  </si>
  <si>
    <t>Primary interaction type</t>
  </si>
  <si>
    <t>Additional interaction types</t>
  </si>
  <si>
    <t>Coding rationale</t>
  </si>
  <si>
    <t>Observed outcome / notes</t>
  </si>
  <si>
    <t>Prompt provenance</t>
  </si>
  <si>
    <t>Response provenance</t>
  </si>
  <si>
    <t>Attachment / contextual material</t>
  </si>
  <si>
    <t>Response availability</t>
  </si>
  <si>
    <t>Coding caution</t>
  </si>
  <si>
    <t>Interaction codes</t>
  </si>
  <si>
    <t>Type: Delegation</t>
  </si>
  <si>
    <t>Type: Directed delegation</t>
  </si>
  <si>
    <t>Type: Evaluation</t>
  </si>
  <si>
    <t>Type: Correction/Challenge</t>
  </si>
  <si>
    <t>Type: Redirection</t>
  </si>
  <si>
    <t>Type: Knowledge injection</t>
  </si>
  <si>
    <t>Type: Selection/Rejection</t>
  </si>
  <si>
    <t>Type: Deliberation</t>
  </si>
  <si>
    <t>Expertise codes</t>
  </si>
  <si>
    <t>Expertise: domain correction</t>
  </si>
  <si>
    <t>Expertise: conceptual discrimination</t>
  </si>
  <si>
    <t>Expertise: evidence judgment</t>
  </si>
  <si>
    <t>Expertise: methodological judgment</t>
  </si>
  <si>
    <t>Expertise: argumentative judgment</t>
  </si>
  <si>
    <t>Expertise: genre/writing expertise</t>
  </si>
  <si>
    <t>Expertise: none</t>
  </si>
  <si>
    <t>HE-001</t>
  </si>
  <si>
    <t>paper idea: Azərbaycanımızın Təhsil Sisteminin Sistemli İslahat və İnkişafı üçün Birinci Addım: Sistemin Praqmatik və Diaqnostik Analizi a "macro"-systems analysis (country level) ---------------- -use insights from https://en.wikipedia.org/wiki/Education_in_Azerbaijan when releavant in my paperlook here https://projects.worldbank.org/en/projects-operations/project-detail/P102117 it was a major project called "Second…</t>
  </si>
  <si>
    <t>Knowledge injection; Evaluation</t>
  </si>
  <si>
    <t>methodological judgment; evidence judgment; argumentative judgment</t>
  </si>
  <si>
    <t>Frames a macro diagnostic study, supplies report findings and requests checking the model/materials.</t>
  </si>
  <si>
    <t>AI proposes a systems analysis and interprets supplied reports; access and evidence claims remain unverified.</t>
  </si>
  <si>
    <t>DOCX body elements 7–15</t>
  </si>
  <si>
    <t>DOCX body elements 18–212</t>
  </si>
  <si>
    <t>URL(s) supplied in prompt; File/context references in prompt; inspect full text; Extended draft/quoted context; researcher-origin judgment distinguished in rationale</t>
  </si>
  <si>
    <t>Visible next AI response</t>
  </si>
  <si>
    <t>Converted DOCX: textbox continuations joined; AI completion/source-check claims are unverified.</t>
  </si>
  <si>
    <t>HE-002</t>
  </si>
  <si>
    <t>max paper legnth is 8000. target: https://www.as-journal.edu.az/instruction_az ... also, I still prefer my title: Azərbaycanımızın Təhsil Sisteminin Sistemli İslahat və İnkişafı üçün Birinci Addım: Sistemin Praqmatik və Diaqnostik Analizi --- since I need to keep the title soft (not too critical, or they will not like it, it can upset many people in AZ!)</t>
  </si>
  <si>
    <t>Redirection; Knowledge injection</t>
  </si>
  <si>
    <t>genre/writing expertise; argumentative judgment</t>
  </si>
  <si>
    <t>Sets length and audience constraints and moderates a potentially confrontational title.</t>
  </si>
  <si>
    <t>AI proposes softer titles and a paper structure.</t>
  </si>
  <si>
    <t>DOCX body elements 213–213</t>
  </si>
  <si>
    <t>DOCX body elements 216–717</t>
  </si>
  <si>
    <t>URL(s) supplied in prompt</t>
  </si>
  <si>
    <t>HE-003</t>
  </si>
  <si>
    <t>I also put the longer file pdf in the folder : "Implementation Completion and Results Report" .... read it . lots of it is about the financial transactions, of course. Ignore them completely, but some of its discussions are about the, you know, performance and technical performance. Okay. Non financials. So, yeah, use those ideas as well. By the way, you have too many sections and subsections. You need to reduce them…</t>
  </si>
  <si>
    <t>Knowledge injection; Redirection; Correction/Challenge</t>
  </si>
  <si>
    <t>evidence judgment; genre/writing expertise</t>
  </si>
  <si>
    <t>Adds a report and directs nonfinancial emphasis and fewer headings.</t>
  </si>
  <si>
    <t>AI begins a revised plan; response is interrupted in the record.</t>
  </si>
  <si>
    <t>DOCX body elements 718–718</t>
  </si>
  <si>
    <t>DOCX body elements 722–726</t>
  </si>
  <si>
    <t>HE-004</t>
  </si>
  <si>
    <t>Don't focus too much on that World Bank thing because I gave you several other data points. So I don't want one of them come across as the main one. The other one, um, I think, yeah, the PISA. So PISA and that world thing, uh, should be two main things. I also put the longer file pdf in the folder : "Implementation Completion and Results Report" read it . lots of it is about thefinancial transactions, of course. Igno…</t>
  </si>
  <si>
    <t>Directed delegation; Knowledge injection</t>
  </si>
  <si>
    <t>evidence judgment; argumentative judgment; genre/writing expertise</t>
  </si>
  <si>
    <t>Rebalances the evidence sources and repeats structural constraints.</t>
  </si>
  <si>
    <t>AI revises emphasis and structure.</t>
  </si>
  <si>
    <t>DOCX body elements 728–728</t>
  </si>
  <si>
    <t>DOCX body elements 731–999</t>
  </si>
  <si>
    <t>HE-005</t>
  </si>
  <si>
    <t>I want this paper design. different than yours: 2-related work 3-Diaqnostik and weakness analysis PISA results , and the worldbank project: "Second Education Sector Development Project for Azerbaijan" do not include ANY finacial data / budget discussions 4-Causal loop diagram (Systems model): focus on higer ed, AZ universities factors: motivation of lecturers (muellimler), intrinsic motivation , extrinsic motivation …</t>
  </si>
  <si>
    <t>Directed delegation; Redirection</t>
  </si>
  <si>
    <t>methodological judgment; argumentative judgment</t>
  </si>
  <si>
    <t>Supplies the proposed paper structure and causal model actors.</t>
  </si>
  <si>
    <t>AI develops the structure around the researcher’s model.</t>
  </si>
  <si>
    <t>DOCX body elements 1000–1000</t>
  </si>
  <si>
    <t>DOCX body elements 1003–1144</t>
  </si>
  <si>
    <t>HE-006</t>
  </si>
  <si>
    <t>remove H1 and H2 labels use more solid azerbaijani writing include as : 1.1 Tədqiqatçının Mövqeliyi and credentials: 25 İl Qərb Universitetlerinde Təcrübəsi və Daxili-Xarici Perspektivi 26 il: Kanada, Türkiyə, Böyük Britaniya also I have been doing Kurikulumun Müasirləşdirilməsi of the AzTU İTT faculty , and capaity buiolding, coaching / mentoring of academic staff. "teaching the teachers". I also taught Fənn-"Akadem…</t>
  </si>
  <si>
    <t>methodological judgment; genre/writing expertise</t>
  </si>
  <si>
    <t>Rejects hypothesis labels, specifies Azerbaijani prose and supplies positional experience.</t>
  </si>
  <si>
    <t>AI revises the outline and merges sections.</t>
  </si>
  <si>
    <t>DOCX body elements 1145–1145</t>
  </si>
  <si>
    <t>DOCX body elements 1148–1440</t>
  </si>
  <si>
    <t>HE-007</t>
  </si>
  <si>
    <t>what u meant by: Fərqin Məzənnələrinin Məhdud Məzənnə Dəyişikliyi???</t>
  </si>
  <si>
    <t>Questions an apparently garbled Azerbaijani phrase.</t>
  </si>
  <si>
    <t>AI acknowledges a wording error and replaces it.</t>
  </si>
  <si>
    <t>DOCX body elements 1441–1441</t>
  </si>
  <si>
    <t>DOCX body elements 1444–1452</t>
  </si>
  <si>
    <t>HE-008</t>
  </si>
  <si>
    <t>regenerate the full TOC</t>
  </si>
  <si>
    <t>Requests regeneration of the table of contents without adding a substantive criterion.</t>
  </si>
  <si>
    <t>AI supplies a revised contents list.</t>
  </si>
  <si>
    <t>DOCX body elements 1453–1453</t>
  </si>
  <si>
    <t>DOCX body elements 1456–1704</t>
  </si>
  <si>
    <t>HE-009</t>
  </si>
  <si>
    <t>proof heading : 3.2 Dünya Bankı terefinden Azərbaycanin Təhsil Sektorunun İnkişafı maliyelesdirieln Layihəsi (2008-2016)</t>
  </si>
  <si>
    <t>Supplies a heading for proofreading without explaining a substantive judgment.</t>
  </si>
  <si>
    <t>AI edits the heading.</t>
  </si>
  <si>
    <t>DOCX body elements 1705–1705</t>
  </si>
  <si>
    <t>DOCX body elements 1708–1719</t>
  </si>
  <si>
    <t>HE-010</t>
  </si>
  <si>
    <t>İ revised the factors... here is the draft... suggest improvements / additions: (SUGGEST A GROUP NAME)- EXTERNAL?: Sovet mirası: dominant düşüncə tərzi, iş və təhsil mədəniyyəti, vs. İNSTİTUSİONAL/STRUKTUR AMİLLƏR Vəzifə/təyinat siyasətləri — irəliləyiş meyarları (araşdırma nəşri, tədris keyfiyyəti) Karyera irəliləyişi meyarı — liyaqət vs. qıdəm Sənaye-akademiya əməkdaşlığı mədəniyyəti AKADEMİK HEYƏT AMİLLƏRİ (Human …</t>
  </si>
  <si>
    <t>conceptual discrimination; methodological judgment; argumentative judgment</t>
  </si>
  <si>
    <t>Supplies factor groups and a revised causal explanation.</t>
  </si>
  <si>
    <t>AI organizes and elaborates the proposed categories.</t>
  </si>
  <si>
    <t>DOCX body elements 1720–1720</t>
  </si>
  <si>
    <t>DOCX body elements 1723–1789</t>
  </si>
  <si>
    <t>HE-011</t>
  </si>
  <si>
    <t>How would those impact the education and other factors? What kind of impacts do you think?</t>
  </si>
  <si>
    <t>Asks AI to explain causal impacts; the question itself supplies no explicit judgment.</t>
  </si>
  <si>
    <t>AI explains proposed causal pathways.</t>
  </si>
  <si>
    <t>DOCX body elements 1792–1792</t>
  </si>
  <si>
    <t>DOCX body elements 1796–1831</t>
  </si>
  <si>
    <t>HE-012</t>
  </si>
  <si>
    <t>shall ve add: Əmək bazarının ehtiyaclari, sahələr??</t>
  </si>
  <si>
    <t>domain correction; conceptual discrimination</t>
  </si>
  <si>
    <t>Identifies labour-market needs as a missing factor.</t>
  </si>
  <si>
    <t>AI adds labour-market alignment.</t>
  </si>
  <si>
    <t>DOCX body elements 1832–1832</t>
  </si>
  <si>
    <t>DOCX body elements 1835–1868</t>
  </si>
  <si>
    <t>HE-013</t>
  </si>
  <si>
    <t>explained this a little with what kind of impacts from that.</t>
  </si>
  <si>
    <t>Requests further explanation without stating an independent substantive criterion.</t>
  </si>
  <si>
    <t>AI explains the mechanism.</t>
  </si>
  <si>
    <t>DOCX body elements 1871–1871</t>
  </si>
  <si>
    <t>DOCX body elements 1875–1912</t>
  </si>
  <si>
    <t>HE-014</t>
  </si>
  <si>
    <t>Now I see what you mean. Uh, put the two extremes of it, the terminology. Um, give me better phrases. Perhaps something you can say, shallow versus in-depth and, uh, resolved to even something like that, uh, as the goals are accurate station and, uh, quality assurance.</t>
  </si>
  <si>
    <t>conceptual discrimination; genre/writing expertise</t>
  </si>
  <si>
    <t>Specifies shallow/deep endpoints for the model’s wording.</t>
  </si>
  <si>
    <t>AI proposes contrasting labels.</t>
  </si>
  <si>
    <t>DOCX body elements 1915–1915</t>
  </si>
  <si>
    <t>DOCX body elements 1919–1956</t>
  </si>
  <si>
    <t>HE-015</t>
  </si>
  <si>
    <t>Bürokratik yük — inzibati işlərin akademik vaxtı nə qədər "yeyməsi" or "yeməsi"?</t>
  </si>
  <si>
    <t>Identifies an Azerbaijani spelling choice requiring correction.</t>
  </si>
  <si>
    <t>AI corrects the spelling.</t>
  </si>
  <si>
    <t>DOCX body elements 1957–1957</t>
  </si>
  <si>
    <t>DOCX body elements 1960–1970</t>
  </si>
  <si>
    <t>HE-016</t>
  </si>
  <si>
    <t>İngilis dili səriştəsi — beynəlxalq elmi ədəbiyyata çıxış və əməkdaşlıq üçün açar amilNotethat in this paper we focus on education quality and not research quality. So in English, yeah, language knowledge is good, but it will help in, uh, to help an academic, uh, read the latest information and follow them. So not about the research, but about his, uh, domain knowledge, uh, getting updated</t>
  </si>
  <si>
    <t>domain correction; conceptual discrimination; argumentative judgment</t>
  </si>
  <si>
    <t>Distinguishes educational from research quality and supplies the knowledge-access mechanism.</t>
  </si>
  <si>
    <t>AI refocuses the explanation on teaching and current knowledge.</t>
  </si>
  <si>
    <t>DOCX body elements 1971–1971</t>
  </si>
  <si>
    <t>DOCX body elements 1974–1999</t>
  </si>
  <si>
    <t>HE-017</t>
  </si>
  <si>
    <t>Ailə/sosial-iqtisadi arxa plan (təhsilə çıxış bərabərsizliyi)- Why is this important? -</t>
  </si>
  <si>
    <t>Questions the causal relevance of family background.</t>
  </si>
  <si>
    <t>AI explains potential mechanisms.</t>
  </si>
  <si>
    <t>DOCX body elements 2000–2000</t>
  </si>
  <si>
    <t>DOCX body elements 2003–2032</t>
  </si>
  <si>
    <t>HE-018</t>
  </si>
  <si>
    <t>better vay of saying this: Ailə/sosial-iqtisadi arxa plan (təhsilə çıxış bərabərsizliyi)</t>
  </si>
  <si>
    <t>Requests a better phrase for family background.</t>
  </si>
  <si>
    <t>AI proposes alternatives.</t>
  </si>
  <si>
    <t>DOCX body elements 2033–2033</t>
  </si>
  <si>
    <t>DOCX body elements 2036–2056</t>
  </si>
  <si>
    <t>HE-019</t>
  </si>
  <si>
    <t>So just, uh, another phrase for this--- VASİTƏÇİ/YARANMA AMİLLƏRİ (Mediating)</t>
  </si>
  <si>
    <t>Seeks an alternative category name for mediating factors.</t>
  </si>
  <si>
    <t>AI offers terminology options.</t>
  </si>
  <si>
    <t>DOCX body elements 2057–2057</t>
  </si>
  <si>
    <t>DOCX body elements 2060–2081</t>
  </si>
  <si>
    <t>HE-020</t>
  </si>
  <si>
    <t>Any term that is better for every regular person to understand.</t>
  </si>
  <si>
    <t>Prioritizes a term understandable to lay readers.</t>
  </si>
  <si>
    <t>AI suggests accessible wording.</t>
  </si>
  <si>
    <t>DOCX body elements 2082–2082</t>
  </si>
  <si>
    <t>DOCX body elements 2085–2117</t>
  </si>
  <si>
    <t>HE-021</t>
  </si>
  <si>
    <t>Explain why this one is related to our context and what impacts. Geosiyasi kontekst: qonşu ölkələrlə (Türkiyə, Rusiya, İran) tarixi əlaqələr — təhsil və akademik istiqamətlərinə təsirləri</t>
  </si>
  <si>
    <t>conceptual discrimination; argumentative judgment</t>
  </si>
  <si>
    <t>Questions geopolitical factors’ relevance and effects.</t>
  </si>
  <si>
    <t>AI explains their proposed place in the model.</t>
  </si>
  <si>
    <t>DOCX body elements 2118–2118</t>
  </si>
  <si>
    <t>DOCX body elements 2121–2160</t>
  </si>
  <si>
    <t>HE-022</t>
  </si>
  <si>
    <t>give a slightly expanded prhase for the diagramç:? Dinamik akademik mühit (NE demək ?)</t>
  </si>
  <si>
    <t>Requests expansion of a short academic-environment label.</t>
  </si>
  <si>
    <t>AI supplies fuller wording.</t>
  </si>
  <si>
    <t>DOCX body elements 2162–2162</t>
  </si>
  <si>
    <t>DOCX body elements 2165–2187</t>
  </si>
  <si>
    <t>HE-023</t>
  </si>
  <si>
    <t>trans to AZ: Employability of graduates</t>
  </si>
  <si>
    <t>Requests translation of a term without substantive elaboration.</t>
  </si>
  <si>
    <t>AI translates graduate employability.</t>
  </si>
  <si>
    <t>DOCX body elements 2188–2188</t>
  </si>
  <si>
    <t>DOCX body elements 2191–2201</t>
  </si>
  <si>
    <t>HE-024</t>
  </si>
  <si>
    <t>İ designed the model.. reviev it</t>
  </si>
  <si>
    <t>Supplies the researcher’s model for assessment.</t>
  </si>
  <si>
    <t>AI reviews the model and recommends refinements.</t>
  </si>
  <si>
    <t>DOCX body elements 2204–2204</t>
  </si>
  <si>
    <t>DOCX body elements 2208–2245</t>
  </si>
  <si>
    <t>HE-025</t>
  </si>
  <si>
    <t>In this paper I don't want to focus on the feedbacks, my goal is just to identify cause and effect, so what impacts what. And, of course, I'm not showing all of them arrows because it's a bit too crowded. I'm showing the main ones.</t>
  </si>
  <si>
    <t>domain correction; conceptual discrimination; methodological judgment</t>
  </si>
  <si>
    <t>Distinguishes directional cause–effect arrows from feedback loops and specifies representation.</t>
  </si>
  <si>
    <t>AI acknowledges the distinction and revises the model description.</t>
  </si>
  <si>
    <t>DOCX body elements 2248–2248</t>
  </si>
  <si>
    <t>DOCX body elements 2252–2305</t>
  </si>
  <si>
    <t>HE-026</t>
  </si>
  <si>
    <t>give 1.1</t>
  </si>
  <si>
    <t>Requests Section 1.1 without additional substantive constraints.</t>
  </si>
  <si>
    <t>AI drafts the subsection.</t>
  </si>
  <si>
    <t>DOCX body elements 2306–2306</t>
  </si>
  <si>
    <t>DOCX body elements 2309–2316</t>
  </si>
  <si>
    <t>HE-027</t>
  </si>
  <si>
    <t>i structure sec 5 as follows. this is better: [5 Sistemin Praqmatik Təhlili və İslahat Təklifləri 6] (#_Toc234664129) [5.1 Makro / Kontekstual Amillərinin Təhlili və İslahatı 6](#_Toc234664130) [5.2 İnstitusional/Struktur Amillərinin Təhlili və İslahatı 6](#_Toc234664131) [5.3 Akademik Heyət Amillərinin Təhlili və İslahatı 6](#_Toc234664132) [5.4 Tələbə Amillərinin Təhlili və İslahatı 6] (#_Toc234664133) [5.5 Vasitəç…</t>
  </si>
  <si>
    <t>Supplies a section structure aligned with the model’s factor groups.</t>
  </si>
  <si>
    <t>AI reorganizes the section accordingly.</t>
  </si>
  <si>
    <t>DOCX body elements 2317–2317</t>
  </si>
  <si>
    <t>DOCX body elements 2320–2337</t>
  </si>
  <si>
    <t>HE-028</t>
  </si>
  <si>
    <t>Uh, what I have there, that's the personal industry academia interest and actual activities of each professor. And we don't have it in "Vasitəçi Amillər". We have it in the "İnstitusional/Struktur Amillər" means that if the system actually supports and encourages those collaboration.</t>
  </si>
  <si>
    <t>Distinguishes personal industry interest from institutional support.</t>
  </si>
  <si>
    <t>AI separates the mechanisms.</t>
  </si>
  <si>
    <t>DOCX body elements 2340–2340</t>
  </si>
  <si>
    <t>DOCX body elements 2344–2354</t>
  </si>
  <si>
    <t>HE-029</t>
  </si>
  <si>
    <t>nowhere in the paper used the k12 because that's the American or the Western terminology used the following term: "ümumi təhsil". Also, in the last paragraph of one point one, say... don't say that we focus on all the education system. We focus at the higher ed, but we consider that students, of course, come to the higher ed from "ümumi təhsil". see the AZ overall ed system levels. regen 1.1</t>
  </si>
  <si>
    <t>Redirection; Directed delegation</t>
  </si>
  <si>
    <t>domain correction; conceptual discrimination; genre/writing expertise</t>
  </si>
  <si>
    <t>Rejects K–12 terminology and corrects the study’s scope to higher education.</t>
  </si>
  <si>
    <t>AI changes terminology and scope.</t>
  </si>
  <si>
    <t>DOCX body elements 2357–2357</t>
  </si>
  <si>
    <t>DOCX body elements 2361–2368</t>
  </si>
  <si>
    <t>HE-030</t>
  </si>
  <si>
    <t>Shall that paragraph go in the opening of section one?</t>
  </si>
  <si>
    <t>Specifies the placement of a paragraph in the introduction.</t>
  </si>
  <si>
    <t>AI proposes introductory placement and wording.</t>
  </si>
  <si>
    <t>DOCX body elements 2371–2371</t>
  </si>
  <si>
    <t>DOCX body elements 2373–2394</t>
  </si>
  <si>
    <t>HE-031</t>
  </si>
  <si>
    <t>I added a new section, too, about research design. I think that's a better design way.</t>
  </si>
  <si>
    <t>Supplies the research-design structure.</t>
  </si>
  <si>
    <t>AI develops the methods section.</t>
  </si>
  <si>
    <t>DOCX body elements 2397–2397</t>
  </si>
  <si>
    <t>DOCX body elements 2401–2428</t>
  </si>
  <si>
    <t>HE-032</t>
  </si>
  <si>
    <t>For research methods, I'd... yeah. Well, you suggest what should we do. We'd say that, you know, we are gonna... I'm thinking of, like, mentioning the data sources and data collection. So I've done a student survey also using my own expertise and observations and field studies and related work. This... the research pay... the research method is that we will design a causation model and then use that to do pragmatic s…</t>
  </si>
  <si>
    <t>methodological judgment; evidence judgment</t>
  </si>
  <si>
    <t>Specifies a student survey, observations and experience as distinct inputs to causal modeling.</t>
  </si>
  <si>
    <t>AI incorporates the proposed methodological grounding.</t>
  </si>
  <si>
    <t>DOCX body elements 2431–2431</t>
  </si>
  <si>
    <t>DOCX body elements 2435–2449</t>
  </si>
  <si>
    <t>HE-033</t>
  </si>
  <si>
    <t>: Give two opening paragraphs for section one and also give one point one.Notes: --Donot use the Harari style of writing. use standard academic writing. --give text in chat area, not Word file --be very concise / minimalistic in text of each part. paper 's length shall be 8000 words max. keep a count of how much we have written so far. --ensure no overlap of the new text that you give, with other parts of the paper. …</t>
  </si>
  <si>
    <t>Sets academic style, length and reference-verification constraints for the introduction.</t>
  </si>
  <si>
    <t>AI drafts the introduction and supplies references; checks are not independently verified.</t>
  </si>
  <si>
    <t>DOCX body elements 2450–2450</t>
  </si>
  <si>
    <t>DOCX body elements 2453–2483</t>
  </si>
  <si>
    <t>HE-034</t>
  </si>
  <si>
    <t>?</t>
  </si>
  <si>
    <t>A question mark signals uncertainty but does not identify a substantive basis.</t>
  </si>
  <si>
    <t>AI interprets the cue as a wording question; coding is provisional.</t>
  </si>
  <si>
    <t>DOCX body elements 2485–2485</t>
  </si>
  <si>
    <t>DOCX body elements 2489–2506</t>
  </si>
  <si>
    <t>Converted DOCX: textbox continuations joined; AI completion/source-check claims are unverified. Ambiguous question-mark cue; provisional interpretation.</t>
  </si>
  <si>
    <t>HE-035</t>
  </si>
  <si>
    <t>using my hints below (if any), give text of: 1.2 Məqalənin Məqsədi və töhfələrNotes: --Donot use the Harari style of writing. use standard academic writing. --give text in chat area, not Word file --be very concise / minimalistic in text of each part. paper 's length shall be 8000 words max. keep a count of how much we have written so far. --ensure no overlap of the new text that you give, with other parts of the pap…</t>
  </si>
  <si>
    <t>Requests a constrained draft of Section 1.2.</t>
  </si>
  <si>
    <t>DOCX body elements 2507–2507</t>
  </si>
  <si>
    <t>DOCX body elements 2510–2530</t>
  </si>
  <si>
    <t>HE-036</t>
  </si>
  <si>
    <t>İ changed it to 1.2 Məqalənin Məqsədi, Yanaşması və töhfələri. regen</t>
  </si>
  <si>
    <t>Changes the heading to include the approach and requests regeneration.</t>
  </si>
  <si>
    <t>AI revises the heading and subsection.</t>
  </si>
  <si>
    <t>DOCX body elements 2532–2532</t>
  </si>
  <si>
    <t>DOCX body elements 2535–2556</t>
  </si>
  <si>
    <t>HE-037</t>
  </si>
  <si>
    <t>Is this the best design for section two?2 TƏDQİQATIN DİZAYNI A parag 2.1 Tədqiqat Metodu2.2 Tədqiqatçının Mövqeliyi, Mövzudakı Etibarlılığı və Daxili-Xarici Perspektivi • Qərb Universitetlərində 26 İl Akademik Təcrübəsi (Kanada, Türkiyə, Böyük Britaniya) • Since 2022, he is deeply integrated into AZ higher education system. A part-time invited prof in AZTU • AzTU İTT Fakültəsində Kurikulumun Müasirləşdirilməsi Layihə…</t>
  </si>
  <si>
    <t>Supplies credentials and positionality for the methods structure.</t>
  </si>
  <si>
    <t>AI develops the methodology and positionality account.</t>
  </si>
  <si>
    <t>DOCX body elements 2557–2557</t>
  </si>
  <si>
    <t>DOCX body elements 2560–2573</t>
  </si>
  <si>
    <t>HE-038</t>
  </si>
  <si>
    <t>No. Those are, uh, those are just the hints that I wanted to give to you. Right? I have, um, those are not ready, um, tasks. Those were just the hints for you.</t>
  </si>
  <si>
    <t>Clarifies that supplied hints describe intended work rather than completed tasks.</t>
  </si>
  <si>
    <t>AI revises the tense and methodological framing.</t>
  </si>
  <si>
    <t>DOCX body elements 2574–2574</t>
  </si>
  <si>
    <t>DOCX body elements 2574–2592</t>
  </si>
  <si>
    <t>HE-039</t>
  </si>
  <si>
    <t>using my hints below (if any), give text of: 2 TƏDQİQATIN DİZAYNI A parag 2.1 Tədqiqat Metodu2.2 Tədqiqatçının Mövqeliyi, Mövzudakı Etibarlılığı və Daxili-Xarici Perspektivi • • Define Daxili-Xarici Tədqiqat (insider outsider research) – BTÜ, İ vill cite “The space between: On being an insider-outsider in qualitative Research”, SC Dwyer, JL Buckle - International journal of qualitative …, 2009 - journals.sagepub.com …</t>
  </si>
  <si>
    <t>methodological judgment; evidence judgment; genre/writing expertise</t>
  </si>
  <si>
    <t>Provides insider/outsider experience and reference requirements for research-design prose.</t>
  </si>
  <si>
    <t>AI drafts the research design and positionality discussion.</t>
  </si>
  <si>
    <t>DOCX body elements 2593–2595</t>
  </si>
  <si>
    <t>DOCX body elements 2598–2629</t>
  </si>
  <si>
    <t>Extended draft/quoted context; researcher-origin judgment distinguished in rationale</t>
  </si>
  <si>
    <t>HE-040</t>
  </si>
  <si>
    <t>vhat about the student survey that ve designed and i hjave done?</t>
  </si>
  <si>
    <t>Detects omission of the planned student survey.</t>
  </si>
  <si>
    <t>AI adds the survey to the methods account.</t>
  </si>
  <si>
    <t>DOCX body elements 2631–2631</t>
  </si>
  <si>
    <t>DOCX body elements 2635–2641</t>
  </si>
  <si>
    <t>HE-041</t>
  </si>
  <si>
    <t>data were collected during june-july 2026. 53 student completed it</t>
  </si>
  <si>
    <t>Supplies survey timing and sample size of 53.</t>
  </si>
  <si>
    <t>AI integrates the survey details.</t>
  </si>
  <si>
    <t>DOCX body elements 2644–2644</t>
  </si>
  <si>
    <t>DOCX body elements 2648–2679</t>
  </si>
  <si>
    <t>HE-042</t>
  </si>
  <si>
    <t>give a sentence that all the questions of the survey can be found in an online supplementary material (URL)</t>
  </si>
  <si>
    <t>Supplies a survey URL for the account.</t>
  </si>
  <si>
    <t>AI adds the link and contextual prose; access is not independently confirmed.</t>
  </si>
  <si>
    <t>DOCX body elements 2680–2680</t>
  </si>
  <si>
    <t>DOCX body elements 2684–2692</t>
  </si>
  <si>
    <t>HE-043</t>
  </si>
  <si>
    <t>using my hints below (if any), give text of: 3.1 Azərbaycanın Təhsil Sistemi Haqqında Əvvəlki Tədqiqatlar UNICEF Azərbaycan Təhsil Hesabatı (2010) CITE in APA style, and very briefly discuss THESE PAPERS • Abasova, S. H. q. (2024). Competitiveness of Higher Education in Azerbaijan: Comparative Analysis with Former USSR’ Countries. Journal of Psychological Science and Research, 4(3), 1–8. • Aliyev, M., &amp; Aliyeva, S. (…</t>
  </si>
  <si>
    <t>Supplies a source pool and requires related-work synthesis and citation checks.</t>
  </si>
  <si>
    <t>AI drafts related work; bibliographic accuracy is not independently checked here.</t>
  </si>
  <si>
    <t>DOCX body elements 2694–2702</t>
  </si>
  <si>
    <t>DOCX body elements 2705–2754</t>
  </si>
  <si>
    <t>URL(s) supplied in prompt; Extended draft/quoted context; researcher-origin judgment distinguished in rationale</t>
  </si>
  <si>
    <t>HE-044</t>
  </si>
  <si>
    <t>here it is https://www.journalser.com/jser/article/view/130 -- and its Abstract In the modern era, higher education institutions are not only organizations that perform teaching functions but also strategic academic centers that play a crucial role in the creation, dissemination, and application of scientific knowledge. Strengthening the research potential of universities is one of the key prerequisites for the devel…</t>
  </si>
  <si>
    <t>Supplies a URL and abstract to counter AI’s doubts about a source.</t>
  </si>
  <si>
    <t>AI accepts the supplied source and revises its treatment.</t>
  </si>
  <si>
    <t>DOCX body elements 2759–2759</t>
  </si>
  <si>
    <t>DOCX body elements 2763–2775</t>
  </si>
  <si>
    <t>HE-045</t>
  </si>
  <si>
    <t>regen 3.1</t>
  </si>
  <si>
    <t>Requests regeneration of a named subsection without new substantive specification.</t>
  </si>
  <si>
    <t>AI rewrites Section 3.1.</t>
  </si>
  <si>
    <t>DOCX body elements 2777–2777</t>
  </si>
  <si>
    <t>DOCX body elements 2780–2819</t>
  </si>
  <si>
    <t>HE-046</t>
  </si>
  <si>
    <t>using my hints below (if any), give text of: 4 DİAQNOSTİK ANALİZ VƏ ÇATIŞMAZLIQLARIN MÜƏYYƏNLƏŞDİRİLMƏSİ Opening parag... vhat ve vill cover in sec 4 4.1 PISA Nəticələri: Ümumi Təhsil Təməlinin Zəifliyindən Ali Təhsilə Ötürülmə (OECD, 2023) • PİSA is OECD’nin tanınmış Beynəlxalq Tələbə Qiymətləndirmə Proqramının (İngiliscə: Program for International Student Assessment • global evaluation of 15-year-olds' math, readin…</t>
  </si>
  <si>
    <t>Supplies PISA-based diagnostic content and specifies interpretation and drafting constraints.</t>
  </si>
  <si>
    <t>AI drafts the diagnosis and comparison.</t>
  </si>
  <si>
    <t>DOCX body elements 2822–2825</t>
  </si>
  <si>
    <t>DOCX body elements 2828–2864</t>
  </si>
  <si>
    <t>HE-047</t>
  </si>
  <si>
    <t>what are TIMSS və PIRLS?</t>
  </si>
  <si>
    <t>Requests definitions of TIMSS and PIRLS without displaying a judgment.</t>
  </si>
  <si>
    <t>AI explains the assessments.</t>
  </si>
  <si>
    <t>DOCX body elements 2865–2865</t>
  </si>
  <si>
    <t>DOCX body elements 2868–2891</t>
  </si>
  <si>
    <t>HE-048</t>
  </si>
  <si>
    <t>find PISA 2012 Results of azerbaijan</t>
  </si>
  <si>
    <t>Requests retrieval of a specific assessment-year result.</t>
  </si>
  <si>
    <t>AI discusses PISA 2012 participation/results; retrieval claim is unverified.</t>
  </si>
  <si>
    <t>DOCX body elements 2892–2892</t>
  </si>
  <si>
    <t>DOCX body elements 2897–2919</t>
  </si>
  <si>
    <t>HE-049</t>
  </si>
  <si>
    <t>find PISA 2015 Results of azerbaijan</t>
  </si>
  <si>
    <t>Requests retrieval of another assessment-year result.</t>
  </si>
  <si>
    <t>AI discusses PISA 2015 participation/results; retrieval claim is unverified.</t>
  </si>
  <si>
    <t>DOCX body elements 2920–2920</t>
  </si>
  <si>
    <t>DOCX body elements 2925–2944</t>
  </si>
  <si>
    <t>HE-050</t>
  </si>
  <si>
    <t>regen text of 4.1 with this update: • Azərbaycan first entered the assessment in 2009, 65 ölkə arasında sondan ikinci yerdə qərarlaşdı -Azərbaycan 2012 ve 2015-ci il PISA-da İştirak Etmədi</t>
  </si>
  <si>
    <t>Knowledge injection; Directed delegation</t>
  </si>
  <si>
    <t>evidence judgment; domain correction</t>
  </si>
  <si>
    <t>Corrects participation chronology using the reported 2009 entry and absence in 2012/2015.</t>
  </si>
  <si>
    <t>AI revises Section 4.1.</t>
  </si>
  <si>
    <t>DOCX body elements 2945–2945</t>
  </si>
  <si>
    <t>DOCX body elements 2948–2973</t>
  </si>
  <si>
    <t>HE-051</t>
  </si>
  <si>
    <t>see the attached paper file in progressit 2838 vords already/ using my hints below (if any), give text of: 4.2 Dünya Bankının Dəstəklədiyi Azərbaycanın Təhsil İnkişafı Layihəsi (2008-2016) Nəticələr, Dərslər və Ali Təhsilə Aidiyyəti • Layihənin məqsədi: Ümumi Təhsildə, tədris keyfiyyətinin artırılması, akademik heyətin hazırlığı, kurikulum islahatı • Əsas nəticələr: o 145,000-dən çox müəllimin təhsil xidmətinə cəlb e…</t>
  </si>
  <si>
    <t>Supplies World Bank findings and directs their diagnostic interpretation.</t>
  </si>
  <si>
    <t>AI drafts a report-based diagnostic subsection.</t>
  </si>
  <si>
    <t>DOCX body elements 2978–2980</t>
  </si>
  <si>
    <t>DOCX body elements 2986–3008</t>
  </si>
  <si>
    <t>File/context references in prompt; inspect full text; Extended draft/quoted context; researcher-origin judgment distinguished in rationale</t>
  </si>
  <si>
    <t>HE-052</t>
  </si>
  <si>
    <t>xidmətdaxili təhsilə?</t>
  </si>
  <si>
    <t>Questions the suitability of an Azerbaijani training term.</t>
  </si>
  <si>
    <t>AI explains or replaces the term.</t>
  </si>
  <si>
    <t>DOCX body elements 3009–3009</t>
  </si>
  <si>
    <t>DOCX body elements 3012–3025</t>
  </si>
  <si>
    <t>HE-053</t>
  </si>
  <si>
    <t>using my hints below (if any), give text of: 4.3 Onlayn Anket Sorğudan Gələn Tələbələrin Rəyləri Say why we did the Anket Sorğu// to further augment our analysis and inform bjulding the model in sec 5 53 cavabdeh (hazırda ali təhsil və ya texniki peşə təhsili alan, yaxud bu təhsili bitirmiş gənclər) -Notes: --Do not use the Harari style of writing. use standard academic writing. --give text in chat area, not Word fil…</t>
  </si>
  <si>
    <t>methodological judgment; evidence judgment; argumentative judgment; genre/writing expertise</t>
  </si>
  <si>
    <t>Supplies the 53-student survey findings and directs analysis and quotation use.</t>
  </si>
  <si>
    <t>AI drafts the survey findings and interpretation.</t>
  </si>
  <si>
    <t>DOCX body elements 3027–3030</t>
  </si>
  <si>
    <t>DOCX body elements 3034–3057</t>
  </si>
  <si>
    <t>HE-054</t>
  </si>
  <si>
    <t>DO WE really need this subsec: 4.4 Ümumi Təhsildə Hazırlığın Tələbələrin Ali Təhsildəki Performanslarına Təsirləri? that issue has been discuss a a few times?</t>
  </si>
  <si>
    <t>argumentative judgment; genre/writing expertise</t>
  </si>
  <si>
    <t>Identifies redundancy with the earlier general-preparation discussion.</t>
  </si>
  <si>
    <t>AI recommends reducing or reorganizing the subsection.</t>
  </si>
  <si>
    <t>DOCX body elements 3058–3058</t>
  </si>
  <si>
    <t>DOCX body elements 3061–3084</t>
  </si>
  <si>
    <t>HE-055</t>
  </si>
  <si>
    <t>using my hints below (if any), give text of: 4.4 Mövcud Səylər: TKTA, TİF, və Ali Təhsildə Beynəlxalq Akkreditasiyalar Fəaliyyətləri – include in heading: teqdire layiq, but we need to do more Educatin QA has recieved more awareness in AZ in recent years teqdire layiq, but we need to do more Establishment of Təhsildə Keyfiyyət Təminatı Agentliyi (TKTA) in 2019 under the MOSE embassy https://tkta.edu.az/ ... they do P…</t>
  </si>
  <si>
    <t>Supplies quality-assurance initiatives and requires a balanced interpretation.</t>
  </si>
  <si>
    <t>AI drafts the initiatives subsection with supporting references.</t>
  </si>
  <si>
    <t>DOCX body elements 3086–3095</t>
  </si>
  <si>
    <t>DOCX body elements 3099–3126</t>
  </si>
  <si>
    <t>HE-056</t>
  </si>
  <si>
    <t>yetkinləşməmiş?</t>
  </si>
  <si>
    <t>Questions an Azerbaijani word’s appropriateness.</t>
  </si>
  <si>
    <t>AI explains and proposes alternatives.</t>
  </si>
  <si>
    <t>DOCX body elements 3127–3127</t>
  </si>
  <si>
    <t>DOCX body elements 3130–3151</t>
  </si>
  <si>
    <t>HE-057</t>
  </si>
  <si>
    <t>Now let's move to section five. Is this the best structure that we can have for that section?</t>
  </si>
  <si>
    <t>Requests assessment of the Section 5 structure.</t>
  </si>
  <si>
    <t>AI evaluates and refines the structure.</t>
  </si>
  <si>
    <t>DOCX body elements 3154–3154</t>
  </si>
  <si>
    <t>DOCX body elements 3158–3197</t>
  </si>
  <si>
    <t>HE-058</t>
  </si>
  <si>
    <t>5.2 Modelin Dizaynı: Kateqoriyalar və Səbəb-Nəticə əlaqələri?</t>
  </si>
  <si>
    <t>Proposes a model-development heading.</t>
  </si>
  <si>
    <t>AI refines the heading.</t>
  </si>
  <si>
    <t>DOCX body elements 3198–3198</t>
  </si>
  <si>
    <t>DOCX body elements 3201–3208</t>
  </si>
  <si>
    <t>HE-059</t>
  </si>
  <si>
    <t>caption for Şəkil 1-Azərbaycanın Ali Təhsil Sisteminin Keyfiyyətinə Spesifik Dizayn Olmuş Səbəb-Nəticə Modeli?</t>
  </si>
  <si>
    <t>Supplies a figure and requests its caption.</t>
  </si>
  <si>
    <t>The visible response begins with factor descriptions; the requested caption is not clearly recoverable.</t>
  </si>
  <si>
    <t>DOCX body elements 3209–3209</t>
  </si>
  <si>
    <t>DOCX body elements 3209–3254</t>
  </si>
  <si>
    <t>Converted DOCX: textbox continuations joined; AI completion/source-check claims are unverified. Interpret response/intent in context; see rationale and notes.</t>
  </si>
  <si>
    <t>HE-060</t>
  </si>
  <si>
    <t>using my hints below (if any), give text of: 5 SİSTEMİN KÖK-SƏBƏB-NƏTİCƏ MODELLƏŞDİRİLMƏSİ [Açılış paraqrafı — metodun əsaslandırılması] niyə səbəb-nəticə modelləşdirmə bu kontekst üçün faydalıdır 5.1 Sistemdəki Kök-Səbəb və Nəticə Amillərini Təyin Etmək [Amillərin siyahısı + hər birinin qısa empirik/nəzəri əsası]-Notes: --Do not use the Harari style of writing. use standard academic writing. --give text inchat area,…</t>
  </si>
  <si>
    <t>methodological judgment; argumentative judgment; genre/writing expertise</t>
  </si>
  <si>
    <t>Specifies model development, factor-selection justification and drafting constraints.</t>
  </si>
  <si>
    <t>AI drafts the model-development account.</t>
  </si>
  <si>
    <t>DOCX body elements 3257–3257</t>
  </si>
  <si>
    <t>DOCX body elements 3261–3293</t>
  </si>
  <si>
    <t>HE-061</t>
  </si>
  <si>
    <t>it Seems we have not cited the following three papers. Right? in the opening paragraph of section five, you can say that system dynamic modeling has been used actually for higher education systems analysis and cite the following three papers very brieflyCruz-Bohorquez, J. M., Adams, S. G., &amp; Bravo, F. A. (2024). The Academic System Influence on Instructional Change: A Conceptual Systems Dynamics Model of Faculty Moti…</t>
  </si>
  <si>
    <t>evidence judgment; methodological judgment</t>
  </si>
  <si>
    <t>Identifies omitted systems-dynamics papers and supplies references for integration.</t>
  </si>
  <si>
    <t>AI integrates the named comparison studies.</t>
  </si>
  <si>
    <t>DOCX body elements 3294–3294</t>
  </si>
  <si>
    <t>DOCX body elements 3297–3330</t>
  </si>
  <si>
    <t>HE-062</t>
  </si>
  <si>
    <t>in sec five point one you already did the classifications . do we need five point two or do we need to merge those two? I'm not sure.</t>
  </si>
  <si>
    <t>Identifies overlap between factor classification and model explanation and requests merging.</t>
  </si>
  <si>
    <t>AI combines the sections.</t>
  </si>
  <si>
    <t>DOCX body elements 3331–3331</t>
  </si>
  <si>
    <t>DOCX body elements 3334–3367</t>
  </si>
  <si>
    <t>HE-063</t>
  </si>
  <si>
    <t>but then vhat about 5.3 Modelin Təfsir və İnterpretasiyası... vhat shall üe have there?</t>
  </si>
  <si>
    <t>Asks what interpretation should add to the model presentation.</t>
  </si>
  <si>
    <t>AI distinguishes interpretation from description and recommendations.</t>
  </si>
  <si>
    <t>DOCX body elements 3368–3368</t>
  </si>
  <si>
    <t>DOCX body elements 3371–3399</t>
  </si>
  <si>
    <t>HE-064</t>
  </si>
  <si>
    <t>give text of those tvo subsecs</t>
  </si>
  <si>
    <t>Requests the two previously discussed subsections without adding a criterion.</t>
  </si>
  <si>
    <t>AI drafts them.</t>
  </si>
  <si>
    <t>DOCX body elements 3402–3402</t>
  </si>
  <si>
    <t>DOCX body elements 3406–3413</t>
  </si>
  <si>
    <t>HE-065</t>
  </si>
  <si>
    <t>vhich six? not a good vay to start if you have not discussed those 6</t>
  </si>
  <si>
    <t>Challenges an undefined reference to six categories.</t>
  </si>
  <si>
    <t>AI clarifies the categories and their introduction.</t>
  </si>
  <si>
    <t>DOCX body elements 3416–3416</t>
  </si>
  <si>
    <t>DOCX body elements 3420–3432</t>
  </si>
  <si>
    <t>HE-066</t>
  </si>
  <si>
    <t>Here is figure one, not that I have not put all the possible impact, uh, the relationships and, uh, arrows and edges there, just not to overload, um, them. I have put the most important one and, of course, as you can see for the student factors, uh, I treat them as a kind of, uh, let's say, composite node means that all the four factors, understand factors, I put, like, an, uh, a box and around them and so that all o…</t>
  </si>
  <si>
    <t>Explains representative arrows and a composite student node, directing model interpretation.</t>
  </si>
  <si>
    <t>AI revises the explanation of the model’s simplifications.</t>
  </si>
  <si>
    <t>DOCX body elements 3435–3435</t>
  </si>
  <si>
    <t>DOCX body elements 3439–3443</t>
  </si>
  <si>
    <t>HE-067</t>
  </si>
  <si>
    <t>give 5.2</t>
  </si>
  <si>
    <t>Names a subsection to generate without new substantive specification.</t>
  </si>
  <si>
    <t>DOCX body elements 3445–3445</t>
  </si>
  <si>
    <t>DOCX body elements 3448–3471</t>
  </si>
  <si>
    <t>HE-068</t>
  </si>
  <si>
    <t>I feel that five point two is is is going to converge and have similar text as section six in which we will analyze and propose some suggestions. How should we remove this overlap? shall Modelin Təfsir və İnterpretasiyası be much shorter and higher level?</t>
  </si>
  <si>
    <t>Identifies overlap with recommendations and requires a shorter, higher-level interpretation.</t>
  </si>
  <si>
    <t>AI shortens and refocuses the interpretation.</t>
  </si>
  <si>
    <t>DOCX body elements 3472–3472</t>
  </si>
  <si>
    <t>DOCX body elements 3475–3511</t>
  </si>
  <si>
    <t>HE-069</t>
  </si>
  <si>
    <t>What do you mean by those three?</t>
  </si>
  <si>
    <t>Challenges an imprecise reference to three levels.</t>
  </si>
  <si>
    <t>AI acknowledges imprecision and clarifies the intended categories.</t>
  </si>
  <si>
    <t>DOCX body elements 3514–3514</t>
  </si>
  <si>
    <t>DOCX body elements 3518–3540</t>
  </si>
  <si>
    <t>HE-070</t>
  </si>
  <si>
    <t>Is this the best structure for section six? I also would like to include the term "road map" in the headings. Is that a good idea?</t>
  </si>
  <si>
    <t>Adds a roadmap to the reform section structure.</t>
  </si>
  <si>
    <t>AI revises the section plan.</t>
  </si>
  <si>
    <t>DOCX body elements 3543–3543</t>
  </si>
  <si>
    <t>DOCX body elements 3547–3593</t>
  </si>
  <si>
    <t>HE-071</t>
  </si>
  <si>
    <t>using my hints below (if any), give text of: 6 SİSTEMİN PRAQMATİK TƏHLİLİ VƏ İSLAHAT TƏKLİFLƏRİ Opening parag 6.1 Makro / Kontekstual Amillərinin Təhlili və İslahatı Not much can be done Sovet mirası: dominant düşüncə tərzi, iş və təhsil mədəniyyəti, vs. – it is what it is. We cannot change the past, we can just deal with and improve it Əmək bazarının strukturu: dövlət sektorunun dominantlığı, özəl sektorun zəifliyi …</t>
  </si>
  <si>
    <t>conceptual discrimination; argumentative judgment; genre/writing expertise</t>
  </si>
  <si>
    <t>Explains that contextual factors differ in changeability and supplies reform-writing constraints.</t>
  </si>
  <si>
    <t>AI drafts contextual recommendations.</t>
  </si>
  <si>
    <t>DOCX body elements 3595–3597</t>
  </si>
  <si>
    <t>DOCX body elements 3600–3630</t>
  </si>
  <si>
    <t>HE-072</t>
  </si>
  <si>
    <t>"qıdəm-əsaslı: proper AZ term?</t>
  </si>
  <si>
    <t>Questions a nonstandard Azerbaijani seniority term.</t>
  </si>
  <si>
    <t>AI acknowledges a translation problem and proposes a replacement.</t>
  </si>
  <si>
    <t>DOCX body elements 3631–3631</t>
  </si>
  <si>
    <t>DOCX body elements 3634–3657</t>
  </si>
  <si>
    <t>HE-073</t>
  </si>
  <si>
    <t>using my hints below (if any), give text of: 6.2 İnstitusional/Struktur Amillərinin Təhlili və İslahatı Give pragmatic improvement suggestions for: Universitet muxtariyyəti səviyyəsi (mərkəzi nəzarət ↔ institusional sərbəstlik) Akademik Heyət Vəzifə/təyinat siyasətləri, Karyera irəliləyişi meyarı (tədris keyfiyyəti, araşdırma nəşri) Universitet səviyyəsində Akademiya-Sənaye əməkdaşlığı mədəniyyəti və təşviq olub olma…</t>
  </si>
  <si>
    <t>Supplies academic-staff reform mechanisms and an ÖYP comparator, emphasizing staff centrality.</t>
  </si>
  <si>
    <t>AI drafts institutional and staff reforms with sources.</t>
  </si>
  <si>
    <t>DOCX body elements 3659–3662</t>
  </si>
  <si>
    <t>DOCX body elements 3666–3716</t>
  </si>
  <si>
    <t>HE-074</t>
  </si>
  <si>
    <t>I think we have not said that changing and improving knowledge of existing and established faculty members are not important, is not easy, and most of these suggestions should be considered for training of new faculty members and young, uh, assistant professors. And, really, separate project and effort and paper can be spent on each of the above, um, factors in six point three. give me 1-2 parags to add to end of 6.3</t>
  </si>
  <si>
    <t>Distinguishes reform prospects for established staff from new hires.</t>
  </si>
  <si>
    <t>AI adds differentiated recommendations.</t>
  </si>
  <si>
    <t>DOCX body elements 3719–3719</t>
  </si>
  <si>
    <t>DOCX body elements 3723–3740</t>
  </si>
  <si>
    <t>HE-075</t>
  </si>
  <si>
    <t>təcrübəli-yeni akademik heyət tandemləri?</t>
  </si>
  <si>
    <t>Questions the proposed wording for experienced/new-staff tandems.</t>
  </si>
  <si>
    <t>AI explains and revises the term.</t>
  </si>
  <si>
    <t>DOCX body elements 3741–3741</t>
  </si>
  <si>
    <t>DOCX body elements 3744–3771</t>
  </si>
  <si>
    <t>HE-076</t>
  </si>
  <si>
    <t>using my hints below (if any), give text of: 6.4 Tələbə Amillərinin Təhlili və İslahatı Give pragmatic improvement suggestions for: Ümumi təhsildən gələn Bilik, Bacarıq hazırlıq səviyyəsi (a separate study / paper shall be done on Ümumi təhsild quality QA. We focused on AZ high ed in this paper) Motivasiya / həvəs səviyyəsi— daxili (Sinek "Niyə?") Motivasiya / həvəs səviyyəsi xarici (gələcək karyera, maaş) Ailəsinin …</t>
  </si>
  <si>
    <t>Supplies student, mediating-factor and outcome reform ideas with drafting constraints.</t>
  </si>
  <si>
    <t>AI drafts the proposed reform subsections.</t>
  </si>
  <si>
    <t>DOCX body elements 3773–3776</t>
  </si>
  <si>
    <t>DOCX body elements 3782–3831</t>
  </si>
  <si>
    <t>HE-077</t>
  </si>
  <si>
    <t>as paper title İ have: Azərbaycanın Ali Təhsil Sisteminin Sistemli İslahat və İnkişafı üçün Birinci Addım: Sistem Keyfiyyətinin Praqmatik və Diaqnostik Təhliligive me better suggestions</t>
  </si>
  <si>
    <t>Supplies the current title and requests alternatives.</t>
  </si>
  <si>
    <t>AI proposes revised titles.</t>
  </si>
  <si>
    <t>DOCX body elements 3832–3832</t>
  </si>
  <si>
    <t>DOCX body elements 3835–3864</t>
  </si>
  <si>
    <t>HE-078</t>
  </si>
  <si>
    <t>Praqmatik və Diaqnostik Bir Model və Təhlil?</t>
  </si>
  <si>
    <t>Proposes a title emphasizing model and analysis.</t>
  </si>
  <si>
    <t>AI assesses and refines the title.</t>
  </si>
  <si>
    <t>DOCX body elements 3865–3865</t>
  </si>
  <si>
    <t>DOCX body elements 3868–3895</t>
  </si>
  <si>
    <t>HE-079</t>
  </si>
  <si>
    <t>but "Keyfiyyət" is not there</t>
  </si>
  <si>
    <t>Detects omission of educational quality from the title.</t>
  </si>
  <si>
    <t>AI restores the quality focus.</t>
  </si>
  <si>
    <t>DOCX body elements 3898–3898</t>
  </si>
  <si>
    <t>DOCX body elements 3902–3924</t>
  </si>
  <si>
    <t>HE-080</t>
  </si>
  <si>
    <t>rephrase</t>
  </si>
  <si>
    <t>Requests rephrasing without specifying a substantive criterion.</t>
  </si>
  <si>
    <t>AI supplies alternatives.</t>
  </si>
  <si>
    <t>DOCX body elements 3927–3927</t>
  </si>
  <si>
    <t>DOCX body elements 3931–3948</t>
  </si>
  <si>
    <t>HE-081</t>
  </si>
  <si>
    <t>preparatoriya: AZ vord?</t>
  </si>
  <si>
    <t>Questions a calque used for preparatory education.</t>
  </si>
  <si>
    <t>AI replaces the problematic term.</t>
  </si>
  <si>
    <t>DOCX body elements 3949–3949</t>
  </si>
  <si>
    <t>DOCX body elements 3952–3971</t>
  </si>
  <si>
    <t>HE-082</t>
  </si>
  <si>
    <t>using my hints below (if any), give text of: 7 NƏTİCƏ: PRAQMATİK YANAŞMA VƏ İRƏLİYƏ DOĞRU YOL We do not indent to provide a details Yol Xəritəsi, since if that work is to be done, it shall be done jointly with MOSE and other stakeholders. A centralized, controlled and pragmatic roadmap on eadch of the suggestiosn in sec 6 is encouraged 7.1 Yekun Mülahizə Azərbaycanın ali təhsil sistemində əsas çatışmazlıq təkcə maliy…</t>
  </si>
  <si>
    <t>Knowledge injection; Redirection</t>
  </si>
  <si>
    <t>Directs a conclusion emphasizing collaboration without repeating the full roadmap.</t>
  </si>
  <si>
    <t>AI drafts the conclusion.</t>
  </si>
  <si>
    <t>DOCX body elements 3972–3974</t>
  </si>
  <si>
    <t>DOCX body elements 3977–4006</t>
  </si>
  <si>
    <t>HE-083</t>
  </si>
  <si>
    <t>proof: Təşəkkürlər Muellim 2022 ilden etibran vetenimiz Azerbaycan ile uzaq da da yasasa da, activ isbirilig edib. Bütöv deyerli hemkarlar ve meslekdaslar ki bu meqalede yazılan mövzularda muellim ki muzakire ve fikir mubadiklesi edibler, tesekkur edir.</t>
  </si>
  <si>
    <t>Supplies an acknowledgments draft for proofreading.</t>
  </si>
  <si>
    <t>AI edits the acknowledgments.</t>
  </si>
  <si>
    <t>DOCX body elements 4007–4007</t>
  </si>
  <si>
    <t>DOCX body elements 4010–4032</t>
  </si>
  <si>
    <t>HE-084</t>
  </si>
  <si>
    <t>expand 2 fold</t>
  </si>
  <si>
    <t>Requests a twofold expansion without identifying the passage in the short prompt.</t>
  </si>
  <si>
    <t>AI expands the conclusion; the preceding acknowledgments context makes the target ambiguous.</t>
  </si>
  <si>
    <t>DOCX body elements 4037–4037</t>
  </si>
  <si>
    <t>DOCX body elements 4040–4058</t>
  </si>
  <si>
    <t>HE-085</t>
  </si>
  <si>
    <t>Review the draft paper. I need an abstract and keyword from you. And, also, uh, titled in English and also abstracting keyword in English as well.</t>
  </si>
  <si>
    <t>Requests manuscript review, abstract, keywords and bilingual title work.</t>
  </si>
  <si>
    <t>AI reviews and drafts the requested front matter.</t>
  </si>
  <si>
    <t>DOCX body elements 4061–4061</t>
  </si>
  <si>
    <t>DOCX body elements 4066–4095</t>
  </si>
  <si>
    <t>HE-086</t>
  </si>
  <si>
    <t>remove all old versions of this paper that you have in your memory. and then review this latest version. provide feedback for improvement . if there are problems tell me exactly where and how i should change it</t>
  </si>
  <si>
    <t>Requires use of only the latest version and precise, actionable review.</t>
  </si>
  <si>
    <t>AI gives a detailed review and specific changes.</t>
  </si>
  <si>
    <t>DOCX body elements 4100–4100</t>
  </si>
  <si>
    <t>DOCX body elements 4105–4188</t>
  </si>
  <si>
    <t>HE-087</t>
  </si>
  <si>
    <t>Write a short professional email in az to Arzu Soltan (Baş redaktor) https://www.as-journal.edu.az/editorial-boardsay that I would like to submit this Əlyazma (Manuscript) totheir journal, by the way, that's the sign of submission. They don't have an onlinesystem.</t>
  </si>
  <si>
    <t>Sets a short Azerbaijani submission email and provides the intended editor/journal.</t>
  </si>
  <si>
    <t>AI drafts the email; no sending is recorded.</t>
  </si>
  <si>
    <t>DOCX body elements 4189–4189</t>
  </si>
  <si>
    <t>DOCX body elements 4193–4212</t>
  </si>
  <si>
    <t>HE-088</t>
  </si>
  <si>
    <t>Because of the following phrase on their website "Bu sistemdə həm müəlliflərin, həm də rəyçilərin kimliyi anonim saxlanılır", say that I have removed... I have not included my, um, name and affiliation in the first page, but they are in a separate file. also, thank her and the rəyçilərin in advance</t>
  </si>
  <si>
    <t>Supplies anonymous-submission rules and requests title-page guidance.</t>
  </si>
  <si>
    <t>AI explains the required submission materials.</t>
  </si>
  <si>
    <t>DOCX body elements 4213–4213</t>
  </si>
  <si>
    <t>DOCX body elements 4216–4236</t>
  </si>
  <si>
    <t>HE-089</t>
  </si>
  <si>
    <t>Əhəmiyyətli dövlət investisiyalarına baxmayaraq, Azərbaycanın ali təhsil sistemi keyfiyyət çatışmazlıqları ilə üzləşir. add after this phrase in the abstract, some examples such as low number of, uh, papers from, uh, top, uh, international journals from AZ researchers, uh, weaknesses of the research, uh, environment, and, uh, relatively lower quality of research profile of many, uh, academic staff.</t>
  </si>
  <si>
    <t>Proposes adding weak research output to the abstract.</t>
  </si>
  <si>
    <t>No intervening AI response is visible before the next human prompt.</t>
  </si>
  <si>
    <t>DOCX body elements 4237–4237</t>
  </si>
  <si>
    <t>No intervening AI response visible</t>
  </si>
  <si>
    <t>HE-090</t>
  </si>
  <si>
    <t>Əhəmiyyətli dövlət investisiyalarına baxmayaraq, Azərbaycanın ali təhsil sistemi keyfiyyət çatışmazlıqları ilə üzləşir. add after this phrase in the abstract, some examples such as: Student not receiving world class education. Uh, low employability of, uh, many graduates, and many academic staff not proactively pursuing excellence.</t>
  </si>
  <si>
    <t>Refocuses examples on learning, employability and academic excellence.</t>
  </si>
  <si>
    <t>AI revises the abstract examples.</t>
  </si>
  <si>
    <t>DOCX body elements 4239–4239</t>
  </si>
  <si>
    <t>DOCX body elements 4242–4259</t>
  </si>
  <si>
    <t>HE-091</t>
  </si>
  <si>
    <t>replace this term</t>
  </si>
  <si>
    <t>Selects a term for replacement.</t>
  </si>
  <si>
    <t>AI supplies replacement wording.</t>
  </si>
  <si>
    <t>DOCX body elements 4262–4262</t>
  </si>
  <si>
    <t>DOCX body elements 4266–4291</t>
  </si>
  <si>
    <t>HE-092</t>
  </si>
  <si>
    <t>Məqalə arqument edir ki, Azərbaycanın əsas çətinliyi resurs qıtlığı deyil, islahat səyləri arasında sistemli uyğunluğun az olmasıdır və burada təqdim olunan diaqnostik çərçivə üzərində qurulan, maraqlı tərəflərin birgə iştirakı ilə hazırlanacaq mərkəzləşdirilmiş yol xəritəsi çağırışı edir. ----</t>
  </si>
  <si>
    <t>Supplies an abstract sentence without an explicit instruction or evaluation.</t>
  </si>
  <si>
    <t>AI interprets the input as a language-editing request.</t>
  </si>
  <si>
    <t>DOCX body elements 4292–4292</t>
  </si>
  <si>
    <t>DOCX body elements 4295–4301</t>
  </si>
  <si>
    <t>HE-093</t>
  </si>
  <si>
    <t>Məqalə arqument edir ki, Azərbaycanın əsas çətinliyi resurs qıtlığı deyil, islahat səyləri arasında sistemli uyğunluğun az olmasıdır və burada təqdim olunan diaqnostik çərçivə üzərində qurulan, maraqlı tərəflərin birgə iştirakı ilə hazırlanacaq mərkəzləşdirilmiş yol xəritəsi çağırışı edir.--- I like this phrase. add and integrate into it that, uh, revise it slightly saying that, um, world class qualified academic sta…</t>
  </si>
  <si>
    <t>Qualifies the central claim through staff competence, motivation and resource alignment.</t>
  </si>
  <si>
    <t>AI revises the abstract’s causal claim.</t>
  </si>
  <si>
    <t>DOCX body elements 4302–4302</t>
  </si>
  <si>
    <t>DOCX body elements 4305–4319</t>
  </si>
  <si>
    <t>HE-094</t>
  </si>
  <si>
    <t>to ENG : Əhəmiyyətli dövlət investisiyalarına baxmayaraq, Azərbaycanın ali təhsil sistemi keyfiyyət çatışmazlıqları ilə üzləşir — bunlara tələbələrin dünya səviyyəli təhsil əldə edə bilməməsi, bir çox məzunun aşağı işə götürülmə qabiliyyəti (İng. employability) və akademik heyətin əhəmiyyətli hissəsinin təhsil keyfiyyət və mükəmməlliyə fəal şəkildə fəaliyyət etməməsi daxildir. Bu məqalə Azərbaycanda ali təhsil sistem…</t>
  </si>
  <si>
    <t>Requests English translation and a 245-word limit.</t>
  </si>
  <si>
    <t>AI supplies a translated, shortened abstract; length claim is not assumed verified.</t>
  </si>
  <si>
    <t>DOCX body elements 4321–4323</t>
  </si>
  <si>
    <t>DOCX body elements 4327–4334</t>
  </si>
  <si>
    <t>HE-095</t>
  </si>
  <si>
    <t>cut to 245 vords: Əhəmiyyətli dövlət investisiyalarına baxmayaraq, Azərbaycanın ali təhsil sistemi keyfiyyət çatışmazlıqları ilə üzləşir — bunlara tələbələrin dünya səviyyəli təhsil əldə edə bilməməsi, bir çox məzunun aşağı işə götürülmə qabiliyyəti (İng. employability) və akademik heyətin əhəmiyyətli hissəsinin təhsil keyfiyyət və mükəmməlliyə fəal şəkildə fəaliyyət etməməsi daxildir. Bu məqalə Azərbaycanda ali təhs…</t>
  </si>
  <si>
    <t>Requests shortening the Azerbaijani abstract to 245 words.</t>
  </si>
  <si>
    <t>AI supplies a shorter abstract.</t>
  </si>
  <si>
    <t>DOCX body elements 4336–4338</t>
  </si>
  <si>
    <t>DOCX body elements 4343–4358</t>
  </si>
  <si>
    <t>HE-096</t>
  </si>
  <si>
    <t>Təbii ehtiyatlara əsaslanan iqtisadi artımdan dayanıqlı,--- Shall we change this to natural resources, not needs?</t>
  </si>
  <si>
    <t>Asks whether resources or needs is the appropriate concept in the sentence.</t>
  </si>
  <si>
    <t>AI explains the semantic distinction and retains the wording.</t>
  </si>
  <si>
    <t>DOCX body elements 4359–4359</t>
  </si>
  <si>
    <t>DOCX body elements 4362–4378</t>
  </si>
  <si>
    <t>HE-097</t>
  </si>
  <si>
    <t>I'm not doing a final read of my paper. Section 2.1 "Tədqiqat Metodu " seems duplicate with previous sections. We have already talked about those things. I'm thinking of removing two point one completely and moving sec 2.2 to section three. Is that a good idea?</t>
  </si>
  <si>
    <t>Compares overlapping methodology/introduction content and considers moving positionality.</t>
  </si>
  <si>
    <t>AI recommends consolidation and relocation.</t>
  </si>
  <si>
    <t>DOCX body elements 4381–4381</t>
  </si>
  <si>
    <t>DOCX body elements 4386–4418</t>
  </si>
  <si>
    <t>HE-098</t>
  </si>
  <si>
    <t>essentially, what I'm going to do, I'm going to remove the heading of one point one and one point two and have the introduction just one large section one. Right? So no subsection in section one. Also, at the end of section one, give me the paragraph about the doc... paper structure.Right? Or you can say the rest of this paper is structured as follows. Section x talks about that. Section y talks about that.</t>
  </si>
  <si>
    <t>Directs a unified introduction without subheadings and with a roadmap.</t>
  </si>
  <si>
    <t>AI supplies a consolidated introduction.</t>
  </si>
  <si>
    <t>DOCX body elements 4419–4419</t>
  </si>
  <si>
    <t>DOCX body elements 4422–4437</t>
  </si>
  <si>
    <t>HE-099</t>
  </si>
  <si>
    <t>Birləşmiş Millətlər Təşkilatın Uşaq Fondu (UNICEF)-in Azərbaycan üzrə təhsil hesabatı ölkənin təhsil sisteminin strukturunu, əhatə dairəsini və bərabərlik göstəricilərini sistemli şəkildə sənədləşdirmiş, xüsusilə kənd-şəhər fərqləri və erkən uşaqlıq təhsilinə çıxış məsələlərini önə çıxarmışdır ([UNICEF, 2010](#_ENREF_20))you have given this phrase, but it's just,um, finishes suddenly without giving any insights relat…</t>
  </si>
  <si>
    <t>evidence judgment; argumentative judgment</t>
  </si>
  <si>
    <t>Judges a UNICEF paragraph insufficiently informative for the argument.</t>
  </si>
  <si>
    <t>AI expands the evidence discussion.</t>
  </si>
  <si>
    <t>DOCX body elements 4440–4440</t>
  </si>
  <si>
    <t>DOCX body elements 4444–4452</t>
  </si>
  <si>
    <t>HE-100</t>
  </si>
  <si>
    <t>that report, I think, is old, so I'm not going to include that. This is this one which is more recent. It's slightly... they're done by... it's a different program, but is... do you think this is a good idea to remove the old one and add this one? Then give me a paragraph about it from data about it.</t>
  </si>
  <si>
    <t>Evaluation; Knowledge injection</t>
  </si>
  <si>
    <t>Compares older evidence with newer TALIS material and weighs replacement or addition.</t>
  </si>
  <si>
    <t>AI recommends updating or supplementing the evidence.</t>
  </si>
  <si>
    <t>DOCX body elements 4455–4455</t>
  </si>
  <si>
    <t>DOCX body elements 4459–4491</t>
  </si>
  <si>
    <t>HE-101</t>
  </si>
  <si>
    <t>Sure, I will add that. So similar to the country profile of 2010 from Unicef, are there statistics form recent years? I have been doing Google search, but I haven't found anything?</t>
  </si>
  <si>
    <t>Accepts the TALIS direction and reports a search for recent UNICEF statistics.</t>
  </si>
  <si>
    <t>AI proposes incorporating newer evidence.</t>
  </si>
  <si>
    <t>DOCX body elements 4492–4492</t>
  </si>
  <si>
    <t>DOCX body elements 4497–4535</t>
  </si>
  <si>
    <t>HE-102</t>
  </si>
  <si>
    <t>Birləşmiş Millətlər Təşkilatın Uşaq Fondu (UNICEF)-in Azərbaycan üzrə təhsil hesabatı ölkənin təhsil sisteminin strukturunu, əhatə dairəsini və bərabərlik göstəricilərini sistemli şəkildə sənədləşdirmiş, xüsusilə kənd-şəhər fərqləri və erkən uşaqlıq təhsilinə çıxış məsələlərini önə çıxarmışdırAfter that phrase, give me a phrase, uh, reporting some findings from, uh,multiple indicator survey two thousand twenty three.…</t>
  </si>
  <si>
    <t>Supplies the MICS 2023 report and directs extraction of relevant findings.</t>
  </si>
  <si>
    <t>AI reports findings and proposes integration; source access/accuracy is not independently checked.</t>
  </si>
  <si>
    <t>DOCX body elements 4538–4538</t>
  </si>
  <si>
    <t>DOCX body elements 4544–4556</t>
  </si>
  <si>
    <t>File/context references in prompt; inspect full text</t>
  </si>
  <si>
    <t>HE-103</t>
  </si>
  <si>
    <t>Regenerate the above paragraph. You should discuss the things that are directly related to my paper. Right? So about early childhood and their inclusion in the, you know, seven, eight years old, in the early education are are not so focused towards the stuff about the end of the k twelve education or whatever is in that report.</t>
  </si>
  <si>
    <t>domain correction; argumentative judgment</t>
  </si>
  <si>
    <t>Refocuses the evidence on near-university-entry preparation rather than early childhood.</t>
  </si>
  <si>
    <t>AI redirects the evidence discussion.</t>
  </si>
  <si>
    <t>DOCX body elements 4557–4557</t>
  </si>
  <si>
    <t>DOCX body elements 4560–4574</t>
  </si>
  <si>
    <t>HE-104</t>
  </si>
  <si>
    <t>What's up for the two thousand ten report? You again have talked about early childhood education, that's not I'm not interested. I want the, um, education towards closer to the university level. anything about those in the 2010 report?</t>
  </si>
  <si>
    <t>Repeats the objection to irrelevant/old evidence and requires appropriate data.</t>
  </si>
  <si>
    <t>AI revises the response toward the requested population and period.</t>
  </si>
  <si>
    <t>DOCX body elements 4579–4579</t>
  </si>
  <si>
    <t>DOCX body elements 4583–4601</t>
  </si>
  <si>
    <t>HE-105</t>
  </si>
  <si>
    <t>Sənaye-akademiya əməkdaşlığının konseptual çərçivəsi isə Üçlü Spiral adlanan modelindən götürülmüşdür,In that phrase, the three spiral model, do you refer to this paper, andwhat is the English phrase of that terminology? Etzkowitz, H., &amp; Leydesdorff, L. (2000). The dynamics of innovation: from National Systems and “Mode 2” to a Triple Helix of university–industry–government relations. Research Policy, 29(2), 109–123</t>
  </si>
  <si>
    <t>conceptual discrimination; evidence judgment</t>
  </si>
  <si>
    <t>Requests validation of Triple Helix terminology and citation.</t>
  </si>
  <si>
    <t>AI explains the construct and proposes a reference.</t>
  </si>
  <si>
    <t>DOCX body elements 4602–4602</t>
  </si>
  <si>
    <t>DOCX body elements 4605–4624</t>
  </si>
  <si>
    <t>HE-106</t>
  </si>
  <si>
    <t>Bu təcrübənin ali təhsilə aidiyyəti iki müstəvidə özünü göstərir. --- right term "müstəvidə"?</t>
  </si>
  <si>
    <t>Questions the appropriateness of a word in the passage.</t>
  </si>
  <si>
    <t>AI explains and revises the wording.</t>
  </si>
  <si>
    <t>DOCX body elements 4625–4625</t>
  </si>
  <si>
    <t>DOCX body elements 4628–4653</t>
  </si>
  <si>
    <t>HE-107</t>
  </si>
  <si>
    <t>Bu təcrübənin ali təhsilə aidiyyəti iki aspektdə özünü göstərir. Birincisi, struktur baxımından — kəmiyyət hədəflərinin (nə qədər müəllim təlimə cəlb olundu, nə qədər kitabxana quruldu) təsirin sübutundan üstün tutulması, sadəcə ümumi təhsilə xas bir problem deyil, Azərbaycan təhsil idarəçiliyinin daha geniş institusional vərdişini əks etdirir; bu vərdiş, ali təhsildə də paralel formalarda müşahidə olunur. İkincisi, …</t>
  </si>
  <si>
    <t>Knowledge injection; Redirection; Directed delegation</t>
  </si>
  <si>
    <t>conceptual discrimination; evidence judgment; argumentative judgment</t>
  </si>
  <si>
    <t>Distinguishes quantitative outputs from quality impacts and challenges evidential relevance.</t>
  </si>
  <si>
    <t>AI rewrites the paragraph with a more qualified interpretation.</t>
  </si>
  <si>
    <t>DOCX body elements 4654–4656</t>
  </si>
  <si>
    <t>DOCX body elements 4659–4662</t>
  </si>
  <si>
    <t>HE-108</t>
  </si>
  <si>
    <t>proof: sonra isə beynəlxalq konfrans/jurnal iştirakının maliyyə dəstəyi ilə əlaqələndirilməsidir, və illik performans göstəricilərində və həm də əmək haqqı artışlarında yer almalıdır.</t>
  </si>
  <si>
    <t>Supplies a paragraph linking funding, performance and salary for proofreading.</t>
  </si>
  <si>
    <t>AI edits and clarifies the paragraph.</t>
  </si>
  <si>
    <t>DOCX body elements 4663–4663</t>
  </si>
  <si>
    <t>DOCX body elements 4666–4696</t>
  </si>
  <si>
    <t>HE-109</t>
  </si>
  <si>
    <t>Qeyd edilməlidir ki, yuxarıda təklif olunan islahat istiqamətləri, xüsusilə pedaqoji inanclar, düşüncə tərzi və şəxsiyyət atributlarına aid olanlar, artıq təsbit olunmuş, təcrübəli akademik heyət üçün nisbətən çətin və yavaş dəyişən sahələrdir — illər boyu formalaşmış peşəkar vərdişlər və inanclar qısa müddətli təlim proqramları ilə asanlıqla dəyişdirilmirIn humanpsychology, what is this called? Like, resistance to c…</t>
  </si>
  <si>
    <t>Compares status-quo resistance with inertia as the explanatory concept.</t>
  </si>
  <si>
    <t>AI distinguishes psychological resistance from institutional inertia.</t>
  </si>
  <si>
    <t>DOCX body elements 4697–4697</t>
  </si>
  <si>
    <t>DOCX body elements 4700–4730</t>
  </si>
  <si>
    <t>HE-110</t>
  </si>
  <si>
    <t>give 2-3 sentences abuot those to add to the end of that sentence and give citations about that, okay?</t>
  </si>
  <si>
    <t>Requests a short cited explanation of the selected concept.</t>
  </si>
  <si>
    <t>AI drafts sentences and references.</t>
  </si>
  <si>
    <t>DOCX body elements 4731–4731</t>
  </si>
  <si>
    <t>DOCX body elements 4734–4751</t>
  </si>
  <si>
    <t>HE-111</t>
  </si>
  <si>
    <t>Bu səbəbdən, yuxarıdakı təkliflərin əksəriyyəti daha real olaraq yeni işə qəbul olunan akademik heyət və gənc assistent professorlar üçün nəzərdə tutulmalıdırthat is the nextphrase coming after that replace "Bu"</t>
  </si>
  <si>
    <t>Identifies repetitive sentence connectors and requests replacement.</t>
  </si>
  <si>
    <t>AI varies the wording.</t>
  </si>
  <si>
    <t>DOCX body elements 4752–4752</t>
  </si>
  <si>
    <t>DOCX body elements 4755–4778</t>
  </si>
  <si>
    <t>HE-112</t>
  </si>
  <si>
    <t>but that's a generic, uh, reference for a status quo in decision making. Any papers on status quo bias in higher education among staff members?</t>
  </si>
  <si>
    <t>Rejects generic evidence as insufficient and requests higher-education faculty-specific support.</t>
  </si>
  <si>
    <t>AI proposes more specific literature; bibliographic checks remain unverified.</t>
  </si>
  <si>
    <t>DOCX body elements 4781–4781</t>
  </si>
  <si>
    <t>DOCX body elements 4786–4809</t>
  </si>
  <si>
    <t>HE-113</t>
  </si>
  <si>
    <t>This section 6.4 is too short. I mean, uh, students are a major... I mean, are the product of, uh, higher education where... also... but did we say that? Say that as the first sentence in six point four. Students are their product of higher education. So... but you need to expand this section at least two times.-- 6.4 Tələbə Amillərinin Təhlili və İslahat Təklifləri Ümumitəhsildən gələn bilik və bacarıq hazırlıq səvi…</t>
  </si>
  <si>
    <t>Judges the student section too short and supplies a students-as-outcome argument.</t>
  </si>
  <si>
    <t>AI expands the section.</t>
  </si>
  <si>
    <t>DOCX body elements 4810–4810</t>
  </si>
  <si>
    <t>DOCX body elements 4813–4826</t>
  </si>
  <si>
    <t>HE-114</t>
  </si>
  <si>
    <t>repetitorluq?</t>
  </si>
  <si>
    <t>Questions the tutoring term.</t>
  </si>
  <si>
    <t>AI explains and proposes clearer wording.</t>
  </si>
  <si>
    <t>DOCX body elements 4827–4827</t>
  </si>
  <si>
    <t>DOCX body elements 4830–4853</t>
  </si>
  <si>
    <t>HE-115</t>
  </si>
  <si>
    <t>also expand 6.5 tvo foldVasitəçi Amillərinin Təhlili və İslahat Təklifləri Kurikulumunaktuallığı üçün konkret model — Bölmə 4.3-dəki tələbə şikayətində qeyd olunan "altı ay" prinsipi: yeni texnoloji trendlərin kurikulumda əks olunması üçün illik tam yenidənbaxış əvəzinə, modul səviyyəsində sürətli reaksiya mexanizmi (Bölmə 6.2-də qeyd olunan sənaye nümayəndəli proqram komitələri vasitəsilə). Dinamik akademik mühit in…</t>
  </si>
  <si>
    <t>Supplies the mediating-factor section and requests doubling its length.</t>
  </si>
  <si>
    <t>DOCX body elements 4854–4854</t>
  </si>
  <si>
    <t>DOCX body elements 4857–4869</t>
  </si>
  <si>
    <t>HE-116</t>
  </si>
  <si>
    <t>I have designed this diagram, and I want to put it inside section six. I think six point four is the best place to put it. Uh, where for academic staff, teach students, and also the mediating factors and curriculum. Right? So all of these are important. So, uh, give me a few sentences explaining and refer to this image and say that to put everything more understandable, uh, we provide this visualization and explain i…</t>
  </si>
  <si>
    <t>conceptual discrimination; methodological judgment; genre/writing expertise</t>
  </si>
  <si>
    <t>Supplies a diagram and explains staff-to-student mediation, specifying its placement.</t>
  </si>
  <si>
    <t>AI drafts an explanatory paragraph and caption.</t>
  </si>
  <si>
    <t>DOCX body elements 4872–4872</t>
  </si>
  <si>
    <t>DOCX body elements 4876–4887</t>
  </si>
  <si>
    <t>HE-117</t>
  </si>
  <si>
    <t>proof: Diaqram göstərir ki, akademik heyət tərəfindən daşınan bilik, bacarıqlar motivasiya və karyera, peşəkar iş sevgisi birbaşa tələbəyə ötürülmür</t>
  </si>
  <si>
    <t>Supplies a sentence about indirect transfer of staff attributes for proofreading.</t>
  </si>
  <si>
    <t>AI edits the sentence and flags mismatch with the diagram’s scope.</t>
  </si>
  <si>
    <t>DOCX body elements 4888–4888</t>
  </si>
  <si>
    <t>DOCX body elements 4891–4911</t>
  </si>
  <si>
    <t>HE-118</t>
  </si>
  <si>
    <t>Submitted the paper I'm so glad, now I want to write the English version of this paper. I want to propose the model as a generic and customizable, um, cause effect model, and take Azerbaijan as a case only. For... this can be used by any country that is down in the list, uh, or, let's say, needs improvement in the education system, so macro level. Give me a title. just mentioned that Azerbaijan has a case study. And …</t>
  </si>
  <si>
    <t>After reported submission, reframes the model as generic/customizable with Azerbaijan as an illustrative case.</t>
  </si>
  <si>
    <t>AI proposes titles and a new paper structure; this is follow-on planning.</t>
  </si>
  <si>
    <t>DOCX body elements 4912–4912</t>
  </si>
  <si>
    <t>DOCX body elements 4914–4969</t>
  </si>
  <si>
    <t>HE-119</t>
  </si>
  <si>
    <t>Because our model is not really causal loop, but it's more cause effect model. Right? We can call it Cause-Effect graph. I don't know which term is better. And how about the following title? A Generic Cause-Effect Model for Diagnosing Higher Education Quality in Macro Level, and an Illustrative Case Study from Azerbaijan</t>
  </si>
  <si>
    <t>domain correction; conceptual discrimination; methodological judgment; genre/writing expertise</t>
  </si>
  <si>
    <t>Corrects causal-loop terminology and evaluates a cause–effect-model title.</t>
  </si>
  <si>
    <t>AI accepts the directional-model distinction and discusses labels and title wording.</t>
  </si>
  <si>
    <t>DOCX body elements 4970–4970</t>
  </si>
  <si>
    <t>DOCX body elements 4973–5010</t>
  </si>
  <si>
    <t>Full human prompt (part 1)</t>
  </si>
  <si>
    <t>Full human prompt (part 2)</t>
  </si>
  <si>
    <t>paper idea: Azərbaycanımızın Təhsil Sisteminin Sistemli İslahat və İnkişafı üçün Birinci Addım: Sistemin Praqmatik və Diaqnostik Analizi a "macro"-systems analysis (country level) ----------------
-use insights from https://en.wikipedia.org/wiki/Education_in_Azerbaijan when
releavant in my paperlook here
https://projects.worldbank.org/en/projects-operations/project-detail/P102117 it was a major project called "Second Education Sector Development Project for Azerbaijan" Development Objective: To enhance the effectiveness of teaching and learning conditions in general education schools through curriculum reform and teacherin-service training. Total Project Cost: US$ 45.40 million project ran between: 2008-2016? there are lots of golden materials under "Documents". I have put a few of their PDF in the project folder. I have put one of the report, "Implementation Completion Report Review" PDF in the folder area the INDEPENDENT EVALUATION RATINGS say: "Outcome Rating = Unsatisfactory" !!!? In general, the reports are quite "critical". also it says "Outcome is rated Unsatisfactory before the restructuring (due largely to lack of evidence on two of the three objectives)"use insights from PISA (Programme for International
Student Assessment)is an OECD-led evaluation that measures how well 15-year-old students
apply their knowledge to real-world problems. The PISA test is administered every three years across more than 80 countries, assessing mathematics, science, and reading skills. Why PISA Matters PISA is widely used as a benchmark for comparing how effectively education systems prepare students for real-world challenges and the modern economy. What Does PISA Measure? The PISA assessment measures applied knowledge and problem-solving skills, not curriculum-based memorization. PISA scores reflect how effectively education systems prepare students for real-world challenges be</t>
  </si>
  <si>
    <t>yond school. https://worldpopulationreview.com/country-rankings/pisa-scores-by country in year 2022, Azerbaijan was ranked 66th, with aggregated
score = 1142 I have put the XLS dataset in the project folder. ----------------------------------------------
confirm that you can access all the files that I mentioned above (have uploaded). ---------------------we shall find from the literature or build a causal loop diagram for thiscontext: factors impacting quality of educaiton system in a country -----------------------------------------While I want the initial analysis (review of metrics etc ) to be on the entire educaitonsystem, from primary to al lK12, to higher ed.. I will then focus on higher ed, since I have direct experience there, to offer concrete imprvement ideas, etc ----------------------------------------------Sharpen my suggested paper title, based on my ideas above then, give a draft TOC (section and sub-sec's)</t>
  </si>
  <si>
    <t>I also put the longer file pdf in the folder : "Implementation Completion and Results Report" .... read it . lots of it is about the financial transactions, of course. Ignore them completely, but some of its discussions are about the, you know, performance and technical performance. Okay. Non financials. So, yeah, use those ideas as well. By the way, you have too many sections and subsections. You need to reduce them because it's eight thousand words for the paper.</t>
  </si>
  <si>
    <t>Don't focus too much on that World Bank thing because I gave you several other data points. So I don't want one of them come across as the main one. The other one, um, I think, yeah, the PISA. So PISA and that world thing, uh, should be two main things. I also put the longer file pdf in the folder : "Implementation Completion and Results Report" read it . lots of it is about thefinancial transactions, of course. Ignore them completely, but some of its discussions are about the, you know, performance and technical performance. Okay. Non financials. So, yeah, use those ideas as well. By the way, you have too many sections and subsections. You need to reduce them because it's eight thousand words for the paper.</t>
  </si>
  <si>
    <t>I want this paper design. different than yours: 2-related work 3-Diaqnostik and weakness analysis PISA results , and the worldbank project: "Second Education Sector Development Project for Azerbaijan" do not include ANY finacial data / budget discussions 4-Causal loop diagram (Systems model): focus on higer ed, AZ universities factors: motivation of lecturers (muellimler), intrinsic motivation , extrinsic motivation (salary) -- "the Why?", their skills-level (capacity building), world-class curricoulum... dynamic and energetic academic / research environment, students solid background built during their K-12 education, industry-academic collaobration, motivation of students, "energetic", [other factors?] --&gt; target variable: Quality of higher ed --&gt; employability of gradautes relate to Why, How What, of Sinek Lots of rather connections / events / meetings are made with other countries, Turkiye, Europe, China (e.g., dual degree) , and many conferences, but they seem rather shallow and do not have noticeable impacts / benefits ... what is the reason? 5-Sistemin Praqmatik Tehlili: what factors we need to improve? lots of budgets are spent, but if we spent more wisely / priority, we can get more benefits... 6-Praqmatik Recommendationsgive me TOC in chat area, no Word file, H1and H2 sections only</t>
  </si>
  <si>
    <t>remove H1 and H2 labels use more solid azerbaijani writing include as : 1.1 Tədqiqatçının Mövqeliyi and credentials: 25 İl Qərb Universitetlerinde Təcrübəsi və Daxili-Xarici Perspektivi 26 il: Kanada, Türkiyə, Böyük Britaniya also I have been doing Kurikulumun Müasirləşdirilməsi of the AzTU İTT faculty , and capaity buiolding, coaching / mentoring of academic staff. "teaching the teachers". I also taught Fənn-"Akademik Yazı və research methods to ~130 MSc students shall we merge sec 5 and 6?</t>
  </si>
  <si>
    <t>İ revised the factors... here is the draft... suggest improvements / additions: (SUGGEST A GROUP NAME)- EXTERNAL?: Sovet mirası: dominant düşüncə tərzi, iş və təhsil mədəniyyəti, vs. İNSTİTUSİONAL/STRUKTUR AMİLLƏR Vəzifə/təyinat siyasətləri — irəliləyiş meyarları (araşdırma nəşri, tədris keyfiyyəti) Karyera irəliləyişi meyarı — liyaqət vs. qıdəm Sənaye-akademiya əməkdaşlığı mədəniyyəti AKADEMİK HEYƏT AMİLLƏRİ (Human Capital) · Motivasiya / həvəs səviyyəsi — daxili (Sinek "Niyə?") · Motivasiya / həvəs səviyyəsi — xarici (maaş, karyera) · Öz Elm Sahəsində Bilik, Bacarıq Səviyyəsi · Öz Elm Sahəsində Dünyadakı Yeni Mövzuları Təqib Etmə səviyyəsi · Pedaqoji bilik səviyyəsi · Beynəlxalq təcrübə · Düşüncə tərzi, iş mədəniyyəti, inancları:(Şəxsiyyət atributu) Dəyişikliyə açıqlıq yoxsa müqavimət səviyyəsi(Şəxsiyyət atributu) Özünü daim inkişaf etmək istəmək səviyyəsiPedaqoji inanclar (müəllim-mərkəzli vs. tələbə-mərkəzli) TƏLƏBƏ AMİLLƏRİ · Ümumi təhsildən gələn hazırlıq · Motivasiya / həvəs səviyyəsi— daxili (Sinek "Niyə?") · Motivasiya / həvəs səviyyəsi— xarici (gələcək karyera, maaş) VASİTƏÇİ/YARANMA AMİLLƏRİ (Mediating) · Aktual, müasir kurikulum · Sənaye-akademiya əməkdaşlıq səviyyəsi · Dinamik akademik mühit NƏTİCƏ DƏYİŞƏNLƏRİ: Ali təhsil keyfiyyəti · Məzunların işə qəbul olunma qabiliyyəti · Məzunların dünya təhsil səviyyələri ilə keyfiyyət müqayisəsi · Tədqiqat motivasiya / həvəsini yaratmaq · Özünü daim inkişaf etmək motivasiya / həvəsini yaratmaq</t>
  </si>
  <si>
    <t>i structure sec 5 as follows. this is better: [5 Sistemin Praqmatik Təhlili və İslahat Təklifləri 6] (#_Toc234664129) [5.1 Makro / Kontekstual Amillərinin Təhlili və İslahatı 6](#_Toc234664130) [5.2 İnstitusional/Struktur Amillərinin Təhlili və İslahatı 6](#_Toc234664131) [5.3 Akademik Heyət Amillərinin Təhlili və İslahatı 6](#_Toc234664132) [5.4 Tələbə Amillərinin Təhlili və İslahatı 6] (#_Toc234664133) [5.5 Vasitəçi Amillərinin Təhlili və İslahatı 6](#_Toc234664134) [5.6 Nəticə Dəyişənləri: Ali Təhsil Keyfiyyəti 6](#_Toc234664135)</t>
  </si>
  <si>
    <t>For research methods, I'd... yeah. Well, you suggest what should we do. We'd say that, you know, we are gonna... I'm thinking of, like, mentioning the data sources and data collection. So I've done a student survey also using my own expertise and observations and field studies and related work. This... the research pay... the research method is that we will design a causation model and then use that to do pragmatic suggestions. So is that the entire research method should go in two point one</t>
  </si>
  <si>
    <t>: Give two opening paragraphs for section one and also give one point one.Notes: --Donot use the Harari style of writing. use standard academic writing. --give text in chat area, not Word file --be very concise / minimalistic in text of each part. paper 's length shall be 8000 words max. keep a count of how much we have written so far. --ensure no overlap of the new text that you give, with other parts of the paper. --include minimalistic number of in-text citations in Harvard style (Author year), and their full list after each reply that you give. I will integrate them myself using EndNote Software. use the references from the list of papers that üe already have so far in the paper . if neededç find and cite other minimal number of related papers -double check your suggestion citations to ensure their information are all legit and precise.</t>
  </si>
  <si>
    <t>using my hints below (if any), give text of: 1.2 Məqalənin Məqsədi və töhfələrNotes: --Donot use the Harari style of writing. use standard academic writing. --give text in chat area, not Word file --be very concise / minimalistic in text of each part. paper 's length shall be 8000 words max. keep a count of how much we have written so far. --ensure no overlap of the new text that you give, with other parts of the paper. --include minimalistic number of in-text citations in Harvard style (Author year), and their full list after each reply that you give. I will integrate them myself using EndNote Software. use the references from the list of papers that üe already have so far in the paper . if neededç find and cite other minimal number of related papers -double check your suggestion citations to ensure their information are all legit and precise.</t>
  </si>
  <si>
    <t>Is this the best design for section two?2 TƏDQİQATIN DİZAYNI A parag 2.1 Tədqiqat Metodu2.2 Tədqiqatçının Mövqeliyi, Mövzudakı Etibarlılığı və Daxili-Xarici Perspektivi • Qərb Universitetlərində 26 İl Akademik Təcrübəsi (Kanada, Türkiyə, Böyük Britaniya) • Since 2022, he is deeply integrated into AZ higher education system. A part-time invited prof in AZTU • AzTU İTT Fakültəsində Kurikulumun Müasirləşdirilməsi Layihəsi • He has done lots of Akademik Kadr Gücləndirmə və Mentorluq Fəaliyyətləri • "Müəllimləri Öyrətmə" (Teaching the Teachers) Metodologiyasında Uzmanlıq • ~130 Magistratura Tələbəsinə Fənn-Akademik Yazı və Tədqiqat Metodları Tədrisində Təcrübə-- in all these activities, he has seen the issues first-hand since 2022</t>
  </si>
  <si>
    <t>using my hints below (if any), give text of: 2 TƏDQİQATIN DİZAYNI A parag 2.1 Tədqiqat Metodu2.2 Tədqiqatçının Mövqeliyi, Mövzudakı Etibarlılığı və Daxili-Xarici Perspektivi • • Define Daxili-Xarici Tədqiqat (insider outsider research) – BTÜ, İ vill cite “The space between: On being an insider-outsider in qualitative Research”, SC Dwyer, JL Buckle - International journal of qualitative …, 2009 - journals.sagepub.com Qərb Universitetlərində 26 İl Akademik Təcrübəsi (Kanada, Türkiyə, Böyük Britaniya) • Since 2022, he is deeply integrated into AZ higher
education system. A part-time invited prof in AZTU • AzTU İTT Fakültəsində Kurikulumun Müasirləşdirilməsi Layihəsi • He has done lots of Akademik Kadr Gücləndirmə və Mentorluq Fəaliyyətləri • "Müəllimləri Öyrətmə" (Teaching the Teachers) Metodologiyasında Uzmanlıq •~130 Magistratura Tələbəsinə Fənn-Akademik Yazı və Tədqiqat Metodları Tədrisində Təcrübə--in all these activities, he has seen the issues first-hand since 2022-Notes: --Do not use the Harari style of writing. use standard academic writing. --give text inchat area, not Word file --be very concise / minimalistic in text of each part. paper 's length shall be 8000 words max. keep a count of how much we have written so far. --ensure no overlap of the new text that you give, with other parts of the paper. --include minimalistic number of in-text citations in Harvard style (Author year), and their full list after each reply that you give. I will integrate them myself using EndNote Software. use the references from the list of papers that üe already have so far in the paper . if neededç find and cite other minimal number of related papers -double check your suggestion citations to ensure their information are all legit and precise.</t>
  </si>
  <si>
    <t>using my hints below (if any), give text of: 3.1 Azərbaycanın Təhsil Sistemi Haqqında Əvvəlki Tədqiqatlar UNICEF Azərbaycan Təhsil Hesabatı (2010) CITE in APA style, and very briefly discuss THESE PAPERS • Abasova, S. H. q. (2024). Competitiveness of Higher Education in Azerbaijan: Comparative Analysis with Former USSR’ Countries. Journal of Psychological Science and Research, 4(3), 1–8. • Aliyev, M., &amp; Aliyeva, S. (2024). Revisiting Digital Transformation of Azerbaijan Higher Education in the New Digital Era. Yildiz Social Science Review, 10(72−83). • Asgarova, V., Ilyasov, A., &amp; Ashraf, M. A. (2024). Refocusing education: understanding higher education institutions’ needs for human resource development in Azerbaijan. Central Asian Survey, 44(2), 415 – 437. • Huseynzade, K. (2026). Research Potential of Higher Education Institutions in Azerbaijan: Current Situation and Institutional Challenges. Journal of Social and Educational Research, 5(1), 9–16. • Ilyasov, A., Imanova, S., Mushtagov, A., &amp; Sadigova, Z. (2023). Modernization of quality assurance system in higher education of Azerbaijan. Quality in Higher Education, 29(1), 23–41. • Isakhanli, H., &amp; Pashayeva,
A. (2018). Higher Education Transformation, Institutional Diversity and Typology of Higher
Education Institutions in Azerbaijan. In J. Huisman, A. Smolentseva, &amp; I. Froumin (Eds.), 25 Years of Transformations of Higher Education Systems in Post-Soviet Countries: Reform and Continuity (pp. 97–121). Springer International Publishing. https://doi.org/10.1007/978-3-319-52980-6_4 • Zeynalova, N. E. (2022). Student Creativity and Talent Development in Higher Education Institutions of Azerbaijan. Proceedings of the International Conference on Information and Education Innovations (ICIEI), • 3.2 Beynəlxalq Ali Təhsil İslahat Ədəbiyyatı For each, give a cite • Akademik Heyətin Motivasiyası Nəzəriyyəsi (Öz-təyinetmə Nəz</t>
  </si>
  <si>
    <t>əriyyəsi — Ryan &amp; Deci) • Ali Təhsildə Keyfiyyət Modelləri • Saymon Sinekin "Niyə, Necə, Nə" Çərçivəsi: Təşkilati Məqsədin Aydınlaşdırılması • Sistem Dinamikası: Səbəbiyyət Əlaqələri və Geri Bildirim Döngüləri
Sənaye-Akademiya Əməkdaşlığı: Üçlü Spiral (Triple Helix) Modeli
-Notes: --Do not use the Harari style of writing. use standard academic writing. --give text in
chat area, not Word file --be very concise / minimalistic in text of each part. paper 's length shall be 8000 words max. keep a count of how much we have written so far. --ensure no overlap of the new text that you give, with other parts of the paper. --include minimalistic number of in-text citations in Harvard style (Author year), and their full list after each reply that you give. I will
integrate them myself using EndNote Software. use the references from the list of papers that üe already have so far in the paper . if neededç find and cite other minimal number of related papers -double check your suggestion citations to ensure their information are all legit and precise.</t>
  </si>
  <si>
    <t>here it is https://www.journalser.com/jser/article/view/130 -- and its Abstract In the modern era, higher education institutions are not only organizations that perform teaching functions but also strategic academic centers that play a crucial role in the creation, dissemination, and application of scientific knowledge. Strengthening the research potential of universities is one of the key prerequisites for the development of a knowledge-based economy and innovation-oriented transformation. The aim of this study is to analyze the current state of the research potential of higher education institutions in Azerbaijan, evaluate indicators of scientific productivity, and identify existing institutional challenges. Within the framework of the research, a systematic review of the international scientific literature was conducted, and statistical as well as scientometric indicators reflecting the scientific productivity of Azerbaijani universities were analyzed. The results indicate that the increase in publications indexed in international databases and the growth in citation rates in recent years demonstrate the intensification of scientific activity. At the same time, differences in research productivity and resources among universities still persist. Limited funding, the heavy teaching workload of academic staff, and the fact that international collaboration has not yet reached the desired level are among the factors that may affect the development of research activities. Therefore, improving institutional governance and introducing mechanisms that stimulate research activities are considered essential for strengthening the research capacity of higher education institutions.</t>
  </si>
  <si>
    <t>using my hints below (if any), give text of: 4 DİAQNOSTİK ANALİZ VƏ ÇATIŞMAZLIQLARIN MÜƏYYƏNLƏŞDİRİLMƏSİ Opening parag... vhat ve vill cover in sec 4 4.1 PISA Nəticələri: Ümumi Təhsil Təməlinin Zəifliyindən Ali Təhsilə Ötürülmə (OECD, 2023) • PİSA is OECD’nin tanınmış Beynəlxalq Tələbə Qiymətləndirmə Proqramının (İngiliscə: Program for International Student Assessment • global evaluation of 15-year-olds' math, reading, and science skills.Managed by the OECD, it measures real-life problem solving rather than rote memorization. • Its aim is to provide comparable data to enable countries to improve their education policies and outcomes. It measures problem solving and cognition • PISA, and similar international standardised assessments of educational attainment are increasingly used in the process of education policymaking at both national and international levels. • İt runs every three years since 1997 ... the last two were in 2018 and 2022 • PISA 2025 results will be released in 2026 (not release as of this writing yet, July 2026). • Azərbaycan has entered the assessment since 2018 • When adding its three scores in math, reading, and science skills, Azərbaycan got the total of 1207; and that dropped to 1142 in 2022. • 2022-ci il: 80 ölkə arasında, 66-cı yer. top three: Singapore , China , Japan • 2018-ci il: 80 ölkə arasında, 64-cu yer • Regional müqayisə: Türkiyə (rank = 36), Gürcüstan (65), Qazaxıstan (51), Monqolustan (53)-Notes: --Do not use the Harari style of writing. use standard academic writing. --give text inchat area, not Word file --be very concise / minimalistic in text of each part. paper 's length shall be 8000 words max. keep a count of how much we have written so far. --ensure no overlap of the new text that you give, with other parts of the paper. --include minimalistic number of in-text citations in Harvard style (Author year), and their full list af</t>
  </si>
  <si>
    <t>ter each reply that you give. I will
integrate them myself using EndNote Software. use the references from the list of papers that üe already have so far in the paper . if neededç find and cite other minimal number of related papers -double check your suggestion citations to ensure their information are all legit and precise.</t>
  </si>
  <si>
    <t>see the attached paper file in progressit 2838 vords already/ using my hints below (if any),
give text of: 4.2 Dünya Bankının Dəstəklədiyi Azərbaycanın Təhsil İnkişafı Layihəsi (2008-2016) Nəticələr, Dərslər və Ali Təhsilə Aidiyyəti • Layihənin məqsədi: Ümumi Təhsildə, tədris keyfiyyətinin artırılması, akademik heyətin hazırlığı, kurikulum islahatı • Əsas nəticələr: o 145,000-dən çox müəllimin təhsil xidmətinə cəlb edilməsi o 500 məktəb kitabxanasının yaradılması o Yeni kurikulumun (1–8-ci siniflər) rəsmi qəbulu o Azerbaijan participated in PISA 2009, TIMSS (Trends in International Mathematics and Science Study) 2011 and the Progress in International Reading Study (PIRLS) 2011. • Müstəqil qiymətləndirmə nəticəsi: "Qismən qənaətbəxş olmayan" (Moderately Unsatisfactory) • Əsas müşahidə: öyrənmə nəticələri 2009–2015-ci illərdə milli səviyyədə sistematik ölçülmədi • Müəllim hazırlığı paradoksu: kəmiyyət hədəflərinə (145,000+) çatıldı, lakin təsirin sübutu təqdim edilmədi • Əlaqələndirmə boşluğu: monitorinq-qiymətləndirmə, kurikulum və tədris idarəçiliyi bir-birindən təcrid olunmuş şəkildə fəaliyyət göstərdi • Discuss implications for the Ali təhsilə (aidiyyəti):
------ Notes: --Do not use the Harari style of writing. use standard academic writing. --give text in chat area, not Word file --be very concise / minimalistic in text of each part. paper 's length shall be 8000 words max. keep a count of how much we have written so far. --ensure no overlap of the new text that you give, with other parts of the paper. --include minimalistic number of in-text citations in Harvard style (Author year), and their full list after each reply that you give. I will integrate them myself using EndNote Software. use the references from the list of papers that üe already have so far in the paper . if neededç find and cite other minimal number of related papers -double check your suggestion c</t>
  </si>
  <si>
    <t>itations to ensure their information are all legit and precise.</t>
  </si>
  <si>
    <t>using my hints below (if any), give text of: 4.3 Onlayn Anket Sorğudan Gələn Tələbələrin Rəyləri Say why we did the Anket Sorğu// to further augment our analysis and inform bjulding the model in sec 5 53 cavabdeh (hazırda ali təhsil və ya texniki peşə təhsili alan, yaxud bu təhsili bitirmiş gənclər)
-Notes: --Do not use the Harari style of writing. use standard academic writing. --give text in
chat area, not Word file --be very concise / minimalistic in text of each part. paper 's length shall be 8000 words max. keep a count of how much we have written so far. --ensure no overlap of the new text that you give, with other parts of the paper. --include minimalistic number of in-text citations in Harvard style (Author year), and their full list after each reply that you give. I will integrate them myself using EndNote Software. use the references from the list of papers that üe already have so far in the paper . if neededç find and cite other minimal number of related papers -double check your suggestion citations to ensure their information are all legit and precise.SOME EXAMPLE QUOTES FROM STUDENTS: Məncə, ən
çox praktik məşğələlərin və real layihələr üzərində işləmək imkanlarının artırılmasına ehtiyac var. Bundan əlavə təcrübə proqramlarının və müasir texnologiyalara uyğun dərs məzmununun genişləndirilməsi tələbələrin əmək bazarına daha yaxşı hazırlanmasına kömək edər Praktika Məncə problemim 20% təhsil müəssisələrinin üzərinə düşür, qalan 80% tələbənin üzərinə düşür. Məndə elə fikirləşirdim ki, universitetə daxil olandan sonra oxumayacam, pul verib imtahandan keçəcəm. Çox hallarda bunu etdim, nəticə isə quru diplom oldu, bu sahədə heç nə öyrənmədim. Amma mənimlə eyni qrupda olan qrup yoldaşım hazırda universitetdə energetika sahəsində dərs deyir. Praktiki hissələr "Digər dunya olkələrindən 4-5 il texnologiya da gecikirik. məsələn mən İT uzre tehsil aldigim vaxtlar 20</t>
  </si>
  <si>
    <t>17-ci ildə devloperlik trend idi. bitirib hərbi xidmətə yollananda data analitika, gəldikdən sonra isə kibertəhlukəsizlik. hal bu ki diger inkifsaf etmis olkelerdən fərqli olaraq bu bizim olkəyə azi 4 il fərqlə gəldi. Məncə yeni cixan texnologiyanin 6ay kecmeden tedris proqram hazirlanmalidir ki novbeti tedris iline hazir olsun.:-). Ai 2022də cixdi. amma bizdə indi indi uzərinə dusublər data centeri yaradilir ve s. amma bu 3il gecikme ile baxadiqda Aİ nin nece insaf etdiyini ve bizim ise hendesi silsilə ile geri qaldiginizi gosterir. Məncə bizim gənclərin bilik bacariqlari coxmustundur ve zehmetkesik. Sadəcə sogru anda dogru isləri yerine yetirmək lazmdir."</t>
  </si>
  <si>
    <t>using my hints below (if any), give text of: 4.4 Mövcud Səylər: TKTA, TİF, və Ali Təhsildə Beynəlxalq Akkreditasiyalar Fəaliyyətləri – include in heading: teqdire layiq, but we need to do more Educatin QA has recieved more awareness in AZ in recent years teqdire layiq, but we need to do more Establishment of Təhsildə Keyfiyyət Təminatı Agentliyi (TKTA) in 2019 under the MOSE embassy https://tkta.edu.az/ ... they do Proqram akkreditasiyası inside the cuontry, e.g., of AzTU programs Lots of dedicated events, such as “Ali təhsildə keyfiyyət təminatı" adlı Beynəlxalq Forumun each year https://edu.gov.az/az/announcements/18146-1 Many AZ uni’s now have a KT (KeyfiyyətinTəminatı) unit, e.g., in AZTU https://aztu.edu.az/az/kts .. Each university has some autonomy and decides to conduct certnia internaitonal certifications, e.g,.
AZTU has done Elektrische and Energietechnik Energiemanagement programs via ASIIN https://www.asiin.de/en/programme-accreditation.htmlAlso AzTU 2025ci ildə bir neçə
ixtisasını Almaniya köklü AQAS ([www.aqas.eu](https://www.aqas.eu)) akkreditasiyası ilə qiymətləndirdi. Need for standardization, and need for choosing top profile targets such as: EUR-ACE. The ED QA culture is more mature in Turkiye, via the MUDEK for example (Mühendislik Eğitim Programları Değerlendirme ve Akreditasyon Derneği), it is more integrated with Europe.
We know that some programs across AZ have failed their recent Akkreditasiya assessments. ----
-- Təhsilin İnkişafı Fondu (TIF) https://tif.edu.az/ established in 2021is like a budget
fundactivities: Internship and scholarship programm Supporting the activities of educational
institutions, Public-private partnership, Infrastructure projects Təhsilin İnkişafı Forumu (TIF) https://tif.az .. held twice in 2023 and 2024. goals: Təhsilin İnkişafı Forumu 2024-ün əsas məqsədi dövlət-universitet-sənaye tərəfdaşlığının dayanıqlı və davaml</t>
  </si>
  <si>
    <t>ı inkişafı ilə yanaşı birgə dialoq üçün uyğun platforma təmin etmək və prosesi hərtərəfli dəstəkləməkdir. Forum hər il ölkənin təhsil sisteminin cari vəziyyəti, iqtisadiyyata inteqrasiyası, dövlət-özəl tərəfdaşlığının inkişaf perspektivlərinə dair ən vacib məsələlərin müzakirəsi üçün faydalı platforma təmin edir. Dövlət-universitet-özəl tərəfdaşlığının inkişaf perspektivlərinə dair vacib məsələlərin müzakirəsi üçün platformanın təmin edilməsi, Birgə təcrübələrin keçirilməsi, əlavə dəyər yaradan layihələrin icrası və iqtisadiyyatın böyüməsi, Cəmiyyətdə dialoq mühitinin inkişaf etdirilməsi, universitet-sənaye əməkdaşlığının təşviqi, Universitetlərin sənaye ilə birgə tədqiqat potensialının gücləndirilməsi
------ Notes: --Do not use the Harari style of writing. use standard academic writing. --give text in chat area, not Word file --be very concise / minimalistic in text of each part. paper 's length shall
be 8000 words max. keep a count of how much we have written so far. --ensure no overlap of the new text that you give, with other parts of the paper. --include minimalistic number of in-text citations in Harvard style (Author year), and their full list after each reply that you give. I will integrate them myself using EndNote Software. use the references from the list of papers that üe already have so far in the paper . if neededç find and cite other minimal number of related papers -double check your suggestion citations to ensure their information are all legit and precise.</t>
  </si>
  <si>
    <t>using my hints below (if any), give text of: 5 SİSTEMİN KÖK-SƏBƏB-NƏTİCƏ MODELLƏŞDİRİLMƏSİ [Açılış paraqrafı — metodun əsaslandırılması] niyə səbəb-nəticə modelləşdirmə bu kontekst üçün faydalıdır 5.1 Sistemdəki Kök-Səbəb və Nəticə Amillərini Təyin Etmək [Amillərin siyahısı + hər birinin qısa empirik/nəzəri əsası]-Notes: --Do not use the Harari style of writing. use standard academic writing. --give text inchat area, not Word file --be very concise / minimalistic in text of each part. paper 's length shall be 8000 words max. keep a count of how much we have written so far. --ensure no overlap of the new text that you give, with other parts of the paper. --include minimalistic number of in-text citations in Harvard style (Author year), and their full list after each reply that you give. I will integrate them myself using EndNote Software. use the references from the list of papers that üe already have so far in the paper . if neededç find and cite other minimal number of related papers -double check your suggestion citations to ensure their information are all legit and precise. İ give you the final list of amiller ve Kateqoriyalar</t>
  </si>
  <si>
    <t>it Seems we have not cited the following three papers. Right? in the opening paragraph of section five, you can say that system dynamic modeling has been used actually for higher education systems analysis and cite the following three papers very brieflyCruz-Bohorquez, J. M., Adams, S. G., &amp; Bravo, F. A. (2024). The Academic System Influence on Instructional Change: A Conceptual Systems Dynamics Model of Faculty Motivation to Adopt Research-Based Instructional Strategies (RBIS). Education Sciences, 14(5), 544. Ramasu, T., &amp; Kanakana-Katumba, G. (2025). Evaluating the dynamics of fee-free higher education in South Africa: a causal loop diagram approach? F1000Research, 13(780). https://doi.org/10.12688/f1000research.152478.3 Zheng, K.-n., Sun, S.-m., &amp; Yu, H. (2016).College teaching quality evaluation based on system dynamics model. MATEC Web of Conferences,</t>
  </si>
  <si>
    <t>Here is figure one, not that I have not put all the possible impact, uh, the relationships and, uh, arrows and edges there, just not to overload, um, them. I have put the most important one and, of course, as you can see for the student factors, uh, I treat them as a kind of, uh, let's say, composite node means that all the four factors, understand factors, I put, like, an, uh, a box and around them and so that all of them impact the others. Right? So I'll put some representative arrows and also mention this at the end of five point one, okay, before we go to five point two.</t>
  </si>
  <si>
    <t>using my hints below (if any), give text of: 6 SİSTEMİN PRAQMATİK TƏHLİLİ VƏ İSLAHAT TƏKLİFLƏRİ Opening parag 6.1 Makro / Kontekstual Amillərinin Təhlili və İslahatı Not much can be done Sovet mirası: dominant düşüncə tərzi, iş və təhsil mədəniyyəti, vs. – it is what it is. We cannot change the past, we can just deal with and improve it Əmək bazarının strukturu: dövlət sektorunun dominantlığı, özəl sektorun zəifliyi ... we should observe and adapt Əmək Bazarının Sahə-üzrə Tələbatı: a large topic of its own. No all fields are under higher deman in AZ. IT is in high demand and many people move to IT from other fields Geosiyasi Kontekst: Qonşu Ölkələrlə Tarixi Əlaqələr — Təhsildə Əhəmiyyəti və Təsirləri.. 1. Türkiyə: Ən Güclü və Birbaşa Təsir: Dil və mədəni yaxınlıq Azərbaycan akademiyasının Qərb təcrübəsinə Türkiyə vasitəsilə çıxış tapmasını asanlaşdırıb — çoxlu Azərbaycanlı akademik Türkiyədə təhsil alıb, ya da Türk universitetləri ilə əməkdaşlıq edib Təsir mexanizmi: Bu, sizin 4.6-da müzakirə etdiyiniz "dual degree" və mübadilə proqramlarının nə üçün məhz Türkiyə ilə daha sıx olduğunu izah edir — dil maneəsi olmadığı üçün əməkdaşlıq daha "təbii" başlayır Amma bir riski var: Türkiyə vasitəsilə gələn akademik təsir, çox vaxt Türkiyənin özünün ali təhsil modelini (özü də bəzi struktur problemlərə malik ola bilər) idxal edir, birbaşa qərb best-practice-i deyil — bu, "dərinlik" sualını yenidən doğurur 2. Rusiya: İrsi Struktur, Azalan Cari Təsir: Sovet mirası (sizin siyahınızda artıq var) əslində böyük hissədə Rusiya ilə tarixi əlaqənin bir təzahürüdür — akademik iyerarxiya, qıdəm-əsaslı irəliləyiş mədəniyyəti, formal/bürokratik akkreditasiya yanaşması (sizin əvvəlki müzakirəmizdə "səthi akkreditasiya" adlandırdığımız) böyük ölçüdə Sovet-Rusiya inzibati modelindən qalıb Cari təsir: Yeni nəsil akademiklər arasında Rusiya ilə akademik əlaqə zəifləyir, amma institusional struk</t>
  </si>
  <si>
    <t>turlar (necə qərar verilir, kim kimə hesabat verir) hələ də bu irsi daşıyır Praktik nəticə: Bu, sizin "liyaqət vs qıdəm" probleminin niyə hələ də güclü olduğunu tarixi kontekstdə izah edir — bu, sadəcə indiki siyasət seçimi deyil, onilliklər boyu institusionallaşmış mədəni normadır ------Notes: --Do not use the Harari style of writing. use standard academic writing. --give text in chat area, not Word file --be very concise / minimalistic in text of each part. paper 's length shall be 8000 words max. keep a count of how much we have written so far. --ensure no overlap of the new text that you give, with other parts of the paper. --include minimalistic number of in-text citations in Harvard style (Author year), and their full list after each reply that you give. I will integrate them myself using EndNote Software. use the references from the list of papers that üe already have so far in the paper . if neededç find and cite other minimal number of related
papers -double check your suggestion citations to ensure their information are all legit and precise.</t>
  </si>
  <si>
    <t>using my hints below (if any), give text of: 6.2 İnstitusional/Struktur Amillərinin Təhlili və İslahatı Give pragmatic improvement suggestions for: Universitet muxtariyyəti səviyyəsi (mərkəzi nəzarət
↔ institusional sərbəstlik) Akademik Heyət Vəzifə/təyinat siyasətləri, Karyera irəliləyişi meyarı (tədris keyfiyyəti, araşdırma nəşri) Universitet səviyyəsində Akademiya-Sənaye əməkdaşlığı mədəniyyəti və təşviq olub olmaması Akkreditasiya və keyfiyyət təminatı sisteminin xarakteri : Səthi yoxsa Dərin, Uyğunluq-Yönümlü ↔ Nəticə-Yönümlü Maliyyə bölgüsü prioritetləri (infrastruktura qarşı insan kapitalına investisiya nisbəti) Bürokratik yük — inzibati işlərin akademik vaxtı nə qədər "yeməsi" 6.3 Akademik Heyət Amillərinin Təhlili və İslahatı Ve beleive this (İnsan Kapitalı) is the most important ƏN ÖNƏMLİ across all factors in the model ...
Akademik Heyət are the drivers of the entire educaiton system. main vithout motivated, highly trained Akademik Heyət, higher ed cannot succeed. Turkiyenin “Öğretim Üyesi Yetiştirme Programı (ÖYP)” kimi bir program https://personel.yok.gov.tr/documentFiles/1781694861713.ogretim-uyesi-yetistirilmesine-iliskin-usul-esas.pdf Give pragmatic improvement suggestions for: Motivasiya / həvəs səviyyəsi —  daxili (Sinek "Niyə?") Motivasiya / həvəs səviyyəsi — xarici (maaş, karyera) Öz Elm Sahəsində Bilik, Bacarıq Səviyyəsi Öz Elm Sahəsində Dünyadakı Yeni Mövzuları Təqib Etmə səviyyəsi Pedaqoji bilik səviyyəsi Pedaqoji inanclar (müəllim-mərkəzli ↔ tələbə-mərkəzli) Beynəlxalq təcrübə Düşüncə tərzi, iş mədəniyyəti, inancları (Şəxsiyyət atributu) Dəyişikliyə açıqlıq yoxsa müqavimət səviyyəsi (Şəxsiyyət atributu) Özünü daim inkişaf etmək istəmək səviyyəsi Məşğulluq təhlükəsizliyi — müqavilə növü (daimi/müvəqqəti), bunun risk-almağa hazırlığa təsiri İngilis dili səriştəsi — akademik heyətin öz sahəsindəki müasir inkişafları izləmə və bunu tədrisə gətirmə</t>
  </si>
  <si>
    <t>qabiliyyəti üçün açar amil Nəsil fərqi/yaş strukturu — Sovet-təhsilli nəsil, yoxsa Gənc Azərbaycanda Təhsil almış, yoxsa Qərb-təhsilli yeni nəsil Sənaye-akademiya əməkdaşlıq istəyi və səviyyəsi Notes: --Do not use the Harari style of writing. use standard academic writing.
--give text in chat area, not Word file --be very concise / minimalistic in text of each part. paper 's length shall be 8000 words max. keep a count of how much we have written so far. --ensure no overlap of the new text that you give, with other parts of the paper. --include minimalistic number of in-text citations in Harvard style (Author year), and their full list after each reply that you give. I will integrate them myself using EndNote Software. use the references from the list of papers that üe already have so far in the paper . if neededç find and cite other minimal number of related papers -double check your suggestion citations to ensure their information are all legit and precise.</t>
  </si>
  <si>
    <t>using my hints below (if any), give text of: 6.4 Tələbə Amillərinin Təhlili və İslahatı Give pragmatic improvement suggestions for: Ümumi təhsildən gələn Bilik, Bacarıq hazırlıq səviyyəsi (a separate study / paper shall be done on Ümumi təhsild quality QA. We focused on AZ high ed in this paper) Motivasiya / həvəs səviyyəsi— daxili (Sinek "Niyə?") Motivasiya / həvəs səviyyəsi
xarici (gələcək karyera, maaş) Ailəsinin Sosial-İqtisadi Vəziyyəti (təhsilə bərabər çıxış imkanının fərqliliyi) 6.5 Vasitəçi Amillərinin Təhlili və İslahatı Give pragmatic improvement suggestions for: Kurikulum: Aktual, müasir, sənaye-yönümlü və praktiki Dinamik Akademik Mühit
seminarlar, açıq müzakirələr və fənlərarası əlaqə vasitəsilə davamlı intellektual canlanma Fiziki/rəqəmsal infrastruktur (laboratoriya, kitabxana, onlayn resurslara çıxış) Beynəlxalq əməkdaşlığın “dərinliyi” və səmərəliyi 6.6 Nəticə Dəyişənlərinin İzlənilməsi: Ali Təhsil Keyfiyyətini Necə Ölçüləcəyi Məzunların işə qəbul olunma qabiliyyəti. Are such stats measured  systematically in AZ? İn countries such as UK, they are measured systematically https://www.timeshighereducation.com/student/best-universities/graduate-employability -top-universities-uk-ranked-employers Tənqidi düşüncə və problem həlli qabiliyyəti : how to measure? Məzunların dünya təhsil səviyyələri ilə keyfiyyət müqayisəsi : how to measure? Any international benchmarks like PISA? Tədqiqat motivasiya / həvəsini yaratmaq : : how to measure? Özünü  daim inkişaf etmək motivasiya / həvəsini yaratmaq: : how to measure? İnnovasiya/sahibkarlıq çıxışı (patentlər, startaplar): relatively easy to measure. https://sabahhub.com/ and https://startup.az/en/news-content/sabah-qruplari-uchun-startap-gunleri-infosessiy asi-kechirilib-2464 Universitetin qlobal reytinqlərdə mövqeyi: this data is already available Notes: --Do
not use the Harari style of writing. use standard academ</t>
  </si>
  <si>
    <t>ic writing. --give text in chat area, not Word file --be very concise / minimalistic in text of each part. paper 's length shall be 8000 words max. keep a count of how much we have written so far. --ensure no overlap of the new text that you give, with other parts of the paper. --include minimalistic number of in-text citations in Harvard style (Author year), and their full list after each reply that you give. I will integrate them myself using EndNote Software. use the references from the list of papers that üe already have so far in the paper . if neededç find and cite other minimal number of related papers -double check your suggestion citations to ensure their information are all legit and precise.</t>
  </si>
  <si>
    <t>using my hints below (if any), give text of: 7 NƏTİCƏ: PRAQMATİK YANAŞMA VƏ İRƏLİYƏ DOĞRU YOL We do not indent to provide a details Yol Xəritəsi, since if that work is to be done, it shall be done jointly with MOSE and other stakeholders. A centralized, controlled and pragmatic roadmap on eadch of the suggestiosn in sec 6 is encouraged 7.1 Yekun Mülahizə Azərbaycanın ali təhsil sistemində əsas çatışmazlıq təkcə maliyyə resurslarının qıtlığında deyil, mövcud resursların sistemli şəkildə, aydın məqsədlərə əsaslanaraq bölüşdürülməməsindədir. Akademik heyətin "niyə" sualına aydın cavab tapması, kurikulumun dinamik inkişafı, sənaye ilə real əməkdaşlıq və beynəlxalq əlaqələrin dərinləşdirilməsi — bunların hamısı ayrı-ayrı layihələr deyil, bir-biri ilə qarşılıqlı əlaqədə olan sistemin hissələridir. Dəyişiklik nöqtəvi deyil, sistemli olmalıdır. FUTURE VORK?Notes: --Do not use the Harari style of writing. use standard academicwriting. --give text in chat area, not Word file --be very concise / minimalistic in text of each part. paper 's length shall be 8000 words max. keep a count of how much we have written so far. --ensure no overlap of the new text that you give, with other parts of the paper. --include minimalistic number of in-text citations in Harvard style (Author year), and their full list after each reply that you give. I will integrate them myself using EndNote Software. use the references from the list of papers that üe already have so far in the paper . if neededç find and cite other minimal
number of related papers -double check your suggestion citations to ensure their information are all legit and precise.</t>
  </si>
  <si>
    <t>Məqalə arqument edir ki, Azərbaycanın əsas çətinliyi resurs qıtlığı deyil, islahat səyləri arasında sistemli uyğunluğun az olmasıdır və burada təqdim olunan diaqnostik çərçivə üzərində qurulan, maraqlı tərəflərin birgə iştirakı ilə hazırlanacaq mərkəzləşdirilmiş yol xəritəsi çağırışı edir.--- I like this phrase. add and integrate into it that, uh, revise it slightly saying that, um, world class qualified academic staff is the main issue in Azerbaijan ed system .. those who are motivated and have, um, an updated knowledge of their subject area . So they should have both motivation and updated knowledge. Uh, these two are the most important ones. of course, there are other ones as well.</t>
  </si>
  <si>
    <t>to ENG : Əhəmiyyətli dövlət investisiyalarına baxmayaraq, Azərbaycanın ali təhsil sistemi keyfiyyət çatışmazlıqları ilə üzləşir — bunlara tələbələrin dünya səviyyəli təhsil əldə edə bilməməsi, bir çox məzunun aşağı işə götürülmə qabiliyyəti (İng. employability) və akademik heyətin əhəmiyyətli hissəsinin təhsil keyfiyyət və mükəmməlliyə fəal şəkildə fəaliyyət etməməsi daxildir. Bu məqalə Azərbaycanda ali təhsil sisteminin keyfiyyətini məhdudlaşdıran sistemli amillərin diaqnostik və praqmatik təhlilini təqdim edir. Bu təhlil ikinci dərəcəli məlumatlar və dəlilləri (OECD PISA nəticələri, Dünya Bankı icra hesabatları), birinci dərəcəli sorğu məlumatlarını (n=53 tələbə və məzun) və müəllifin 2022-ci ildən Azərbaycan ali təhsil sistemində fəal iştirak edən "daxili-xarici" tədqiqatçı kimi bilavasitə institusional sahə müşahidələr və təcrübəsini birləşdirir. Bu məlumatlar əsasında, məqalə təsir edən amilləri altı kateqoriyaya — makro-kontekstual, institusional/struktur, akademik heyət (insan kapitalı), tələbə, vasitəçi və nəticə dəyişənləri — bölən bir səbəb-nəticə modeli təqdim edir və akademik heyətlə bağlı amilləri sistemdə ən mərkəzi qovşaq kimi müəyyənləşdirir. Bu modelə əsaslanaraq, və Azərbaycandakı mövcud təşəbbüslərdən (TKTA, TİF) və Türkiyənin Müəllim Heyəti Yetişdirmə və Təlim Proqramı (ÖYP) kimi beynəlxalq təcrübələrdən istifadə edərək, məqalə hər amil kateqoriyası üzrə praqmatik təkmilləşdirmə praqmatik istiqamətləri təklif edir. Məqalə arqument edir ki, Azərbaycanın ali təhsil sisteminin əsas çətinliyi dünya səviyyəli ixtisaslı akademik heyətin
— xüsusilə həm motivasiyalı, həm də öz elm sahəsində bilikləri müasir olan akademik heyətin —
çatışmazlığı, eləcə də islahat səyləri arasında sistemli uyğunluğun az olmasıdır. Bu iki amil (akademik heyətin motivasiya və biliyin müasirliyi) modeldə ən mərkəzi rol oynasa da, digər amillər də əhəmiyyətini qorumaqdadır. Burad</t>
  </si>
  <si>
    <t>a təqdim olunan diaqnostik çərçivə üzərində qurulacaq, məqalə maraqlı tərəflərin birgə iştirakı ilə hazırlanacaq mərkəzləşdirilmiş yol xəritəsi və icra planı üçün çağırış edilir. -- and cut to 245 vords</t>
  </si>
  <si>
    <t>cut to 245 vords: Əhəmiyyətli dövlət investisiyalarına baxmayaraq, Azərbaycanın ali təhsil sistemi keyfiyyət çatışmazlıqları ilə üzləşir — bunlara tələbələrin dünya səviyyəli təhsil əldə edə bilməməsi, bir çox məzunun aşağı işə götürülmə qabiliyyəti (İng. employability) və akademik heyətin əhəmiyyətli hissəsinin təhsil keyfiyyət və mükəmməlliyə fəal şəkildə fəaliyyət etməməsi daxildir. Bu məqalə Azərbaycanda ali təhsil sisteminin keyfiyyətini məhdudlaşdıran sistemli amillərin diaqnostik və praqmatik təhlilini təqdim edir. Bu təhlil ikinci dərəcəli məlumatlar və dəlilləri (OECD PISA nəticələri, Dünya Bankı icra hesabatları), birinci dərəcəli sorğu məlumatlarını (n=53 tələbə və məzun) və müəllifin 2022-ci ildən Azərbaycan ali təhsil sistemində fəal iştirak edən "daxili-xarici" tədqiqatçı kimi bilavasitə institusional sahə müşahidələr və təcrübəsini birləşdirir. Bu məlumatlar əsasında, məqalə təsir edən amilləri altı kateqoriyaya — makro-kontekstual, institusional/struktur, akademik heyət (insan kapitalı), tələbə, vasitəçi və nəticə dəyişənləri — bölən bir səbəb-nəticə modeli təqdim edir və akademik heyətlə bağlı amilləri sistemdə ən mərkəzi qovşaq kimi müəyyənləşdirir. Bu modelə əsaslanaraq, və Azərbaycandakı mövcud təşəbbüslərdən (TKTA, TİF) və Türkiyənin Müəllim Heyəti Yetişdirmə və Təlim Proqramı (ÖYP) kimi beynəlxalq təcrübələrdən istifadə edərək, məqalə hər amil kateqoriyası üzrə praqmatik təkmilləşdirmə praqmatik istiqamətləri təklif edir. Məqalə arqument edir ki, Azərbaycanın ali təhsil sisteminin əsas çətinliyi dünya səviyyəli ixtisaslı akademik heyətin
— xüsusilə həm motivasiyalı, həm də öz elm sahəsində bilikləri müasir olan akademik heyətin —
çatışmazlığı, eləcə də islahat səyləri arasında sistemli uyğunluğun az olmasıdır. Bu iki amil (akademik heyətin motivasiya və biliyin müasirliyi) modeldə ən mərkəzi rol oynasa da, digər amillər də əhəmiyyətini qorumaqdad</t>
  </si>
  <si>
    <t>ır. Burada təqdim olunan diaqnostik çərçivə üzərində qurulacaq, məqalə maraqlı tərəflərin birgə iştirakı ilə hazırlanacaq mərkəzləşdirilmiş yol xəritəsi və icra planı üçün çağırış edilir.</t>
  </si>
  <si>
    <t>Birləşmiş Millətlər Təşkilatın Uşaq Fondu (UNICEF)-in Azərbaycan üzrə təhsil hesabatı ölkənin təhsil sisteminin strukturunu, əhatə dairəsini və bərabərlik göstəricilərini sistemli şəkildə sənədləşdirmiş, xüsusilə kənd-şəhər fərqləri və erkən uşaqlıq təhsilinə çıxış məsələlərini önə çıxarmışdır ([UNICEF, 2010](#_ENREF_20))you have given this phrase, but it's just,um, finishes suddenly without giving any insights related to the paper. So extend it a</t>
  </si>
  <si>
    <t>Birləşmiş Millətlər Təşkilatın Uşaq Fondu (UNICEF)-in Azərbaycan üzrə təhsil hesabatı ölkənin təhsil sisteminin strukturunu, əhatə dairəsini və bərabərlik göstəricilərini sistemli şəkildə sənədləşdirmiş, xüsusilə kənd-şəhər fərqləri və erkən uşaqlıq təhsilinə çıxış məsələlərini önə çıxarmışdırAfter that phrase, give me a phrase, uh, reporting some findings from, uh,multiple indicator survey two thousand twenty three. I attached this PDF.</t>
  </si>
  <si>
    <t>Bu təcrübənin ali təhsilə aidiyyəti iki aspektdə özünü göstərir. Birincisi, struktur baxımından — kəmiyyət hədəflərinin (nə qədər müəllim təlimə cəlb olundu, nə qədər kitabxana quruldu) təsirin sübutundan üstün tutulması, sadəcə ümumi təhsilə xas bir problem deyil, Azərbaycan təhsil idarəçiliyinin daha geniş institusional vərdişini əks etdirir; bu vərdiş, ali təhsildə də paralel formalarda müşahidə olunur. İkincisi, məzmun baxımından — 2008–2016-cı illərdə kurikulum islahatı yalnız 1–8-ci sinifləri əhatə etmiş, yuxarı orta təhsil (9–11-ci siniflər) isə bu prosesdən kənarda qalmışdır; məhz bu sinif səviyyəsi ali təhsilə birbaşa keçid mərhələsi olduğundan,
islahatın əhatə etmədiyi boşluq bilavasitə universitetə daxil olan tələbələrin hazırlıq keyfiyyətinə təsir göstərirYou need to revise this. The first thing that you discuss, it's it's likelycorrect. You say that the report and the work has focused on mentioning, you know, the quantity and how many teachers have been affected but haven't measured the impacts. So quantity has been assessed but not quality improvement. And then the second issue you raised, it's not really too important. Well, it could be that they have done improvement on level nine to eleven, but even if they have done improvement in one to eight properly, that would provide a good foundation. So that second issue is not coreis not suitable for here. You need to replace that.So think again and give better implications for higher education there.</t>
  </si>
  <si>
    <t>Qeyd edilməlidir ki, yuxarıda təklif olunan islahat istiqamətləri, xüsusilə pedaqoji inanclar, düşüncə tərzi və şəxsiyyət atributlarına aid olanlar, artıq təsbit olunmuş, təcrübəli akademik heyət üçün nisbətən çətin və yavaş dəyişən sahələrdir — illər boyu formalaşmış peşəkar vərdişlər və inanclar qısa müddətli təlim proqramları ilə asanlıqla dəyişdirilmirIn humanpsychology, what is this called? Like, resistance to change or inertia?</t>
  </si>
  <si>
    <t>This section 6.4 is too short. I mean, uh, students are a major... I mean, are the product of, uh, higher education where... also... but did we say that? Say that as the first sentence in six point four. Students are their product of higher education. So... but you need to expand this section at least two times.-- 6.4 Tələbə Amillərinin Təhlili və İslahat Təklifləri Ümumitəhsildən gələn bilik və bacarıq hazırlıq səviyyəsi bu tədqiqatın əhatə dairəsindən kənarda qalır— bu, ayrıca, ümumi təhsilin keyfiyyət təminatına həsr olunmuş müstəqil tədqiqat tələb edən geniş bir mövzudur (Bölmə 1.1-də qeyd olunduğu kimi, bu məqalə ali təhsilə fokuslanır). Ali təhsil səviyyəsində praqmatik addım isə bu hazırlıq boşluğunu tanımaq və idarə etməkdir — Bölmə 6.3-də qeyd olunan ilkin hazırlıq proqramına bənzər struktur alınmış "körpü" kursları vasitəsilə.Daxili motivasiya üçün — tələbələrə seçdikləri sahənin "niyə" əhəmiyyətli olduğunu erkən mərhələdə (birinci kursda) sənaye nümayəndələri və məzunlarla görüş vasitəsilə göstərmək effektiv addımdır; bu, Bölmə 4.3-dəki sorğu nəticələrində müşahidə olunan passivlik probleminə birbaşa cavabdır. Xarici motivasiya (karyera, maaş) üçün — şəffaf karyera perspektivi məlumatının (hansı ixtisas hansı əmək bazarı nəticəsinə gətirir) tələbələrə erkən təqdim edilməsi, sahə seçimini daha məlumatlı edir. Ailənin sosial-iqtisadi vəziyyəti birbaşa dəyişdirilə bilməyən amildir, lakin onun təsiri azaldıla bilər — məsələn, aşağı gəlirli ailələrdən olan tələbələr üçün təqaüd və mentorluq proqramları vasitəsilə, universitet səviyyəsində tətbiq oluna bilən konkret addımdır.</t>
  </si>
  <si>
    <t>also expand 6.5 tvo foldVasitəçi Amillərinin Təhlili və İslahat Təklifləri Kurikulumunaktuallığı üçün konkret model — Bölmə 4.3-dəki tələbə şikayətində qeyd olunan "altı ay" prinsipi: yeni texnoloji trendlərin kurikulumda əks olunması üçün illik tam yenidənbaxış əvəzinə, modul səviyyəsində sürətli reaksiya mexanizmi (Bölmə 6.2-də qeyd olunan sənaye nümayəndəli proqram komitələri vasitəsilə). Dinamik akademik mühit institusional təşviq tələb edir — müntəzəm (aylıq) açıq seminar və fənlərarası müzakirə formatlarının rəsmi cədvələ daxil edilməsi, bunun akademik heyət üçün könüllü əlavə yük deyil, iş vaxtının strukturlaşdırılmış hissəsi kimi tanınması. Fiziki/rəqəmsal infrastruktur sahəsində, Bölmə 6.2-dəki maliyyə prioritetləşdirmə prinsipinə uyğun olaraq, geniş yeni tikinti layihələrindən öncə mövcud resursların (kitabxana onlayn bazaları, laboratoriya avadanlığı) əlçatanlığının genişləndirilməsi daha səmərəli ilkin addımdır. Beynəlxalq əməkdaşlığın dərinliyi üçün, Bölmə 6.1-dəki geosiyasi təhliləəsasən, hər əməkdaşlıq təşəbbüsü üçün əvvəlcədən müəyyən edilmiş, ölçülə bilən nəticə göstəricisi (məsələn, birgə nəşr sayı, tələbə geri dönüş nisbəti) tələb olunmalıdır —</t>
  </si>
  <si>
    <t>I have designed this diagram, and I want to put it inside section six. I think six point four is the best place to put it. Uh, where for academic staff, teach students, and also the mediating factors and curriculum. Right? So all of these are important. So, uh, give me a few sentences explaining and refer to this image and say that to put everything more understandable, uh, we provide this visualization and explain it.</t>
  </si>
  <si>
    <t>Submitted the paper I'm so glad, now I want to write the English version of this paper. I want to propose the model as a generic and customizable, um, cause effect model, and take Azerbaijan as a case only. For... this can be used by any country that is down in the list, uh, or, let's say, needs improvement in the education system, so macro level. Give me a title. just mentioned that Azerbaijan has a case study. And for that paper, I mean, the... we can remove much of the things that, you know, Azerbaijan has been doing weak. We can keep it very short in the case study section towards the end, you know, and then pericot case. Instead of that, you can suggest more things to to be added to the generic model or the the paid generic paper.</t>
  </si>
  <si>
    <t>Dimension</t>
  </si>
  <si>
    <t>Code / rule</t>
  </si>
  <si>
    <t>Definition / interpretation limit</t>
  </si>
  <si>
    <t>Method</t>
  </si>
  <si>
    <t>Coverage</t>
  </si>
  <si>
    <t>119 reconstructed text-bearing human prompts in the supplied topic log. This describes the surviving export, not completeness of all historical work. Follow-on planning after reported submission is included and separately labelled.</t>
  </si>
  <si>
    <t>Coding unit</t>
  </si>
  <si>
    <t>One human prompt is one observation. Page/textbox continuations are joined. Quoted previous prompts inside a new message are contextual material and not separate new observations.</t>
  </si>
  <si>
    <t>Multiple codes</t>
  </si>
  <si>
    <t>One primary interaction type; additional types capture distinct visible acts. Each type is counted at most once per prompt. One dominant agency mode. Multiple positive expertise categories may apply; none is exclusive.</t>
  </si>
  <si>
    <t>Expertise attribution</t>
  </si>
  <si>
    <t>Expertise codes concern observable judgments in the human prompt, not personal competence or correctness. Copied AI/reviewer text and attached documents do not establish that the researcher originated the ideas. Rationales distinguish context provision from interpretation.</t>
  </si>
  <si>
    <t>Outcome boundary</t>
  </si>
  <si>
    <t>Outcome/notes refer to the next visible AI response only. Statements about reading files, checking references, executing research or completing edits remain reported AI claims unless demonstrated in the visible response. No bibliographic fact-checking was performed for this coding task.</t>
  </si>
  <si>
    <t>Provenance</t>
  </si>
  <si>
    <t>Source locations are 1-based DOCX body-element indices, including paragraphs/tables. They are reproducible conversion locations, not printed page or line numbers.</t>
  </si>
  <si>
    <t>Extraction</t>
  </si>
  <si>
    <t>Word conversion duplicates each textbox in Choice/Fallback XML; identical copies were counted once. Human text outside textboxes was recovered. Four paired textbox continuations were joined; initial supplied context and its immediately continuing access request form one prompt.</t>
  </si>
  <si>
    <t>Count correction</t>
  </si>
  <si>
    <t>119 replaces the earlier provisional 122: three additional pairs of continuation fragments were joined (current HE-046, HE-082 and HE-107). Conversion boundaries deserve confirmation against the original chat if it is available.</t>
  </si>
  <si>
    <t>Full text</t>
  </si>
  <si>
    <t>Human prompts preserves all recovered human text in ordered part columns of at most 1,900 characters. Join nonempty parts with NO added separator to reconstruct the prompt. Line breaks and conversion/OCR remnants are retained. Excerpts normalize whitespace and truncate at 420 characters.</t>
  </si>
  <si>
    <t>Workbook use</t>
  </si>
  <si>
    <t>Edit E:H in Coding using exact Codebook spellings; separate multiple labels with semicolon-space. P counts interaction codes; Q:X are type presence; Y counts positive expertise codes; Z:AE are positive expertise presence; AF is none. Summary formulas update. These counts do not measure expertise or agency intensity.</t>
  </si>
  <si>
    <t>Chart interpretation</t>
  </si>
  <si>
    <t>Use separate stacked columns for interaction types and positive expertise evidence. A bar height counts categories present in a prompt. Zero expertise means no coded positive evidence. None should not be added as positive expertise. Agency modes are categorical, not ordinal scores.</t>
  </si>
  <si>
    <t>Phase labels</t>
  </si>
  <si>
    <t>Phases describe observed task focus for navigation. They are analyst-assigned segments, not an independently validated progression. Follow-on planning is separate so manuscript-only comparisons can exclude it.</t>
  </si>
  <si>
    <t>Interpretive status</t>
  </si>
  <si>
    <t>Single AI-assisted first-pass qualitative coding, with no independent second coder or inter-rater reliability estimate. Borderline codes are reviewable against full prompts, source locations and rationales.</t>
  </si>
  <si>
    <t>Specific cautions</t>
  </si>
  <si>
    <t>HE-034 is a bare question mark; its interpretation is provisional. HE-059’s caption response is not clearly recoverable. HE-084 has a potentially mismatched target. HE-089 has no intervening AI response before the next human prompt. HE-092 lacks an explicit instruction.</t>
  </si>
  <si>
    <t>Open generation or explanation with little substantive specification. Established context can still constrain AI.</t>
  </si>
  <si>
    <t>Sets purpose, scope, structure, content, output format or evidence constraints and delegates execution. Established section instructions may carry forward.</t>
  </si>
  <si>
    <t>Requests or performs assessment or verification without necessarily identifying an error.</t>
  </si>
  <si>
    <t>Explicitly diagnoses or challenges an error, weak wording, unsupported claim, inconsistency or unsatisfactory response.</t>
  </si>
  <si>
    <t>Changes scope, priority, framing, sequencing or the previous course of work.</t>
  </si>
  <si>
    <t>Supplies facts, interpretation, drafts, documents, source pools or experience. External material is context provision, not automatically researcher expertise.</t>
  </si>
  <si>
    <t>Explicitly approves, chooses, excludes or rejects an option, output, source or proposed action.</t>
  </si>
  <si>
    <t>Initiates reasoned comparison or reconciliation of concepts, explanations, methods or arguments. Simply requesting alternatives is insufficient.</t>
  </si>
  <si>
    <t>Open execution delegated to AI.</t>
  </si>
  <si>
    <t>Human constrains or selects execution.</t>
  </si>
  <si>
    <t>Human requests or exercises assessment.</t>
  </si>
  <si>
    <t>Human explicitly scrutinizes or corrects output.</t>
  </si>
  <si>
    <t>Human initiates reasoned comparison or reconciliation.</t>
  </si>
  <si>
    <t>Corrects field-specific terminology or technical claims using an explicit distinction.</t>
  </si>
  <si>
    <t>Distinguishes analytical concepts, categories, mechanisms or source roles.</t>
  </si>
  <si>
    <t>Sets or applies criteria for relevance, accuracy, source-to-claim support, traceability or evidential limits.</t>
  </si>
  <si>
    <t>Sets or critiques research design, data collection, selection, synthesis, modeling or inferential procedures.</t>
  </si>
  <si>
    <t>Develops, qualifies or evaluates reasoning, contribution framing, claim strength or the argumentative role of evidence.</t>
  </si>
  <si>
    <t>Applies manuscript structure, language, citation conventions, tone, audience, narrative sequence or submission genre.</t>
  </si>
  <si>
    <t>No sufficient explicit expertise evidence in this prompt. Does not mean the researcher lacks expertise; exclusive of positive categories.</t>
  </si>
  <si>
    <t>Source</t>
  </si>
  <si>
    <t>Interaction log</t>
  </si>
  <si>
    <t>paper-Diagnosing quality of Higher Education-Log of human-Aİ.docx — supplied conversion in Data (empirical). PDF version could not be read; the converted Word log was used.</t>
  </si>
  <si>
    <t>Context paper</t>
  </si>
  <si>
    <t>paper-Diagnosing quality of Higher Education-paper itself.pdf — topic context only; manuscript content does not establish what was present in individual prompts.</t>
  </si>
  <si>
    <t>Reference</t>
  </si>
  <si>
    <t>Layout</t>
  </si>
  <si>
    <t>CODING of interactions-for Paper-Human oversight.xlsx — used to match Summary, Coding, Human prompts and Codebook tabs; its case codes were not reused as data.</t>
  </si>
  <si>
    <t>Open Delegation</t>
  </si>
  <si>
    <t>Knowledge/context provision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</si>
</sst>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font>
      <sz val="11"/>
      <name val="Carlito"/>
    </font>
    <font>
      <sz val="10"/>
      <color rgb="FF223449"/>
      <name val="Arial"/>
      <family val="2"/>
    </font>
    <font>
      <b/>
      <sz val="10"/>
      <color rgb="FFFFFFFF"/>
      <name val="Arial"/>
      <family val="2"/>
    </font>
    <font>
      <b/>
      <sz val="17"/>
      <color rgb="FF29435C"/>
      <name val="Arial"/>
      <family val="2"/>
    </font>
    <font>
      <b/>
      <sz val="10"/>
      <color rgb="FF223449"/>
      <name val="Arial"/>
      <family val="2"/>
    </font>
  </fonts>
  <fills count="4">
    <fill>
      <patternFill patternType="none"/>
    </fill>
    <fill>
      <patternFill patternType="gray125"/>
    </fill>
    <fill>
      <patternFill patternType="solid">
        <fgColor rgb="FF29435C"/>
      </patternFill>
    </fill>
    <fill>
      <patternFill patternType="solid">
        <fgColor rgb="FFFFFF00"/>
        <bgColor indexed="64"/>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xf numFmtId="0" fontId="2" fillId="2" borderId="0" xfId="0" applyFont="1" applyFill="1" applyAlignment="1">
      <alignment horizontal="center" vertical="center" wrapText="1"/>
    </xf>
    <xf numFmtId="0" fontId="1" fillId="0" borderId="0" xfId="0" applyFont="1" applyAlignment="1">
      <alignment wrapText="1"/>
    </xf>
    <xf numFmtId="0" fontId="1" fillId="0" borderId="0" xfId="0" applyFont="1" applyAlignment="1">
      <alignment vertical="top" wrapText="1"/>
    </xf>
    <xf numFmtId="1" fontId="1" fillId="0" borderId="0" xfId="0" applyNumberFormat="1" applyFont="1" applyAlignment="1">
      <alignment vertical="top" wrapText="1"/>
    </xf>
    <xf numFmtId="164" fontId="1" fillId="0" borderId="0" xfId="0" applyNumberFormat="1" applyFont="1"/>
    <xf numFmtId="1" fontId="1" fillId="0" borderId="0" xfId="0" applyNumberFormat="1" applyFont="1"/>
    <xf numFmtId="1" fontId="1" fillId="0" borderId="0" xfId="0" applyNumberFormat="1" applyFont="1" applyAlignment="1">
      <alignment wrapText="1"/>
    </xf>
    <xf numFmtId="0" fontId="3" fillId="0" borderId="0" xfId="0" applyFont="1"/>
    <xf numFmtId="0" fontId="1" fillId="0" borderId="0" xfId="0" applyFont="1"/>
    <xf numFmtId="0" fontId="4" fillId="0" borderId="0" xfId="0" applyFont="1"/>
    <xf numFmtId="0" fontId="1" fillId="0" borderId="0" xfId="0" applyFont="1" applyAlignment="1">
      <alignment wrapText="1"/>
    </xf>
    <xf numFmtId="0" fontId="1" fillId="3" borderId="0" xfId="0" applyFont="1" applyFill="1"/>
    <xf numFmtId="1" fontId="1" fillId="3" borderId="0" xfId="0" applyNumberFormat="1" applyFont="1" applyFill="1"/>
  </cellXfs>
  <cellStyles count="1">
    <cellStyle name="Normal" xfId="0" builtinId="0"/>
  </cellStyles>
  <dxfs count="1">
    <dxf>
      <fill>
        <patternFill patternType="solid">
          <bgColor rgb="FFFFF2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HECoding" displayName="HECoding" ref="A1:AF120" totalsRowShown="0">
  <tableColumns count="32">
    <tableColumn id="1" xr3:uid="{00000000-0010-0000-0000-000001000000}" name="Prompt ID"/>
    <tableColumn id="2" xr3:uid="{00000000-0010-0000-0000-000002000000}" name="Sequence"/>
    <tableColumn id="3" xr3:uid="{00000000-0010-0000-0000-000003000000}" name="Phase"/>
    <tableColumn id="4" xr3:uid="{00000000-0010-0000-0000-000004000000}" name="Prompt excerpt"/>
    <tableColumn id="5" xr3:uid="{00000000-0010-0000-0000-000005000000}" name="Primary interaction type"/>
    <tableColumn id="6" xr3:uid="{00000000-0010-0000-0000-000006000000}" name="Additional interaction types"/>
    <tableColumn id="7" xr3:uid="{00000000-0010-0000-0000-000007000000}" name="Agency mode"/>
    <tableColumn id="8" xr3:uid="{00000000-0010-0000-0000-000008000000}" name="Expertise evidence"/>
    <tableColumn id="9" xr3:uid="{00000000-0010-0000-0000-000009000000}" name="Coding rationale"/>
    <tableColumn id="10" xr3:uid="{00000000-0010-0000-0000-00000A000000}" name="Observed outcome / notes"/>
    <tableColumn id="11" xr3:uid="{00000000-0010-0000-0000-00000B000000}" name="Prompt provenance"/>
    <tableColumn id="12" xr3:uid="{00000000-0010-0000-0000-00000C000000}" name="Response provenance"/>
    <tableColumn id="13" xr3:uid="{00000000-0010-0000-0000-00000D000000}" name="Attachment / contextual material"/>
    <tableColumn id="14" xr3:uid="{00000000-0010-0000-0000-00000E000000}" name="Response availability"/>
    <tableColumn id="15" xr3:uid="{00000000-0010-0000-0000-00000F000000}" name="Coding caution"/>
    <tableColumn id="16" xr3:uid="{00000000-0010-0000-0000-000010000000}" name="Interaction codes"/>
    <tableColumn id="17" xr3:uid="{00000000-0010-0000-0000-000011000000}" name="Type: Delegation"/>
    <tableColumn id="18" xr3:uid="{00000000-0010-0000-0000-000012000000}" name="Type: Directed delegation"/>
    <tableColumn id="19" xr3:uid="{00000000-0010-0000-0000-000013000000}" name="Type: Evaluation"/>
    <tableColumn id="20" xr3:uid="{00000000-0010-0000-0000-000014000000}" name="Type: Correction/Challenge"/>
    <tableColumn id="21" xr3:uid="{00000000-0010-0000-0000-000015000000}" name="Type: Redirection"/>
    <tableColumn id="22" xr3:uid="{00000000-0010-0000-0000-000016000000}" name="Type: Knowledge injection"/>
    <tableColumn id="23" xr3:uid="{00000000-0010-0000-0000-000017000000}" name="Type: Selection/Rejection"/>
    <tableColumn id="24" xr3:uid="{00000000-0010-0000-0000-000018000000}" name="Type: Deliberation"/>
    <tableColumn id="25" xr3:uid="{00000000-0010-0000-0000-000019000000}" name="Expertise codes"/>
    <tableColumn id="26" xr3:uid="{00000000-0010-0000-0000-00001A000000}" name="Expertise: domain correction"/>
    <tableColumn id="27" xr3:uid="{00000000-0010-0000-0000-00001B000000}" name="Expertise: conceptual discrimination"/>
    <tableColumn id="28" xr3:uid="{00000000-0010-0000-0000-00001C000000}" name="Expertise: evidence judgment"/>
    <tableColumn id="29" xr3:uid="{00000000-0010-0000-0000-00001D000000}" name="Expertise: methodological judgment"/>
    <tableColumn id="30" xr3:uid="{00000000-0010-0000-0000-00001E000000}" name="Expertise: argumentative judgment"/>
    <tableColumn id="31" xr3:uid="{00000000-0010-0000-0000-00001F000000}" name="Expertise: genre/writing expertise"/>
    <tableColumn id="32" xr3:uid="{00000000-0010-0000-0000-000020000000}" name="Expertise: non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HEPrompts" displayName="HEPrompts" ref="A1:F120" totalsRowShown="0">
  <tableColumns count="6">
    <tableColumn id="1" xr3:uid="{00000000-0010-0000-0100-000001000000}" name="Prompt ID"/>
    <tableColumn id="2" xr3:uid="{00000000-0010-0000-0100-000002000000}" name="Sequence"/>
    <tableColumn id="3" xr3:uid="{00000000-0010-0000-0100-000003000000}" name="Prompt provenance"/>
    <tableColumn id="4" xr3:uid="{00000000-0010-0000-0100-000004000000}" name="Attachment / contextual material"/>
    <tableColumn id="5" xr3:uid="{00000000-0010-0000-0100-000005000000}" name="Full human prompt (part 1)"/>
    <tableColumn id="6" xr3:uid="{00000000-0010-0000-0100-000006000000}" name="Full human prompt (part 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HECodebook" displayName="HECodebook" ref="A1:C38" totalsRowShown="0">
  <tableColumns count="3">
    <tableColumn id="1" xr3:uid="{00000000-0010-0000-0200-000001000000}" name="Dimension"/>
    <tableColumn id="2" xr3:uid="{00000000-0010-0000-0200-000002000000}" name="Code / rule"/>
    <tableColumn id="3" xr3:uid="{00000000-0010-0000-0200-000003000000}" name="Definition / interpretation limi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
  <sheetViews>
    <sheetView showGridLines="0" tabSelected="1" zoomScaleNormal="100" workbookViewId="0">
      <selection activeCell="E16" sqref="E16"/>
    </sheetView>
  </sheetViews>
  <sheetFormatPr defaultRowHeight="14.25"/>
  <cols>
    <col min="1" max="1" width="43" customWidth="1"/>
    <col min="2" max="2" width="14" customWidth="1"/>
    <col min="3" max="3" width="16" customWidth="1"/>
    <col min="4" max="4" width="22" customWidth="1"/>
    <col min="5" max="5" width="15" customWidth="1"/>
    <col min="6" max="6" width="28" customWidth="1"/>
    <col min="7" max="7" width="13" customWidth="1"/>
    <col min="8" max="8" width="14" customWidth="1"/>
    <col min="9" max="9" width="15" customWidth="1"/>
    <col min="10" max="10" width="32" customWidth="1"/>
    <col min="11" max="12" width="13" customWidth="1"/>
  </cols>
  <sheetData>
    <row r="1" spans="1:12">
      <c r="A1" s="1"/>
      <c r="B1" s="1"/>
      <c r="C1" s="1"/>
      <c r="D1" s="1"/>
      <c r="E1" s="1"/>
      <c r="F1" s="1"/>
      <c r="G1" s="1"/>
      <c r="H1" s="1"/>
      <c r="I1" s="1"/>
      <c r="J1" s="1"/>
      <c r="K1" s="1"/>
      <c r="L1" s="1"/>
    </row>
    <row r="2" spans="1:12" ht="32.1" customHeight="1">
      <c r="A2" s="9" t="s">
        <v>0</v>
      </c>
      <c r="B2" s="10"/>
      <c r="C2" s="10"/>
      <c r="D2" s="10"/>
      <c r="E2" s="10"/>
      <c r="F2" s="10"/>
      <c r="G2" s="10"/>
      <c r="H2" s="10"/>
      <c r="I2" s="10"/>
      <c r="J2" s="10"/>
      <c r="K2" s="10"/>
      <c r="L2" s="10"/>
    </row>
    <row r="3" spans="1:12">
      <c r="A3" s="10" t="s">
        <v>1</v>
      </c>
      <c r="B3" s="10"/>
      <c r="C3" s="10"/>
      <c r="D3" s="10"/>
      <c r="E3" s="10"/>
      <c r="F3" s="10"/>
      <c r="G3" s="10"/>
      <c r="H3" s="10"/>
      <c r="I3" s="10"/>
      <c r="J3" s="10"/>
      <c r="K3" s="10"/>
      <c r="L3" s="10"/>
    </row>
    <row r="4" spans="1:12">
      <c r="A4" s="1"/>
      <c r="B4" s="1"/>
      <c r="C4" s="1"/>
      <c r="D4" s="1"/>
      <c r="E4" s="1"/>
      <c r="F4" s="1"/>
      <c r="G4" s="1"/>
      <c r="H4" s="1"/>
      <c r="I4" s="1"/>
      <c r="J4" s="1"/>
      <c r="K4" s="1"/>
      <c r="L4" s="1"/>
    </row>
    <row r="5" spans="1:12">
      <c r="A5" s="13" t="s">
        <v>2</v>
      </c>
      <c r="B5" s="14">
        <v>119</v>
      </c>
      <c r="C5" s="1"/>
      <c r="D5" s="10" t="s">
        <v>3</v>
      </c>
      <c r="E5" s="10"/>
      <c r="F5" s="10"/>
      <c r="G5" s="10"/>
      <c r="H5" s="10"/>
      <c r="I5" s="10"/>
      <c r="J5" s="1"/>
      <c r="K5" s="1"/>
      <c r="L5" s="1"/>
    </row>
    <row r="6" spans="1:12">
      <c r="A6" s="1" t="s">
        <v>4</v>
      </c>
      <c r="B6" s="7">
        <v>1</v>
      </c>
      <c r="C6" s="1"/>
      <c r="D6" s="10" t="s">
        <v>5</v>
      </c>
      <c r="E6" s="10"/>
      <c r="F6" s="10"/>
      <c r="G6" s="10"/>
      <c r="H6" s="10"/>
      <c r="I6" s="10"/>
      <c r="J6" s="1"/>
      <c r="K6" s="1"/>
      <c r="L6" s="1"/>
    </row>
    <row r="7" spans="1:12">
      <c r="A7" s="1"/>
      <c r="B7" s="1"/>
      <c r="C7" s="1"/>
      <c r="D7" s="1"/>
      <c r="E7" s="1"/>
      <c r="F7" s="1"/>
      <c r="G7" s="1"/>
      <c r="H7" s="1"/>
      <c r="I7" s="1"/>
      <c r="J7" s="1"/>
      <c r="K7" s="1"/>
      <c r="L7" s="1"/>
    </row>
    <row r="8" spans="1:12" ht="45.95" customHeight="1">
      <c r="A8" s="2" t="s">
        <v>6</v>
      </c>
      <c r="B8" s="2" t="s">
        <v>7</v>
      </c>
      <c r="C8" s="2" t="s">
        <v>8</v>
      </c>
      <c r="D8" s="2" t="s">
        <v>9</v>
      </c>
      <c r="E8" s="1"/>
      <c r="F8" s="2" t="s">
        <v>10</v>
      </c>
      <c r="G8" s="2" t="s">
        <v>11</v>
      </c>
      <c r="H8" s="2" t="s">
        <v>12</v>
      </c>
      <c r="I8" s="1"/>
      <c r="J8" s="2" t="s">
        <v>13</v>
      </c>
      <c r="K8" s="2" t="s">
        <v>11</v>
      </c>
      <c r="L8" s="2" t="s">
        <v>12</v>
      </c>
    </row>
    <row r="9" spans="1:12">
      <c r="A9" s="1" t="s">
        <v>948</v>
      </c>
      <c r="B9" s="7">
        <f>COUNTIFS(Coding!$E$2:$E$120,A9)</f>
        <v>0</v>
      </c>
      <c r="C9" s="7">
        <f>SUM(Coding!Q2:Q120)</f>
        <v>2</v>
      </c>
      <c r="D9" s="6">
        <f t="shared" ref="D9:D16" si="0">C9/$B$5</f>
        <v>1.680672268907563E-2</v>
      </c>
      <c r="E9" s="1"/>
      <c r="F9" s="1" t="s">
        <v>15</v>
      </c>
      <c r="G9" s="7">
        <f>COUNTIFS(Coding!$G$2:$G$120,F9)</f>
        <v>2</v>
      </c>
      <c r="H9" s="6">
        <f>G9/$B$5</f>
        <v>1.680672268907563E-2</v>
      </c>
      <c r="I9" s="1"/>
      <c r="J9" s="3" t="s">
        <v>16</v>
      </c>
      <c r="K9" s="7">
        <f>SUM(Coding!Z2:Z120)</f>
        <v>10</v>
      </c>
      <c r="L9" s="6">
        <f t="shared" ref="L9:L15" si="1">K9/$B$5</f>
        <v>8.4033613445378158E-2</v>
      </c>
    </row>
    <row r="10" spans="1:12">
      <c r="A10" s="1" t="s">
        <v>17</v>
      </c>
      <c r="B10" s="7">
        <f>COUNTIFS(Coding!$E$2:$E$120,A10)</f>
        <v>40</v>
      </c>
      <c r="C10" s="7">
        <f>SUM(Coding!R2:R120)</f>
        <v>81</v>
      </c>
      <c r="D10" s="6">
        <f t="shared" si="0"/>
        <v>0.68067226890756305</v>
      </c>
      <c r="E10" s="1"/>
      <c r="F10" s="1" t="s">
        <v>18</v>
      </c>
      <c r="G10" s="7">
        <f>COUNTIFS(Coding!$G$2:$G$120,F10)</f>
        <v>69</v>
      </c>
      <c r="H10" s="6">
        <f>G10/$B$5</f>
        <v>0.57983193277310929</v>
      </c>
      <c r="I10" s="1"/>
      <c r="J10" s="3" t="s">
        <v>19</v>
      </c>
      <c r="K10" s="7">
        <f>SUM(Coding!AA2:AA120)</f>
        <v>28</v>
      </c>
      <c r="L10" s="6">
        <f t="shared" si="1"/>
        <v>0.23529411764705882</v>
      </c>
    </row>
    <row r="11" spans="1:12">
      <c r="A11" s="1" t="s">
        <v>20</v>
      </c>
      <c r="B11" s="7">
        <f>COUNTIFS(Coding!$E$2:$E$120,A11)</f>
        <v>17</v>
      </c>
      <c r="C11" s="7">
        <f>SUM(Coding!S2:S120)</f>
        <v>23</v>
      </c>
      <c r="D11" s="6">
        <f t="shared" si="0"/>
        <v>0.19327731092436976</v>
      </c>
      <c r="E11" s="1"/>
      <c r="F11" s="1" t="s">
        <v>21</v>
      </c>
      <c r="G11" s="7">
        <f>COUNTIFS(Coding!$G$2:$G$120,F11)</f>
        <v>18</v>
      </c>
      <c r="H11" s="6">
        <f>G11/$B$5</f>
        <v>0.15126050420168066</v>
      </c>
      <c r="I11" s="1"/>
      <c r="J11" s="3" t="s">
        <v>22</v>
      </c>
      <c r="K11" s="7">
        <f>SUM(Coding!AB2:AB120)</f>
        <v>29</v>
      </c>
      <c r="L11" s="6">
        <f t="shared" si="1"/>
        <v>0.24369747899159663</v>
      </c>
    </row>
    <row r="12" spans="1:12">
      <c r="A12" s="1" t="s">
        <v>23</v>
      </c>
      <c r="B12" s="7">
        <f>COUNTIFS(Coding!$E$2:$E$120,A12)</f>
        <v>26</v>
      </c>
      <c r="C12" s="7">
        <f>SUM(Coding!T2:T120)</f>
        <v>27</v>
      </c>
      <c r="D12" s="6">
        <f t="shared" si="0"/>
        <v>0.22689075630252101</v>
      </c>
      <c r="E12" s="1"/>
      <c r="F12" s="1" t="s">
        <v>24</v>
      </c>
      <c r="G12" s="7">
        <f>COUNTIFS(Coding!$G$2:$G$120,F12)</f>
        <v>26</v>
      </c>
      <c r="H12" s="6">
        <f>G12/$B$5</f>
        <v>0.21848739495798319</v>
      </c>
      <c r="I12" s="1"/>
      <c r="J12" s="3" t="s">
        <v>25</v>
      </c>
      <c r="K12" s="7">
        <f>SUM(Coding!AC2:AC120)</f>
        <v>23</v>
      </c>
      <c r="L12" s="6">
        <f t="shared" si="1"/>
        <v>0.19327731092436976</v>
      </c>
    </row>
    <row r="13" spans="1:12">
      <c r="A13" s="1" t="s">
        <v>26</v>
      </c>
      <c r="B13" s="7">
        <f>COUNTIFS(Coding!$E$2:$E$120,A13)</f>
        <v>10</v>
      </c>
      <c r="C13" s="7">
        <f>SUM(Coding!U2:U120)</f>
        <v>26</v>
      </c>
      <c r="D13" s="6">
        <f t="shared" si="0"/>
        <v>0.21848739495798319</v>
      </c>
      <c r="E13" s="1"/>
      <c r="F13" s="1" t="s">
        <v>27</v>
      </c>
      <c r="G13" s="7">
        <f>COUNTIFS(Coding!$G$2:$G$120,F13)</f>
        <v>4</v>
      </c>
      <c r="H13" s="6">
        <f>G13/$B$5</f>
        <v>3.3613445378151259E-2</v>
      </c>
      <c r="I13" s="1"/>
      <c r="J13" s="3" t="s">
        <v>28</v>
      </c>
      <c r="K13" s="7">
        <f>SUM(Coding!AD2:AD120)</f>
        <v>32</v>
      </c>
      <c r="L13" s="6">
        <f t="shared" si="1"/>
        <v>0.26890756302521007</v>
      </c>
    </row>
    <row r="14" spans="1:12">
      <c r="A14" s="1" t="s">
        <v>949</v>
      </c>
      <c r="B14" s="7">
        <f>COUNTIFS(Coding!$E$2:$E$120,A14)</f>
        <v>0</v>
      </c>
      <c r="C14" s="7">
        <f>SUM(Coding!V2:V120)</f>
        <v>62</v>
      </c>
      <c r="D14" s="6">
        <f t="shared" si="0"/>
        <v>0.52100840336134457</v>
      </c>
      <c r="E14" s="1"/>
      <c r="F14" s="1"/>
      <c r="G14" s="7"/>
      <c r="H14" s="1"/>
      <c r="I14" s="1"/>
      <c r="J14" s="3" t="s">
        <v>30</v>
      </c>
      <c r="K14" s="7">
        <f>SUM(Coding!AE2:AE120)</f>
        <v>66</v>
      </c>
      <c r="L14" s="6">
        <f t="shared" si="1"/>
        <v>0.55462184873949583</v>
      </c>
    </row>
    <row r="15" spans="1:12">
      <c r="A15" s="1" t="s">
        <v>31</v>
      </c>
      <c r="B15" s="7">
        <f>COUNTIFS(Coding!$E$2:$E$120,A15)</f>
        <v>2</v>
      </c>
      <c r="C15" s="7">
        <f>SUM(Coding!W2:W120)</f>
        <v>2</v>
      </c>
      <c r="D15" s="6">
        <f t="shared" si="0"/>
        <v>1.680672268907563E-2</v>
      </c>
      <c r="E15" s="1"/>
      <c r="F15" s="3" t="s">
        <v>32</v>
      </c>
      <c r="G15" s="7">
        <f>$B$5-SUM(Coding!AF2:AF120)</f>
        <v>105</v>
      </c>
      <c r="H15" s="1"/>
      <c r="I15" s="1"/>
      <c r="J15" s="3" t="s">
        <v>33</v>
      </c>
      <c r="K15" s="7">
        <f>SUM(Coding!AF2:AF120)</f>
        <v>14</v>
      </c>
      <c r="L15" s="6">
        <f t="shared" si="1"/>
        <v>0.11764705882352941</v>
      </c>
    </row>
    <row r="16" spans="1:12">
      <c r="A16" s="1" t="s">
        <v>34</v>
      </c>
      <c r="B16" s="7">
        <f>COUNTIFS(Coding!$E$2:$E$120,A16)</f>
        <v>4</v>
      </c>
      <c r="C16" s="7">
        <f>SUM(Coding!X2:X120)</f>
        <v>4</v>
      </c>
      <c r="D16" s="6">
        <f t="shared" si="0"/>
        <v>3.3613445378151259E-2</v>
      </c>
      <c r="E16" s="1"/>
      <c r="F16" s="3" t="s">
        <v>35</v>
      </c>
      <c r="G16" s="6">
        <f>G15/$B$5</f>
        <v>0.88235294117647056</v>
      </c>
      <c r="H16" s="1"/>
      <c r="I16" s="1"/>
      <c r="J16" s="1"/>
      <c r="K16" s="1"/>
      <c r="L16" s="1"/>
    </row>
    <row r="17" spans="1:12">
      <c r="A17" s="1"/>
      <c r="B17" s="1"/>
      <c r="C17" s="1"/>
      <c r="D17" s="1"/>
      <c r="E17" s="1"/>
      <c r="F17" s="1"/>
      <c r="G17" s="1"/>
      <c r="H17" s="1"/>
      <c r="I17" s="1"/>
      <c r="J17" s="1"/>
      <c r="K17" s="1"/>
      <c r="L17" s="1"/>
    </row>
    <row r="18" spans="1:12">
      <c r="A18" s="1"/>
      <c r="B18" s="1"/>
      <c r="C18" s="1"/>
      <c r="D18" s="1"/>
      <c r="E18" s="1"/>
      <c r="F18" s="1"/>
      <c r="G18" s="1"/>
      <c r="H18" s="1"/>
      <c r="I18" s="1"/>
      <c r="J18" s="1"/>
      <c r="K18" s="1"/>
      <c r="L18" s="1"/>
    </row>
    <row r="19" spans="1:12" ht="45.95" customHeight="1">
      <c r="A19" s="2" t="s">
        <v>36</v>
      </c>
      <c r="B19" s="2" t="s">
        <v>37</v>
      </c>
      <c r="C19" s="2" t="s">
        <v>38</v>
      </c>
      <c r="D19" s="2" t="s">
        <v>11</v>
      </c>
      <c r="E19" s="2" t="s">
        <v>15</v>
      </c>
      <c r="F19" s="2" t="s">
        <v>18</v>
      </c>
      <c r="G19" s="2" t="s">
        <v>21</v>
      </c>
      <c r="H19" s="2" t="s">
        <v>24</v>
      </c>
      <c r="I19" s="2" t="s">
        <v>27</v>
      </c>
      <c r="J19" s="1"/>
      <c r="K19" s="1"/>
      <c r="L19" s="1"/>
    </row>
    <row r="20" spans="1:12" ht="39.950000000000003" customHeight="1">
      <c r="A20" s="3" t="s">
        <v>39</v>
      </c>
      <c r="B20" s="8">
        <v>1</v>
      </c>
      <c r="C20" s="8">
        <v>25</v>
      </c>
      <c r="D20" s="8">
        <f>COUNTIFS(Coding!$C$2:$C$120,A20)</f>
        <v>25</v>
      </c>
      <c r="E20" s="8">
        <f>COUNTIFS(Coding!$C$2:$C$120,$A20,Coding!$G$2:$G$120,"Delegative")</f>
        <v>1</v>
      </c>
      <c r="F20" s="8">
        <f>COUNTIFS(Coding!$C$2:$C$120,$A20,Coding!$G$2:$G$120,"Directive")</f>
        <v>15</v>
      </c>
      <c r="G20" s="8">
        <f>COUNTIFS(Coding!$C$2:$C$120,$A20,Coding!$G$2:$G$120,"Evaluative")</f>
        <v>5</v>
      </c>
      <c r="H20" s="8">
        <f>COUNTIFS(Coding!$C$2:$C$120,$A20,Coding!$G$2:$G$120,"Critical")</f>
        <v>4</v>
      </c>
      <c r="I20" s="8">
        <f>COUNTIFS(Coding!$C$2:$C$120,$A20,Coding!$G$2:$G$120,"Deliberative")</f>
        <v>0</v>
      </c>
      <c r="J20" s="1"/>
      <c r="K20" s="1"/>
      <c r="L20" s="1"/>
    </row>
    <row r="21" spans="1:12" ht="39.950000000000003" customHeight="1">
      <c r="A21" s="3" t="s">
        <v>40</v>
      </c>
      <c r="B21" s="8">
        <v>26</v>
      </c>
      <c r="C21" s="8">
        <v>45</v>
      </c>
      <c r="D21" s="8">
        <f>COUNTIFS(Coding!$C$2:$C$120,A21)</f>
        <v>20</v>
      </c>
      <c r="E21" s="8">
        <f>COUNTIFS(Coding!$C$2:$C$120,$A21,Coding!$G$2:$G$120,"Delegative")</f>
        <v>1</v>
      </c>
      <c r="F21" s="8">
        <f>COUNTIFS(Coding!$C$2:$C$120,$A21,Coding!$G$2:$G$120,"Directive")</f>
        <v>13</v>
      </c>
      <c r="G21" s="8">
        <f>COUNTIFS(Coding!$C$2:$C$120,$A21,Coding!$G$2:$G$120,"Evaluative")</f>
        <v>1</v>
      </c>
      <c r="H21" s="8">
        <f>COUNTIFS(Coding!$C$2:$C$120,$A21,Coding!$G$2:$G$120,"Critical")</f>
        <v>5</v>
      </c>
      <c r="I21" s="8">
        <f>COUNTIFS(Coding!$C$2:$C$120,$A21,Coding!$G$2:$G$120,"Deliberative")</f>
        <v>0</v>
      </c>
      <c r="J21" s="1"/>
      <c r="K21" s="1"/>
      <c r="L21" s="1"/>
    </row>
    <row r="22" spans="1:12" ht="39.950000000000003" customHeight="1">
      <c r="A22" s="3" t="s">
        <v>41</v>
      </c>
      <c r="B22" s="8">
        <v>46</v>
      </c>
      <c r="C22" s="8">
        <v>82</v>
      </c>
      <c r="D22" s="8">
        <f>COUNTIFS(Coding!$C$2:$C$120,A22)</f>
        <v>37</v>
      </c>
      <c r="E22" s="8">
        <f>COUNTIFS(Coding!$C$2:$C$120,$A22,Coding!$G$2:$G$120,"Delegative")</f>
        <v>0</v>
      </c>
      <c r="F22" s="8">
        <f>COUNTIFS(Coding!$C$2:$C$120,$A22,Coding!$G$2:$G$120,"Directive")</f>
        <v>20</v>
      </c>
      <c r="G22" s="8">
        <f>COUNTIFS(Coding!$C$2:$C$120,$A22,Coding!$G$2:$G$120,"Evaluative")</f>
        <v>7</v>
      </c>
      <c r="H22" s="8">
        <f>COUNTIFS(Coding!$C$2:$C$120,$A22,Coding!$G$2:$G$120,"Critical")</f>
        <v>9</v>
      </c>
      <c r="I22" s="8">
        <f>COUNTIFS(Coding!$C$2:$C$120,$A22,Coding!$G$2:$G$120,"Deliberative")</f>
        <v>1</v>
      </c>
      <c r="J22" s="1"/>
      <c r="K22" s="1"/>
      <c r="L22" s="1"/>
    </row>
    <row r="23" spans="1:12" ht="39.950000000000003" customHeight="1">
      <c r="A23" s="3" t="s">
        <v>42</v>
      </c>
      <c r="B23" s="8">
        <v>83</v>
      </c>
      <c r="C23" s="8">
        <v>117</v>
      </c>
      <c r="D23" s="8">
        <f>COUNTIFS(Coding!$C$2:$C$120,A23)</f>
        <v>35</v>
      </c>
      <c r="E23" s="8">
        <f>COUNTIFS(Coding!$C$2:$C$120,$A23,Coding!$G$2:$G$120,"Delegative")</f>
        <v>0</v>
      </c>
      <c r="F23" s="8">
        <f>COUNTIFS(Coding!$C$2:$C$120,$A23,Coding!$G$2:$G$120,"Directive")</f>
        <v>20</v>
      </c>
      <c r="G23" s="8">
        <f>COUNTIFS(Coding!$C$2:$C$120,$A23,Coding!$G$2:$G$120,"Evaluative")</f>
        <v>5</v>
      </c>
      <c r="H23" s="8">
        <f>COUNTIFS(Coding!$C$2:$C$120,$A23,Coding!$G$2:$G$120,"Critical")</f>
        <v>7</v>
      </c>
      <c r="I23" s="8">
        <f>COUNTIFS(Coding!$C$2:$C$120,$A23,Coding!$G$2:$G$120,"Deliberative")</f>
        <v>3</v>
      </c>
      <c r="J23" s="1"/>
      <c r="K23" s="1"/>
      <c r="L23" s="1"/>
    </row>
    <row r="24" spans="1:12" ht="39.950000000000003" customHeight="1">
      <c r="A24" s="3" t="s">
        <v>43</v>
      </c>
      <c r="B24" s="8">
        <v>118</v>
      </c>
      <c r="C24" s="8">
        <v>119</v>
      </c>
      <c r="D24" s="8">
        <f>COUNTIFS(Coding!$C$2:$C$120,A24)</f>
        <v>2</v>
      </c>
      <c r="E24" s="8">
        <f>COUNTIFS(Coding!$C$2:$C$120,$A24,Coding!$G$2:$G$120,"Delegative")</f>
        <v>0</v>
      </c>
      <c r="F24" s="8">
        <f>COUNTIFS(Coding!$C$2:$C$120,$A24,Coding!$G$2:$G$120,"Directive")</f>
        <v>1</v>
      </c>
      <c r="G24" s="8">
        <f>COUNTIFS(Coding!$C$2:$C$120,$A24,Coding!$G$2:$G$120,"Evaluative")</f>
        <v>0</v>
      </c>
      <c r="H24" s="8">
        <f>COUNTIFS(Coding!$C$2:$C$120,$A24,Coding!$G$2:$G$120,"Critical")</f>
        <v>1</v>
      </c>
      <c r="I24" s="8">
        <f>COUNTIFS(Coding!$C$2:$C$120,$A24,Coding!$G$2:$G$120,"Deliberative")</f>
        <v>0</v>
      </c>
      <c r="J24" s="1"/>
      <c r="K24" s="1"/>
      <c r="L24" s="1"/>
    </row>
    <row r="25" spans="1:12">
      <c r="A25" s="1"/>
      <c r="B25" s="1"/>
      <c r="C25" s="1"/>
      <c r="D25" s="1"/>
      <c r="E25" s="1"/>
      <c r="F25" s="1"/>
      <c r="G25" s="1"/>
      <c r="H25" s="1"/>
      <c r="I25" s="1"/>
      <c r="J25" s="1"/>
      <c r="K25" s="1"/>
      <c r="L25" s="1"/>
    </row>
    <row r="26" spans="1:12">
      <c r="A26" s="1"/>
      <c r="B26" s="1"/>
      <c r="C26" s="1"/>
      <c r="D26" s="1"/>
      <c r="E26" s="1"/>
      <c r="F26" s="1"/>
      <c r="G26" s="1"/>
      <c r="H26" s="1"/>
      <c r="I26" s="1"/>
      <c r="J26" s="1"/>
      <c r="K26" s="1"/>
      <c r="L26" s="1"/>
    </row>
    <row r="27" spans="1:12">
      <c r="A27" s="1"/>
      <c r="B27" s="1"/>
      <c r="C27" s="1"/>
      <c r="D27" s="1"/>
      <c r="E27" s="1"/>
      <c r="F27" s="1"/>
      <c r="G27" s="1"/>
      <c r="H27" s="1"/>
      <c r="I27" s="1"/>
      <c r="J27" s="1"/>
      <c r="K27" s="1"/>
      <c r="L27" s="1"/>
    </row>
    <row r="28" spans="1:12">
      <c r="A28" s="11" t="s">
        <v>44</v>
      </c>
      <c r="B28" s="10"/>
      <c r="C28" s="10"/>
      <c r="D28" s="10"/>
      <c r="E28" s="10"/>
      <c r="F28" s="10"/>
      <c r="G28" s="10"/>
      <c r="H28" s="10"/>
      <c r="I28" s="10"/>
      <c r="J28" s="10"/>
      <c r="K28" s="10"/>
      <c r="L28" s="10"/>
    </row>
    <row r="29" spans="1:12" ht="39.950000000000003" customHeight="1">
      <c r="A29" s="12" t="s">
        <v>45</v>
      </c>
      <c r="B29" s="12"/>
      <c r="C29" s="12"/>
      <c r="D29" s="12"/>
      <c r="E29" s="12"/>
      <c r="F29" s="12"/>
      <c r="G29" s="12"/>
      <c r="H29" s="12"/>
      <c r="I29" s="12"/>
      <c r="J29" s="12"/>
      <c r="K29" s="12"/>
      <c r="L29" s="12"/>
    </row>
    <row r="30" spans="1:12" ht="39.950000000000003" customHeight="1">
      <c r="A30" s="12" t="s">
        <v>46</v>
      </c>
      <c r="B30" s="12"/>
      <c r="C30" s="12"/>
      <c r="D30" s="12"/>
      <c r="E30" s="12"/>
      <c r="F30" s="12"/>
      <c r="G30" s="12"/>
      <c r="H30" s="12"/>
      <c r="I30" s="12"/>
      <c r="J30" s="12"/>
      <c r="K30" s="12"/>
      <c r="L30" s="12"/>
    </row>
    <row r="31" spans="1:12" ht="39.950000000000003" customHeight="1">
      <c r="A31" s="12" t="s">
        <v>47</v>
      </c>
      <c r="B31" s="12"/>
      <c r="C31" s="12"/>
      <c r="D31" s="12"/>
      <c r="E31" s="12"/>
      <c r="F31" s="12"/>
      <c r="G31" s="12"/>
      <c r="H31" s="12"/>
      <c r="I31" s="12"/>
      <c r="J31" s="12"/>
      <c r="K31" s="12"/>
      <c r="L31" s="12"/>
    </row>
    <row r="32" spans="1:12" ht="39.950000000000003" customHeight="1">
      <c r="A32" s="12" t="s">
        <v>48</v>
      </c>
      <c r="B32" s="12"/>
      <c r="C32" s="12"/>
      <c r="D32" s="12"/>
      <c r="E32" s="12"/>
      <c r="F32" s="12"/>
      <c r="G32" s="12"/>
      <c r="H32" s="12"/>
      <c r="I32" s="12"/>
      <c r="J32" s="12"/>
      <c r="K32" s="12"/>
      <c r="L32" s="12"/>
    </row>
    <row r="33" spans="1:12" ht="39.950000000000003" customHeight="1">
      <c r="A33" s="12" t="s">
        <v>49</v>
      </c>
      <c r="B33" s="12"/>
      <c r="C33" s="12"/>
      <c r="D33" s="12"/>
      <c r="E33" s="12"/>
      <c r="F33" s="12"/>
      <c r="G33" s="12"/>
      <c r="H33" s="12"/>
      <c r="I33" s="12"/>
      <c r="J33" s="12"/>
      <c r="K33" s="12"/>
      <c r="L33" s="12"/>
    </row>
    <row r="34" spans="1:12" ht="39.950000000000003" customHeight="1">
      <c r="A34" s="12" t="s">
        <v>50</v>
      </c>
      <c r="B34" s="12"/>
      <c r="C34" s="12"/>
      <c r="D34" s="12"/>
      <c r="E34" s="12"/>
      <c r="F34" s="12"/>
      <c r="G34" s="12"/>
      <c r="H34" s="12"/>
      <c r="I34" s="12"/>
      <c r="J34" s="12"/>
      <c r="K34" s="12"/>
      <c r="L34" s="12"/>
    </row>
    <row r="35" spans="1:12" ht="39.950000000000003" customHeight="1">
      <c r="A35" s="12" t="s">
        <v>51</v>
      </c>
      <c r="B35" s="12"/>
      <c r="C35" s="12"/>
      <c r="D35" s="12"/>
      <c r="E35" s="12"/>
      <c r="F35" s="12"/>
      <c r="G35" s="12"/>
      <c r="H35" s="12"/>
      <c r="I35" s="12"/>
      <c r="J35" s="12"/>
      <c r="K35" s="12"/>
      <c r="L35" s="12"/>
    </row>
    <row r="36" spans="1:12">
      <c r="A36" s="1"/>
      <c r="B36" s="1"/>
      <c r="C36" s="1"/>
      <c r="D36" s="1"/>
      <c r="E36" s="1"/>
      <c r="F36" s="1"/>
      <c r="G36" s="1"/>
      <c r="H36" s="1"/>
      <c r="I36" s="1"/>
      <c r="J36" s="1"/>
      <c r="K36" s="1"/>
      <c r="L36" s="1"/>
    </row>
    <row r="37" spans="1:12">
      <c r="A37" s="1"/>
      <c r="B37" s="1"/>
      <c r="C37" s="1"/>
      <c r="D37" s="1"/>
      <c r="E37" s="1"/>
      <c r="F37" s="1"/>
      <c r="G37" s="1"/>
      <c r="H37" s="1"/>
      <c r="I37" s="1"/>
      <c r="J37" s="1"/>
      <c r="K37" s="1"/>
      <c r="L37" s="1"/>
    </row>
    <row r="38" spans="1:12">
      <c r="A38" s="1"/>
      <c r="B38" s="1"/>
      <c r="C38" s="1"/>
      <c r="D38" s="1"/>
      <c r="E38" s="1"/>
      <c r="F38" s="1"/>
      <c r="G38" s="1"/>
      <c r="H38" s="1"/>
      <c r="I38" s="1"/>
      <c r="J38" s="1"/>
      <c r="K38" s="1"/>
      <c r="L38" s="1"/>
    </row>
    <row r="39" spans="1:12">
      <c r="A39" s="1"/>
      <c r="B39" s="1"/>
      <c r="C39" s="1"/>
      <c r="D39" s="1"/>
      <c r="E39" s="1"/>
      <c r="F39" s="1"/>
      <c r="G39" s="1"/>
      <c r="H39" s="1"/>
      <c r="I39" s="1"/>
      <c r="J39" s="1"/>
      <c r="K39" s="1"/>
      <c r="L39" s="1"/>
    </row>
    <row r="40" spans="1:12">
      <c r="A40" s="1"/>
      <c r="B40" s="1"/>
      <c r="C40" s="1"/>
      <c r="D40" s="1"/>
      <c r="E40" s="1"/>
      <c r="F40" s="1"/>
      <c r="G40" s="1"/>
      <c r="H40" s="1"/>
      <c r="I40" s="1"/>
      <c r="J40" s="1"/>
      <c r="K40" s="1"/>
      <c r="L40" s="1"/>
    </row>
    <row r="41" spans="1:12">
      <c r="A41" s="1"/>
      <c r="B41" s="1"/>
      <c r="C41" s="1"/>
      <c r="D41" s="1"/>
      <c r="E41" s="1"/>
      <c r="F41" s="1"/>
      <c r="G41" s="1"/>
      <c r="H41" s="1"/>
      <c r="I41" s="1"/>
      <c r="J41" s="1"/>
      <c r="K41" s="1"/>
      <c r="L41" s="1"/>
    </row>
    <row r="42" spans="1:12">
      <c r="A42" s="1"/>
      <c r="B42" s="1"/>
      <c r="C42" s="1"/>
      <c r="D42" s="1"/>
      <c r="E42" s="1"/>
      <c r="F42" s="1"/>
      <c r="G42" s="1"/>
      <c r="H42" s="1"/>
      <c r="I42" s="1"/>
      <c r="J42" s="1"/>
      <c r="K42" s="1"/>
      <c r="L42" s="1"/>
    </row>
    <row r="43" spans="1:12">
      <c r="A43" s="1"/>
      <c r="B43" s="1"/>
      <c r="C43" s="1"/>
      <c r="D43" s="1"/>
      <c r="E43" s="1"/>
      <c r="F43" s="1"/>
      <c r="G43" s="1"/>
      <c r="H43" s="1"/>
      <c r="I43" s="1"/>
      <c r="J43" s="1"/>
      <c r="K43" s="1"/>
      <c r="L43" s="1"/>
    </row>
    <row r="44" spans="1:12">
      <c r="A44" s="1"/>
      <c r="B44" s="1"/>
      <c r="C44" s="1"/>
      <c r="D44" s="1"/>
      <c r="E44" s="1"/>
      <c r="F44" s="1"/>
      <c r="G44" s="1"/>
      <c r="H44" s="1"/>
      <c r="I44" s="1"/>
      <c r="J44" s="1"/>
      <c r="K44" s="1"/>
      <c r="L44" s="1"/>
    </row>
    <row r="45" spans="1:12">
      <c r="A45" s="1"/>
      <c r="B45" s="1"/>
      <c r="C45" s="1"/>
      <c r="D45" s="1"/>
      <c r="E45" s="1"/>
      <c r="F45" s="1"/>
      <c r="G45" s="1"/>
      <c r="H45" s="1"/>
      <c r="I45" s="1"/>
      <c r="J45" s="1"/>
      <c r="K45" s="1"/>
      <c r="L45" s="1"/>
    </row>
    <row r="46" spans="1:12">
      <c r="A46" s="1"/>
      <c r="B46" s="1"/>
      <c r="C46" s="1"/>
      <c r="D46" s="1"/>
      <c r="E46" s="1"/>
      <c r="F46" s="1"/>
      <c r="G46" s="1"/>
      <c r="H46" s="1"/>
      <c r="I46" s="1"/>
      <c r="J46" s="1"/>
      <c r="K46" s="1"/>
      <c r="L46" s="1"/>
    </row>
    <row r="47" spans="1:12">
      <c r="A47" s="1"/>
      <c r="B47" s="1"/>
      <c r="C47" s="1"/>
      <c r="D47" s="1"/>
      <c r="E47" s="1"/>
      <c r="F47" s="1"/>
      <c r="G47" s="1"/>
      <c r="H47" s="1"/>
      <c r="I47" s="1"/>
      <c r="J47" s="1"/>
      <c r="K47" s="1"/>
      <c r="L47" s="1"/>
    </row>
    <row r="48" spans="1:12">
      <c r="A48" s="1"/>
      <c r="B48" s="1"/>
      <c r="C48" s="1"/>
      <c r="D48" s="1"/>
      <c r="E48" s="1"/>
      <c r="F48" s="1"/>
      <c r="G48" s="1"/>
      <c r="H48" s="1"/>
      <c r="I48" s="1"/>
      <c r="J48" s="1"/>
      <c r="K48" s="1"/>
      <c r="L48" s="1"/>
    </row>
  </sheetData>
  <mergeCells count="12">
    <mergeCell ref="A34:L34"/>
    <mergeCell ref="A35:L35"/>
    <mergeCell ref="A29:L29"/>
    <mergeCell ref="A30:L30"/>
    <mergeCell ref="A31:L31"/>
    <mergeCell ref="A32:L32"/>
    <mergeCell ref="A33:L33"/>
    <mergeCell ref="A2:L2"/>
    <mergeCell ref="A3:L3"/>
    <mergeCell ref="D5:I5"/>
    <mergeCell ref="D6:I6"/>
    <mergeCell ref="A28:L2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20"/>
  <sheetViews>
    <sheetView showGridLines="0" zoomScale="85" zoomScaleNormal="85" workbookViewId="0">
      <pane xSplit="2" ySplit="1" topLeftCell="C2" activePane="bottomRight" state="frozen"/>
      <selection pane="topRight"/>
      <selection pane="bottomLeft"/>
      <selection pane="bottomRight" activeCell="C2" sqref="C2"/>
    </sheetView>
  </sheetViews>
  <sheetFormatPr defaultRowHeight="14.25"/>
  <cols>
    <col min="1" max="1" width="17" customWidth="1"/>
    <col min="2" max="2" width="9" customWidth="1"/>
    <col min="3" max="3" width="29" customWidth="1"/>
    <col min="4" max="4" width="66" customWidth="1"/>
    <col min="5" max="5" width="27" customWidth="1"/>
    <col min="6" max="6" width="45" customWidth="1"/>
    <col min="7" max="7" width="19" customWidth="1"/>
    <col min="8" max="8" width="46" customWidth="1"/>
    <col min="9" max="9" width="67" customWidth="1"/>
    <col min="10" max="10" width="76" customWidth="1"/>
    <col min="11" max="12" width="33" customWidth="1"/>
    <col min="13" max="13" width="50" customWidth="1"/>
    <col min="14" max="14" width="30" customWidth="1"/>
    <col min="15" max="15" width="68" customWidth="1"/>
    <col min="16" max="32" width="22" customWidth="1"/>
  </cols>
  <sheetData>
    <row r="1" spans="1:32" ht="45.95" customHeight="1">
      <c r="A1" s="2" t="s">
        <v>52</v>
      </c>
      <c r="B1" s="2" t="s">
        <v>53</v>
      </c>
      <c r="C1" s="2" t="s">
        <v>36</v>
      </c>
      <c r="D1" s="2" t="s">
        <v>54</v>
      </c>
      <c r="E1" s="2" t="s">
        <v>55</v>
      </c>
      <c r="F1" s="2" t="s">
        <v>56</v>
      </c>
      <c r="G1" s="2" t="s">
        <v>10</v>
      </c>
      <c r="H1" s="2" t="s">
        <v>13</v>
      </c>
      <c r="I1" s="2" t="s">
        <v>57</v>
      </c>
      <c r="J1" s="2" t="s">
        <v>58</v>
      </c>
      <c r="K1" s="2" t="s">
        <v>59</v>
      </c>
      <c r="L1" s="2" t="s">
        <v>60</v>
      </c>
      <c r="M1" s="2" t="s">
        <v>61</v>
      </c>
      <c r="N1" s="2" t="s">
        <v>62</v>
      </c>
      <c r="O1" s="2" t="s">
        <v>63</v>
      </c>
      <c r="P1" s="2" t="s">
        <v>64</v>
      </c>
      <c r="Q1" s="2" t="s">
        <v>65</v>
      </c>
      <c r="R1" s="2" t="s">
        <v>66</v>
      </c>
      <c r="S1" s="2" t="s">
        <v>67</v>
      </c>
      <c r="T1" s="2" t="s">
        <v>68</v>
      </c>
      <c r="U1" s="2" t="s">
        <v>69</v>
      </c>
      <c r="V1" s="2" t="s">
        <v>70</v>
      </c>
      <c r="W1" s="2" t="s">
        <v>71</v>
      </c>
      <c r="X1" s="2" t="s">
        <v>72</v>
      </c>
      <c r="Y1" s="2" t="s">
        <v>73</v>
      </c>
      <c r="Z1" s="2" t="s">
        <v>74</v>
      </c>
      <c r="AA1" s="2" t="s">
        <v>75</v>
      </c>
      <c r="AB1" s="2" t="s">
        <v>76</v>
      </c>
      <c r="AC1" s="2" t="s">
        <v>77</v>
      </c>
      <c r="AD1" s="2" t="s">
        <v>78</v>
      </c>
      <c r="AE1" s="2" t="s">
        <v>79</v>
      </c>
      <c r="AF1" s="2" t="s">
        <v>80</v>
      </c>
    </row>
    <row r="2" spans="1:32" ht="122.1" customHeight="1">
      <c r="A2" s="4" t="s">
        <v>81</v>
      </c>
      <c r="B2" s="5">
        <v>1</v>
      </c>
      <c r="C2" s="4" t="s">
        <v>39</v>
      </c>
      <c r="D2" s="4" t="s">
        <v>82</v>
      </c>
      <c r="E2" s="4" t="s">
        <v>17</v>
      </c>
      <c r="F2" s="4" t="s">
        <v>83</v>
      </c>
      <c r="G2" s="4" t="s">
        <v>18</v>
      </c>
      <c r="H2" s="4" t="s">
        <v>84</v>
      </c>
      <c r="I2" s="4" t="s">
        <v>85</v>
      </c>
      <c r="J2" s="4" t="s">
        <v>86</v>
      </c>
      <c r="K2" s="4" t="s">
        <v>87</v>
      </c>
      <c r="L2" s="4" t="s">
        <v>88</v>
      </c>
      <c r="M2" s="4" t="s">
        <v>89</v>
      </c>
      <c r="N2" s="4" t="s">
        <v>90</v>
      </c>
      <c r="O2" s="4" t="s">
        <v>91</v>
      </c>
      <c r="P2" s="5">
        <f t="shared" ref="P2:P33" si="0">SUM(Q2:X2)</f>
        <v>3</v>
      </c>
      <c r="Q2" s="5">
        <f t="shared" ref="Q2:Q33" si="1">IF(OR(E2="Delegation",ISNUMBER(SEARCH("; Delegation; ","; "&amp;F2&amp;"; "))),1,0)</f>
        <v>0</v>
      </c>
      <c r="R2" s="5">
        <f t="shared" ref="R2:R33" si="2">IF(OR(E2="Directed delegation",ISNUMBER(SEARCH("; Directed delegation; ","; "&amp;F2&amp;"; "))),1,0)</f>
        <v>1</v>
      </c>
      <c r="S2" s="5">
        <f t="shared" ref="S2:S33" si="3">IF(OR(E2="Evaluation",ISNUMBER(SEARCH("; Evaluation; ","; "&amp;F2&amp;"; "))),1,0)</f>
        <v>1</v>
      </c>
      <c r="T2" s="5">
        <f t="shared" ref="T2:T33" si="4">IF(OR(E2="Correction/Challenge",ISNUMBER(SEARCH("; Correction/Challenge; ","; "&amp;F2&amp;"; "))),1,0)</f>
        <v>0</v>
      </c>
      <c r="U2" s="5">
        <f t="shared" ref="U2:U33" si="5">IF(OR(E2="Redirection",ISNUMBER(SEARCH("; Redirection; ","; "&amp;F2&amp;"; "))),1,0)</f>
        <v>0</v>
      </c>
      <c r="V2" s="5">
        <f t="shared" ref="V2:V33" si="6">IF(OR(E2="Knowledge injection",ISNUMBER(SEARCH("; Knowledge injection; ","; "&amp;F2&amp;"; "))),1,0)</f>
        <v>1</v>
      </c>
      <c r="W2" s="5">
        <f t="shared" ref="W2:W33" si="7">IF(OR(E2="Selection/Rejection",ISNUMBER(SEARCH("; Selection/Rejection; ","; "&amp;F2&amp;"; "))),1,0)</f>
        <v>0</v>
      </c>
      <c r="X2" s="5">
        <f t="shared" ref="X2:X33" si="8">IF(OR(E2="Deliberation",ISNUMBER(SEARCH("; Deliberation; ","; "&amp;F2&amp;"; "))),1,0)</f>
        <v>0</v>
      </c>
      <c r="Y2" s="5">
        <f t="shared" ref="Y2:Y33" si="9">SUM(Z2:AE2)</f>
        <v>3</v>
      </c>
      <c r="Z2" s="5">
        <f t="shared" ref="Z2:Z33" si="10">IF(ISNUMBER(SEARCH("; domain correction; ","; "&amp;H2&amp;"; ")),1,0)</f>
        <v>0</v>
      </c>
      <c r="AA2" s="5">
        <f t="shared" ref="AA2:AA33" si="11">IF(ISNUMBER(SEARCH("; conceptual discrimination; ","; "&amp;H2&amp;"; ")),1,0)</f>
        <v>0</v>
      </c>
      <c r="AB2" s="5">
        <f t="shared" ref="AB2:AB33" si="12">IF(ISNUMBER(SEARCH("; evidence judgment; ","; "&amp;H2&amp;"; ")),1,0)</f>
        <v>1</v>
      </c>
      <c r="AC2" s="5">
        <f t="shared" ref="AC2:AC33" si="13">IF(ISNUMBER(SEARCH("; methodological judgment; ","; "&amp;H2&amp;"; ")),1,0)</f>
        <v>1</v>
      </c>
      <c r="AD2" s="5">
        <f t="shared" ref="AD2:AD33" si="14">IF(ISNUMBER(SEARCH("; argumentative judgment; ","; "&amp;H2&amp;"; ")),1,0)</f>
        <v>1</v>
      </c>
      <c r="AE2" s="5">
        <f t="shared" ref="AE2:AE33" si="15">IF(ISNUMBER(SEARCH("; genre/writing expertise; ","; "&amp;H2&amp;"; ")),1,0)</f>
        <v>0</v>
      </c>
      <c r="AF2" s="5">
        <f t="shared" ref="AF2:AF33" si="16">IF(ISNUMBER(SEARCH("; none; ","; "&amp;H2&amp;"; ")),1,0)</f>
        <v>0</v>
      </c>
    </row>
    <row r="3" spans="1:32" ht="108" customHeight="1">
      <c r="A3" s="4" t="s">
        <v>92</v>
      </c>
      <c r="B3" s="5">
        <v>2</v>
      </c>
      <c r="C3" s="4" t="s">
        <v>39</v>
      </c>
      <c r="D3" s="4" t="s">
        <v>93</v>
      </c>
      <c r="E3" s="4" t="s">
        <v>17</v>
      </c>
      <c r="F3" s="4" t="s">
        <v>94</v>
      </c>
      <c r="G3" s="4" t="s">
        <v>18</v>
      </c>
      <c r="H3" s="4" t="s">
        <v>95</v>
      </c>
      <c r="I3" s="4" t="s">
        <v>96</v>
      </c>
      <c r="J3" s="4" t="s">
        <v>97</v>
      </c>
      <c r="K3" s="4" t="s">
        <v>98</v>
      </c>
      <c r="L3" s="4" t="s">
        <v>99</v>
      </c>
      <c r="M3" s="4" t="s">
        <v>100</v>
      </c>
      <c r="N3" s="4" t="s">
        <v>90</v>
      </c>
      <c r="O3" s="4" t="s">
        <v>91</v>
      </c>
      <c r="P3" s="5">
        <f t="shared" si="0"/>
        <v>3</v>
      </c>
      <c r="Q3" s="5">
        <f t="shared" si="1"/>
        <v>0</v>
      </c>
      <c r="R3" s="5">
        <f t="shared" si="2"/>
        <v>1</v>
      </c>
      <c r="S3" s="5">
        <f t="shared" si="3"/>
        <v>0</v>
      </c>
      <c r="T3" s="5">
        <f t="shared" si="4"/>
        <v>0</v>
      </c>
      <c r="U3" s="5">
        <f t="shared" si="5"/>
        <v>1</v>
      </c>
      <c r="V3" s="5">
        <f t="shared" si="6"/>
        <v>1</v>
      </c>
      <c r="W3" s="5">
        <f t="shared" si="7"/>
        <v>0</v>
      </c>
      <c r="X3" s="5">
        <f t="shared" si="8"/>
        <v>0</v>
      </c>
      <c r="Y3" s="5">
        <f t="shared" si="9"/>
        <v>2</v>
      </c>
      <c r="Z3" s="5">
        <f t="shared" si="10"/>
        <v>0</v>
      </c>
      <c r="AA3" s="5">
        <f t="shared" si="11"/>
        <v>0</v>
      </c>
      <c r="AB3" s="5">
        <f t="shared" si="12"/>
        <v>0</v>
      </c>
      <c r="AC3" s="5">
        <f t="shared" si="13"/>
        <v>0</v>
      </c>
      <c r="AD3" s="5">
        <f t="shared" si="14"/>
        <v>1</v>
      </c>
      <c r="AE3" s="5">
        <f t="shared" si="15"/>
        <v>1</v>
      </c>
      <c r="AF3" s="5">
        <f t="shared" si="16"/>
        <v>0</v>
      </c>
    </row>
    <row r="4" spans="1:32" ht="122.1" customHeight="1">
      <c r="A4" s="4" t="s">
        <v>101</v>
      </c>
      <c r="B4" s="5">
        <v>3</v>
      </c>
      <c r="C4" s="4" t="s">
        <v>39</v>
      </c>
      <c r="D4" s="4" t="s">
        <v>102</v>
      </c>
      <c r="E4" s="4" t="s">
        <v>17</v>
      </c>
      <c r="F4" s="4" t="s">
        <v>103</v>
      </c>
      <c r="G4" s="4" t="s">
        <v>18</v>
      </c>
      <c r="H4" s="4" t="s">
        <v>104</v>
      </c>
      <c r="I4" s="4" t="s">
        <v>105</v>
      </c>
      <c r="J4" s="4" t="s">
        <v>106</v>
      </c>
      <c r="K4" s="4" t="s">
        <v>107</v>
      </c>
      <c r="L4" s="4" t="s">
        <v>108</v>
      </c>
      <c r="M4" s="4"/>
      <c r="N4" s="4" t="s">
        <v>90</v>
      </c>
      <c r="O4" s="4" t="s">
        <v>91</v>
      </c>
      <c r="P4" s="5">
        <f t="shared" si="0"/>
        <v>4</v>
      </c>
      <c r="Q4" s="5">
        <f t="shared" si="1"/>
        <v>0</v>
      </c>
      <c r="R4" s="5">
        <f t="shared" si="2"/>
        <v>1</v>
      </c>
      <c r="S4" s="5">
        <f t="shared" si="3"/>
        <v>0</v>
      </c>
      <c r="T4" s="5">
        <f t="shared" si="4"/>
        <v>1</v>
      </c>
      <c r="U4" s="5">
        <f t="shared" si="5"/>
        <v>1</v>
      </c>
      <c r="V4" s="5">
        <f t="shared" si="6"/>
        <v>1</v>
      </c>
      <c r="W4" s="5">
        <f t="shared" si="7"/>
        <v>0</v>
      </c>
      <c r="X4" s="5">
        <f t="shared" si="8"/>
        <v>0</v>
      </c>
      <c r="Y4" s="5">
        <f t="shared" si="9"/>
        <v>2</v>
      </c>
      <c r="Z4" s="5">
        <f t="shared" si="10"/>
        <v>0</v>
      </c>
      <c r="AA4" s="5">
        <f t="shared" si="11"/>
        <v>0</v>
      </c>
      <c r="AB4" s="5">
        <f t="shared" si="12"/>
        <v>1</v>
      </c>
      <c r="AC4" s="5">
        <f t="shared" si="13"/>
        <v>0</v>
      </c>
      <c r="AD4" s="5">
        <f t="shared" si="14"/>
        <v>0</v>
      </c>
      <c r="AE4" s="5">
        <f t="shared" si="15"/>
        <v>1</v>
      </c>
      <c r="AF4" s="5">
        <f t="shared" si="16"/>
        <v>0</v>
      </c>
    </row>
    <row r="5" spans="1:32" ht="122.1" customHeight="1">
      <c r="A5" s="4" t="s">
        <v>109</v>
      </c>
      <c r="B5" s="5">
        <v>4</v>
      </c>
      <c r="C5" s="4" t="s">
        <v>39</v>
      </c>
      <c r="D5" s="4" t="s">
        <v>110</v>
      </c>
      <c r="E5" s="4" t="s">
        <v>26</v>
      </c>
      <c r="F5" s="4" t="s">
        <v>111</v>
      </c>
      <c r="G5" s="4" t="s">
        <v>18</v>
      </c>
      <c r="H5" s="4" t="s">
        <v>112</v>
      </c>
      <c r="I5" s="4" t="s">
        <v>113</v>
      </c>
      <c r="J5" s="4" t="s">
        <v>114</v>
      </c>
      <c r="K5" s="4" t="s">
        <v>115</v>
      </c>
      <c r="L5" s="4" t="s">
        <v>116</v>
      </c>
      <c r="M5" s="4"/>
      <c r="N5" s="4" t="s">
        <v>90</v>
      </c>
      <c r="O5" s="4" t="s">
        <v>91</v>
      </c>
      <c r="P5" s="5">
        <f t="shared" si="0"/>
        <v>3</v>
      </c>
      <c r="Q5" s="5">
        <f t="shared" si="1"/>
        <v>0</v>
      </c>
      <c r="R5" s="5">
        <f t="shared" si="2"/>
        <v>1</v>
      </c>
      <c r="S5" s="5">
        <f t="shared" si="3"/>
        <v>0</v>
      </c>
      <c r="T5" s="5">
        <f t="shared" si="4"/>
        <v>0</v>
      </c>
      <c r="U5" s="5">
        <f t="shared" si="5"/>
        <v>1</v>
      </c>
      <c r="V5" s="5">
        <f t="shared" si="6"/>
        <v>1</v>
      </c>
      <c r="W5" s="5">
        <f t="shared" si="7"/>
        <v>0</v>
      </c>
      <c r="X5" s="5">
        <f t="shared" si="8"/>
        <v>0</v>
      </c>
      <c r="Y5" s="5">
        <f t="shared" si="9"/>
        <v>3</v>
      </c>
      <c r="Z5" s="5">
        <f t="shared" si="10"/>
        <v>0</v>
      </c>
      <c r="AA5" s="5">
        <f t="shared" si="11"/>
        <v>0</v>
      </c>
      <c r="AB5" s="5">
        <f t="shared" si="12"/>
        <v>1</v>
      </c>
      <c r="AC5" s="5">
        <f t="shared" si="13"/>
        <v>0</v>
      </c>
      <c r="AD5" s="5">
        <f t="shared" si="14"/>
        <v>1</v>
      </c>
      <c r="AE5" s="5">
        <f t="shared" si="15"/>
        <v>1</v>
      </c>
      <c r="AF5" s="5">
        <f t="shared" si="16"/>
        <v>0</v>
      </c>
    </row>
    <row r="6" spans="1:32" ht="122.1" customHeight="1">
      <c r="A6" s="4" t="s">
        <v>117</v>
      </c>
      <c r="B6" s="5">
        <v>5</v>
      </c>
      <c r="C6" s="4" t="s">
        <v>39</v>
      </c>
      <c r="D6" s="4" t="s">
        <v>118</v>
      </c>
      <c r="E6" s="4" t="s">
        <v>29</v>
      </c>
      <c r="F6" s="4" t="s">
        <v>119</v>
      </c>
      <c r="G6" s="4" t="s">
        <v>18</v>
      </c>
      <c r="H6" s="4" t="s">
        <v>120</v>
      </c>
      <c r="I6" s="4" t="s">
        <v>121</v>
      </c>
      <c r="J6" s="4" t="s">
        <v>122</v>
      </c>
      <c r="K6" s="4" t="s">
        <v>123</v>
      </c>
      <c r="L6" s="4" t="s">
        <v>124</v>
      </c>
      <c r="M6" s="4"/>
      <c r="N6" s="4" t="s">
        <v>90</v>
      </c>
      <c r="O6" s="4" t="s">
        <v>91</v>
      </c>
      <c r="P6" s="5">
        <f t="shared" si="0"/>
        <v>3</v>
      </c>
      <c r="Q6" s="5">
        <f t="shared" si="1"/>
        <v>0</v>
      </c>
      <c r="R6" s="5">
        <f t="shared" si="2"/>
        <v>1</v>
      </c>
      <c r="S6" s="5">
        <f t="shared" si="3"/>
        <v>0</v>
      </c>
      <c r="T6" s="5">
        <f t="shared" si="4"/>
        <v>0</v>
      </c>
      <c r="U6" s="5">
        <f t="shared" si="5"/>
        <v>1</v>
      </c>
      <c r="V6" s="5">
        <f t="shared" si="6"/>
        <v>1</v>
      </c>
      <c r="W6" s="5">
        <f t="shared" si="7"/>
        <v>0</v>
      </c>
      <c r="X6" s="5">
        <f t="shared" si="8"/>
        <v>0</v>
      </c>
      <c r="Y6" s="5">
        <f t="shared" si="9"/>
        <v>2</v>
      </c>
      <c r="Z6" s="5">
        <f t="shared" si="10"/>
        <v>0</v>
      </c>
      <c r="AA6" s="5">
        <f t="shared" si="11"/>
        <v>0</v>
      </c>
      <c r="AB6" s="5">
        <f t="shared" si="12"/>
        <v>0</v>
      </c>
      <c r="AC6" s="5">
        <f t="shared" si="13"/>
        <v>1</v>
      </c>
      <c r="AD6" s="5">
        <f t="shared" si="14"/>
        <v>1</v>
      </c>
      <c r="AE6" s="5">
        <f t="shared" si="15"/>
        <v>0</v>
      </c>
      <c r="AF6" s="5">
        <f t="shared" si="16"/>
        <v>0</v>
      </c>
    </row>
    <row r="7" spans="1:32" ht="122.1" customHeight="1">
      <c r="A7" s="4" t="s">
        <v>125</v>
      </c>
      <c r="B7" s="5">
        <v>6</v>
      </c>
      <c r="C7" s="4" t="s">
        <v>39</v>
      </c>
      <c r="D7" s="4" t="s">
        <v>126</v>
      </c>
      <c r="E7" s="4" t="s">
        <v>26</v>
      </c>
      <c r="F7" s="4" t="s">
        <v>111</v>
      </c>
      <c r="G7" s="4" t="s">
        <v>18</v>
      </c>
      <c r="H7" s="4" t="s">
        <v>127</v>
      </c>
      <c r="I7" s="4" t="s">
        <v>128</v>
      </c>
      <c r="J7" s="4" t="s">
        <v>129</v>
      </c>
      <c r="K7" s="4" t="s">
        <v>130</v>
      </c>
      <c r="L7" s="4" t="s">
        <v>131</v>
      </c>
      <c r="M7" s="4"/>
      <c r="N7" s="4" t="s">
        <v>90</v>
      </c>
      <c r="O7" s="4" t="s">
        <v>91</v>
      </c>
      <c r="P7" s="5">
        <f t="shared" si="0"/>
        <v>3</v>
      </c>
      <c r="Q7" s="5">
        <f t="shared" si="1"/>
        <v>0</v>
      </c>
      <c r="R7" s="5">
        <f t="shared" si="2"/>
        <v>1</v>
      </c>
      <c r="S7" s="5">
        <f t="shared" si="3"/>
        <v>0</v>
      </c>
      <c r="T7" s="5">
        <f t="shared" si="4"/>
        <v>0</v>
      </c>
      <c r="U7" s="5">
        <f t="shared" si="5"/>
        <v>1</v>
      </c>
      <c r="V7" s="5">
        <f t="shared" si="6"/>
        <v>1</v>
      </c>
      <c r="W7" s="5">
        <f t="shared" si="7"/>
        <v>0</v>
      </c>
      <c r="X7" s="5">
        <f t="shared" si="8"/>
        <v>0</v>
      </c>
      <c r="Y7" s="5">
        <f t="shared" si="9"/>
        <v>2</v>
      </c>
      <c r="Z7" s="5">
        <f t="shared" si="10"/>
        <v>0</v>
      </c>
      <c r="AA7" s="5">
        <f t="shared" si="11"/>
        <v>0</v>
      </c>
      <c r="AB7" s="5">
        <f t="shared" si="12"/>
        <v>0</v>
      </c>
      <c r="AC7" s="5">
        <f t="shared" si="13"/>
        <v>1</v>
      </c>
      <c r="AD7" s="5">
        <f t="shared" si="14"/>
        <v>0</v>
      </c>
      <c r="AE7" s="5">
        <f t="shared" si="15"/>
        <v>1</v>
      </c>
      <c r="AF7" s="5">
        <f t="shared" si="16"/>
        <v>0</v>
      </c>
    </row>
    <row r="8" spans="1:32" ht="75.95" customHeight="1">
      <c r="A8" s="4" t="s">
        <v>132</v>
      </c>
      <c r="B8" s="5">
        <v>7</v>
      </c>
      <c r="C8" s="4" t="s">
        <v>39</v>
      </c>
      <c r="D8" s="4" t="s">
        <v>133</v>
      </c>
      <c r="E8" s="4" t="s">
        <v>23</v>
      </c>
      <c r="F8" s="4"/>
      <c r="G8" s="4" t="s">
        <v>24</v>
      </c>
      <c r="H8" s="4" t="s">
        <v>30</v>
      </c>
      <c r="I8" s="4" t="s">
        <v>134</v>
      </c>
      <c r="J8" s="4" t="s">
        <v>135</v>
      </c>
      <c r="K8" s="4" t="s">
        <v>136</v>
      </c>
      <c r="L8" s="4" t="s">
        <v>137</v>
      </c>
      <c r="M8" s="4"/>
      <c r="N8" s="4" t="s">
        <v>90</v>
      </c>
      <c r="O8" s="4" t="s">
        <v>91</v>
      </c>
      <c r="P8" s="5">
        <f t="shared" si="0"/>
        <v>1</v>
      </c>
      <c r="Q8" s="5">
        <f t="shared" si="1"/>
        <v>0</v>
      </c>
      <c r="R8" s="5">
        <f t="shared" si="2"/>
        <v>0</v>
      </c>
      <c r="S8" s="5">
        <f t="shared" si="3"/>
        <v>0</v>
      </c>
      <c r="T8" s="5">
        <f t="shared" si="4"/>
        <v>1</v>
      </c>
      <c r="U8" s="5">
        <f t="shared" si="5"/>
        <v>0</v>
      </c>
      <c r="V8" s="5">
        <f t="shared" si="6"/>
        <v>0</v>
      </c>
      <c r="W8" s="5">
        <f t="shared" si="7"/>
        <v>0</v>
      </c>
      <c r="X8" s="5">
        <f t="shared" si="8"/>
        <v>0</v>
      </c>
      <c r="Y8" s="5">
        <f t="shared" si="9"/>
        <v>1</v>
      </c>
      <c r="Z8" s="5">
        <f t="shared" si="10"/>
        <v>0</v>
      </c>
      <c r="AA8" s="5">
        <f t="shared" si="11"/>
        <v>0</v>
      </c>
      <c r="AB8" s="5">
        <f t="shared" si="12"/>
        <v>0</v>
      </c>
      <c r="AC8" s="5">
        <f t="shared" si="13"/>
        <v>0</v>
      </c>
      <c r="AD8" s="5">
        <f t="shared" si="14"/>
        <v>0</v>
      </c>
      <c r="AE8" s="5">
        <f t="shared" si="15"/>
        <v>1</v>
      </c>
      <c r="AF8" s="5">
        <f t="shared" si="16"/>
        <v>0</v>
      </c>
    </row>
    <row r="9" spans="1:32" ht="75.95" customHeight="1">
      <c r="A9" s="4" t="s">
        <v>138</v>
      </c>
      <c r="B9" s="5">
        <v>8</v>
      </c>
      <c r="C9" s="4" t="s">
        <v>39</v>
      </c>
      <c r="D9" s="4" t="s">
        <v>139</v>
      </c>
      <c r="E9" s="4" t="s">
        <v>17</v>
      </c>
      <c r="F9" s="4"/>
      <c r="G9" s="4" t="s">
        <v>18</v>
      </c>
      <c r="H9" s="4" t="s">
        <v>33</v>
      </c>
      <c r="I9" s="4" t="s">
        <v>140</v>
      </c>
      <c r="J9" s="4" t="s">
        <v>141</v>
      </c>
      <c r="K9" s="4" t="s">
        <v>142</v>
      </c>
      <c r="L9" s="4" t="s">
        <v>143</v>
      </c>
      <c r="M9" s="4"/>
      <c r="N9" s="4" t="s">
        <v>90</v>
      </c>
      <c r="O9" s="4" t="s">
        <v>91</v>
      </c>
      <c r="P9" s="5">
        <f t="shared" si="0"/>
        <v>1</v>
      </c>
      <c r="Q9" s="5">
        <f t="shared" si="1"/>
        <v>0</v>
      </c>
      <c r="R9" s="5">
        <f t="shared" si="2"/>
        <v>1</v>
      </c>
      <c r="S9" s="5">
        <f t="shared" si="3"/>
        <v>0</v>
      </c>
      <c r="T9" s="5">
        <f t="shared" si="4"/>
        <v>0</v>
      </c>
      <c r="U9" s="5">
        <f t="shared" si="5"/>
        <v>0</v>
      </c>
      <c r="V9" s="5">
        <f t="shared" si="6"/>
        <v>0</v>
      </c>
      <c r="W9" s="5">
        <f t="shared" si="7"/>
        <v>0</v>
      </c>
      <c r="X9" s="5">
        <f t="shared" si="8"/>
        <v>0</v>
      </c>
      <c r="Y9" s="5">
        <f t="shared" si="9"/>
        <v>0</v>
      </c>
      <c r="Z9" s="5">
        <f t="shared" si="10"/>
        <v>0</v>
      </c>
      <c r="AA9" s="5">
        <f t="shared" si="11"/>
        <v>0</v>
      </c>
      <c r="AB9" s="5">
        <f t="shared" si="12"/>
        <v>0</v>
      </c>
      <c r="AC9" s="5">
        <f t="shared" si="13"/>
        <v>0</v>
      </c>
      <c r="AD9" s="5">
        <f t="shared" si="14"/>
        <v>0</v>
      </c>
      <c r="AE9" s="5">
        <f t="shared" si="15"/>
        <v>0</v>
      </c>
      <c r="AF9" s="5">
        <f t="shared" si="16"/>
        <v>1</v>
      </c>
    </row>
    <row r="10" spans="1:32" ht="75.95" customHeight="1">
      <c r="A10" s="4" t="s">
        <v>144</v>
      </c>
      <c r="B10" s="5">
        <v>9</v>
      </c>
      <c r="C10" s="4" t="s">
        <v>39</v>
      </c>
      <c r="D10" s="4" t="s">
        <v>145</v>
      </c>
      <c r="E10" s="4" t="s">
        <v>17</v>
      </c>
      <c r="F10" s="4" t="s">
        <v>29</v>
      </c>
      <c r="G10" s="4" t="s">
        <v>18</v>
      </c>
      <c r="H10" s="4" t="s">
        <v>33</v>
      </c>
      <c r="I10" s="4" t="s">
        <v>146</v>
      </c>
      <c r="J10" s="4" t="s">
        <v>147</v>
      </c>
      <c r="K10" s="4" t="s">
        <v>148</v>
      </c>
      <c r="L10" s="4" t="s">
        <v>149</v>
      </c>
      <c r="M10" s="4"/>
      <c r="N10" s="4" t="s">
        <v>90</v>
      </c>
      <c r="O10" s="4" t="s">
        <v>91</v>
      </c>
      <c r="P10" s="5">
        <f t="shared" si="0"/>
        <v>2</v>
      </c>
      <c r="Q10" s="5">
        <f t="shared" si="1"/>
        <v>0</v>
      </c>
      <c r="R10" s="5">
        <f t="shared" si="2"/>
        <v>1</v>
      </c>
      <c r="S10" s="5">
        <f t="shared" si="3"/>
        <v>0</v>
      </c>
      <c r="T10" s="5">
        <f t="shared" si="4"/>
        <v>0</v>
      </c>
      <c r="U10" s="5">
        <f t="shared" si="5"/>
        <v>0</v>
      </c>
      <c r="V10" s="5">
        <f t="shared" si="6"/>
        <v>1</v>
      </c>
      <c r="W10" s="5">
        <f t="shared" si="7"/>
        <v>0</v>
      </c>
      <c r="X10" s="5">
        <f t="shared" si="8"/>
        <v>0</v>
      </c>
      <c r="Y10" s="5">
        <f t="shared" si="9"/>
        <v>0</v>
      </c>
      <c r="Z10" s="5">
        <f t="shared" si="10"/>
        <v>0</v>
      </c>
      <c r="AA10" s="5">
        <f t="shared" si="11"/>
        <v>0</v>
      </c>
      <c r="AB10" s="5">
        <f t="shared" si="12"/>
        <v>0</v>
      </c>
      <c r="AC10" s="5">
        <f t="shared" si="13"/>
        <v>0</v>
      </c>
      <c r="AD10" s="5">
        <f t="shared" si="14"/>
        <v>0</v>
      </c>
      <c r="AE10" s="5">
        <f t="shared" si="15"/>
        <v>0</v>
      </c>
      <c r="AF10" s="5">
        <f t="shared" si="16"/>
        <v>1</v>
      </c>
    </row>
    <row r="11" spans="1:32" ht="122.1" customHeight="1">
      <c r="A11" s="4" t="s">
        <v>150</v>
      </c>
      <c r="B11" s="5">
        <v>10</v>
      </c>
      <c r="C11" s="4" t="s">
        <v>39</v>
      </c>
      <c r="D11" s="4" t="s">
        <v>151</v>
      </c>
      <c r="E11" s="4" t="s">
        <v>29</v>
      </c>
      <c r="F11" s="4" t="s">
        <v>119</v>
      </c>
      <c r="G11" s="4" t="s">
        <v>18</v>
      </c>
      <c r="H11" s="4" t="s">
        <v>152</v>
      </c>
      <c r="I11" s="4" t="s">
        <v>153</v>
      </c>
      <c r="J11" s="4" t="s">
        <v>154</v>
      </c>
      <c r="K11" s="4" t="s">
        <v>155</v>
      </c>
      <c r="L11" s="4" t="s">
        <v>156</v>
      </c>
      <c r="M11" s="4"/>
      <c r="N11" s="4" t="s">
        <v>90</v>
      </c>
      <c r="O11" s="4" t="s">
        <v>91</v>
      </c>
      <c r="P11" s="5">
        <f t="shared" si="0"/>
        <v>3</v>
      </c>
      <c r="Q11" s="5">
        <f t="shared" si="1"/>
        <v>0</v>
      </c>
      <c r="R11" s="5">
        <f t="shared" si="2"/>
        <v>1</v>
      </c>
      <c r="S11" s="5">
        <f t="shared" si="3"/>
        <v>0</v>
      </c>
      <c r="T11" s="5">
        <f t="shared" si="4"/>
        <v>0</v>
      </c>
      <c r="U11" s="5">
        <f t="shared" si="5"/>
        <v>1</v>
      </c>
      <c r="V11" s="5">
        <f t="shared" si="6"/>
        <v>1</v>
      </c>
      <c r="W11" s="5">
        <f t="shared" si="7"/>
        <v>0</v>
      </c>
      <c r="X11" s="5">
        <f t="shared" si="8"/>
        <v>0</v>
      </c>
      <c r="Y11" s="5">
        <f t="shared" si="9"/>
        <v>3</v>
      </c>
      <c r="Z11" s="5">
        <f t="shared" si="10"/>
        <v>0</v>
      </c>
      <c r="AA11" s="5">
        <f t="shared" si="11"/>
        <v>1</v>
      </c>
      <c r="AB11" s="5">
        <f t="shared" si="12"/>
        <v>0</v>
      </c>
      <c r="AC11" s="5">
        <f t="shared" si="13"/>
        <v>1</v>
      </c>
      <c r="AD11" s="5">
        <f t="shared" si="14"/>
        <v>1</v>
      </c>
      <c r="AE11" s="5">
        <f t="shared" si="15"/>
        <v>0</v>
      </c>
      <c r="AF11" s="5">
        <f t="shared" si="16"/>
        <v>0</v>
      </c>
    </row>
    <row r="12" spans="1:32" ht="75.95" customHeight="1">
      <c r="A12" s="4" t="s">
        <v>157</v>
      </c>
      <c r="B12" s="5">
        <v>11</v>
      </c>
      <c r="C12" s="4" t="s">
        <v>39</v>
      </c>
      <c r="D12" s="4" t="s">
        <v>158</v>
      </c>
      <c r="E12" s="4" t="s">
        <v>20</v>
      </c>
      <c r="F12" s="4"/>
      <c r="G12" s="4" t="s">
        <v>21</v>
      </c>
      <c r="H12" s="4" t="s">
        <v>33</v>
      </c>
      <c r="I12" s="4" t="s">
        <v>159</v>
      </c>
      <c r="J12" s="4" t="s">
        <v>160</v>
      </c>
      <c r="K12" s="4" t="s">
        <v>161</v>
      </c>
      <c r="L12" s="4" t="s">
        <v>162</v>
      </c>
      <c r="M12" s="4"/>
      <c r="N12" s="4" t="s">
        <v>90</v>
      </c>
      <c r="O12" s="4" t="s">
        <v>91</v>
      </c>
      <c r="P12" s="5">
        <f t="shared" si="0"/>
        <v>1</v>
      </c>
      <c r="Q12" s="5">
        <f t="shared" si="1"/>
        <v>0</v>
      </c>
      <c r="R12" s="5">
        <f t="shared" si="2"/>
        <v>0</v>
      </c>
      <c r="S12" s="5">
        <f t="shared" si="3"/>
        <v>1</v>
      </c>
      <c r="T12" s="5">
        <f t="shared" si="4"/>
        <v>0</v>
      </c>
      <c r="U12" s="5">
        <f t="shared" si="5"/>
        <v>0</v>
      </c>
      <c r="V12" s="5">
        <f t="shared" si="6"/>
        <v>0</v>
      </c>
      <c r="W12" s="5">
        <f t="shared" si="7"/>
        <v>0</v>
      </c>
      <c r="X12" s="5">
        <f t="shared" si="8"/>
        <v>0</v>
      </c>
      <c r="Y12" s="5">
        <f t="shared" si="9"/>
        <v>0</v>
      </c>
      <c r="Z12" s="5">
        <f t="shared" si="10"/>
        <v>0</v>
      </c>
      <c r="AA12" s="5">
        <f t="shared" si="11"/>
        <v>0</v>
      </c>
      <c r="AB12" s="5">
        <f t="shared" si="12"/>
        <v>0</v>
      </c>
      <c r="AC12" s="5">
        <f t="shared" si="13"/>
        <v>0</v>
      </c>
      <c r="AD12" s="5">
        <f t="shared" si="14"/>
        <v>0</v>
      </c>
      <c r="AE12" s="5">
        <f t="shared" si="15"/>
        <v>0</v>
      </c>
      <c r="AF12" s="5">
        <f t="shared" si="16"/>
        <v>1</v>
      </c>
    </row>
    <row r="13" spans="1:32" ht="75.95" customHeight="1">
      <c r="A13" s="4" t="s">
        <v>163</v>
      </c>
      <c r="B13" s="5">
        <v>12</v>
      </c>
      <c r="C13" s="4" t="s">
        <v>39</v>
      </c>
      <c r="D13" s="4" t="s">
        <v>164</v>
      </c>
      <c r="E13" s="4" t="s">
        <v>29</v>
      </c>
      <c r="F13" s="4" t="s">
        <v>17</v>
      </c>
      <c r="G13" s="4" t="s">
        <v>18</v>
      </c>
      <c r="H13" s="4" t="s">
        <v>165</v>
      </c>
      <c r="I13" s="4" t="s">
        <v>166</v>
      </c>
      <c r="J13" s="4" t="s">
        <v>167</v>
      </c>
      <c r="K13" s="4" t="s">
        <v>168</v>
      </c>
      <c r="L13" s="4" t="s">
        <v>169</v>
      </c>
      <c r="M13" s="4"/>
      <c r="N13" s="4" t="s">
        <v>90</v>
      </c>
      <c r="O13" s="4" t="s">
        <v>91</v>
      </c>
      <c r="P13" s="5">
        <f t="shared" si="0"/>
        <v>2</v>
      </c>
      <c r="Q13" s="5">
        <f t="shared" si="1"/>
        <v>0</v>
      </c>
      <c r="R13" s="5">
        <f t="shared" si="2"/>
        <v>1</v>
      </c>
      <c r="S13" s="5">
        <f t="shared" si="3"/>
        <v>0</v>
      </c>
      <c r="T13" s="5">
        <f t="shared" si="4"/>
        <v>0</v>
      </c>
      <c r="U13" s="5">
        <f t="shared" si="5"/>
        <v>0</v>
      </c>
      <c r="V13" s="5">
        <f t="shared" si="6"/>
        <v>1</v>
      </c>
      <c r="W13" s="5">
        <f t="shared" si="7"/>
        <v>0</v>
      </c>
      <c r="X13" s="5">
        <f t="shared" si="8"/>
        <v>0</v>
      </c>
      <c r="Y13" s="5">
        <f t="shared" si="9"/>
        <v>2</v>
      </c>
      <c r="Z13" s="5">
        <f t="shared" si="10"/>
        <v>1</v>
      </c>
      <c r="AA13" s="5">
        <f t="shared" si="11"/>
        <v>1</v>
      </c>
      <c r="AB13" s="5">
        <f t="shared" si="12"/>
        <v>0</v>
      </c>
      <c r="AC13" s="5">
        <f t="shared" si="13"/>
        <v>0</v>
      </c>
      <c r="AD13" s="5">
        <f t="shared" si="14"/>
        <v>0</v>
      </c>
      <c r="AE13" s="5">
        <f t="shared" si="15"/>
        <v>0</v>
      </c>
      <c r="AF13" s="5">
        <f t="shared" si="16"/>
        <v>0</v>
      </c>
    </row>
    <row r="14" spans="1:32" ht="75.95" customHeight="1">
      <c r="A14" s="4" t="s">
        <v>170</v>
      </c>
      <c r="B14" s="5">
        <v>13</v>
      </c>
      <c r="C14" s="4" t="s">
        <v>39</v>
      </c>
      <c r="D14" s="4" t="s">
        <v>171</v>
      </c>
      <c r="E14" s="4" t="s">
        <v>14</v>
      </c>
      <c r="F14" s="4"/>
      <c r="G14" s="4" t="s">
        <v>15</v>
      </c>
      <c r="H14" s="4" t="s">
        <v>33</v>
      </c>
      <c r="I14" s="4" t="s">
        <v>172</v>
      </c>
      <c r="J14" s="4" t="s">
        <v>173</v>
      </c>
      <c r="K14" s="4" t="s">
        <v>174</v>
      </c>
      <c r="L14" s="4" t="s">
        <v>175</v>
      </c>
      <c r="M14" s="4"/>
      <c r="N14" s="4" t="s">
        <v>90</v>
      </c>
      <c r="O14" s="4" t="s">
        <v>91</v>
      </c>
      <c r="P14" s="5">
        <f t="shared" si="0"/>
        <v>1</v>
      </c>
      <c r="Q14" s="5">
        <f t="shared" si="1"/>
        <v>1</v>
      </c>
      <c r="R14" s="5">
        <f t="shared" si="2"/>
        <v>0</v>
      </c>
      <c r="S14" s="5">
        <f t="shared" si="3"/>
        <v>0</v>
      </c>
      <c r="T14" s="5">
        <f t="shared" si="4"/>
        <v>0</v>
      </c>
      <c r="U14" s="5">
        <f t="shared" si="5"/>
        <v>0</v>
      </c>
      <c r="V14" s="5">
        <f t="shared" si="6"/>
        <v>0</v>
      </c>
      <c r="W14" s="5">
        <f t="shared" si="7"/>
        <v>0</v>
      </c>
      <c r="X14" s="5">
        <f t="shared" si="8"/>
        <v>0</v>
      </c>
      <c r="Y14" s="5">
        <f t="shared" si="9"/>
        <v>0</v>
      </c>
      <c r="Z14" s="5">
        <f t="shared" si="10"/>
        <v>0</v>
      </c>
      <c r="AA14" s="5">
        <f t="shared" si="11"/>
        <v>0</v>
      </c>
      <c r="AB14" s="5">
        <f t="shared" si="12"/>
        <v>0</v>
      </c>
      <c r="AC14" s="5">
        <f t="shared" si="13"/>
        <v>0</v>
      </c>
      <c r="AD14" s="5">
        <f t="shared" si="14"/>
        <v>0</v>
      </c>
      <c r="AE14" s="5">
        <f t="shared" si="15"/>
        <v>0</v>
      </c>
      <c r="AF14" s="5">
        <f t="shared" si="16"/>
        <v>1</v>
      </c>
    </row>
    <row r="15" spans="1:32" ht="93.95" customHeight="1">
      <c r="A15" s="4" t="s">
        <v>176</v>
      </c>
      <c r="B15" s="5">
        <v>14</v>
      </c>
      <c r="C15" s="4" t="s">
        <v>39</v>
      </c>
      <c r="D15" s="4" t="s">
        <v>177</v>
      </c>
      <c r="E15" s="4" t="s">
        <v>17</v>
      </c>
      <c r="F15" s="4" t="s">
        <v>29</v>
      </c>
      <c r="G15" s="4" t="s">
        <v>18</v>
      </c>
      <c r="H15" s="4" t="s">
        <v>178</v>
      </c>
      <c r="I15" s="4" t="s">
        <v>179</v>
      </c>
      <c r="J15" s="4" t="s">
        <v>180</v>
      </c>
      <c r="K15" s="4" t="s">
        <v>181</v>
      </c>
      <c r="L15" s="4" t="s">
        <v>182</v>
      </c>
      <c r="M15" s="4"/>
      <c r="N15" s="4" t="s">
        <v>90</v>
      </c>
      <c r="O15" s="4" t="s">
        <v>91</v>
      </c>
      <c r="P15" s="5">
        <f t="shared" si="0"/>
        <v>2</v>
      </c>
      <c r="Q15" s="5">
        <f t="shared" si="1"/>
        <v>0</v>
      </c>
      <c r="R15" s="5">
        <f t="shared" si="2"/>
        <v>1</v>
      </c>
      <c r="S15" s="5">
        <f t="shared" si="3"/>
        <v>0</v>
      </c>
      <c r="T15" s="5">
        <f t="shared" si="4"/>
        <v>0</v>
      </c>
      <c r="U15" s="5">
        <f t="shared" si="5"/>
        <v>0</v>
      </c>
      <c r="V15" s="5">
        <f t="shared" si="6"/>
        <v>1</v>
      </c>
      <c r="W15" s="5">
        <f t="shared" si="7"/>
        <v>0</v>
      </c>
      <c r="X15" s="5">
        <f t="shared" si="8"/>
        <v>0</v>
      </c>
      <c r="Y15" s="5">
        <f t="shared" si="9"/>
        <v>2</v>
      </c>
      <c r="Z15" s="5">
        <f t="shared" si="10"/>
        <v>0</v>
      </c>
      <c r="AA15" s="5">
        <f t="shared" si="11"/>
        <v>1</v>
      </c>
      <c r="AB15" s="5">
        <f t="shared" si="12"/>
        <v>0</v>
      </c>
      <c r="AC15" s="5">
        <f t="shared" si="13"/>
        <v>0</v>
      </c>
      <c r="AD15" s="5">
        <f t="shared" si="14"/>
        <v>0</v>
      </c>
      <c r="AE15" s="5">
        <f t="shared" si="15"/>
        <v>1</v>
      </c>
      <c r="AF15" s="5">
        <f t="shared" si="16"/>
        <v>0</v>
      </c>
    </row>
    <row r="16" spans="1:32" ht="75.95" customHeight="1">
      <c r="A16" s="4" t="s">
        <v>183</v>
      </c>
      <c r="B16" s="5">
        <v>15</v>
      </c>
      <c r="C16" s="4" t="s">
        <v>39</v>
      </c>
      <c r="D16" s="4" t="s">
        <v>184</v>
      </c>
      <c r="E16" s="4" t="s">
        <v>23</v>
      </c>
      <c r="F16" s="4"/>
      <c r="G16" s="4" t="s">
        <v>24</v>
      </c>
      <c r="H16" s="4" t="s">
        <v>30</v>
      </c>
      <c r="I16" s="4" t="s">
        <v>185</v>
      </c>
      <c r="J16" s="4" t="s">
        <v>186</v>
      </c>
      <c r="K16" s="4" t="s">
        <v>187</v>
      </c>
      <c r="L16" s="4" t="s">
        <v>188</v>
      </c>
      <c r="M16" s="4"/>
      <c r="N16" s="4" t="s">
        <v>90</v>
      </c>
      <c r="O16" s="4" t="s">
        <v>91</v>
      </c>
      <c r="P16" s="5">
        <f t="shared" si="0"/>
        <v>1</v>
      </c>
      <c r="Q16" s="5">
        <f t="shared" si="1"/>
        <v>0</v>
      </c>
      <c r="R16" s="5">
        <f t="shared" si="2"/>
        <v>0</v>
      </c>
      <c r="S16" s="5">
        <f t="shared" si="3"/>
        <v>0</v>
      </c>
      <c r="T16" s="5">
        <f t="shared" si="4"/>
        <v>1</v>
      </c>
      <c r="U16" s="5">
        <f t="shared" si="5"/>
        <v>0</v>
      </c>
      <c r="V16" s="5">
        <f t="shared" si="6"/>
        <v>0</v>
      </c>
      <c r="W16" s="5">
        <f t="shared" si="7"/>
        <v>0</v>
      </c>
      <c r="X16" s="5">
        <f t="shared" si="8"/>
        <v>0</v>
      </c>
      <c r="Y16" s="5">
        <f t="shared" si="9"/>
        <v>1</v>
      </c>
      <c r="Z16" s="5">
        <f t="shared" si="10"/>
        <v>0</v>
      </c>
      <c r="AA16" s="5">
        <f t="shared" si="11"/>
        <v>0</v>
      </c>
      <c r="AB16" s="5">
        <f t="shared" si="12"/>
        <v>0</v>
      </c>
      <c r="AC16" s="5">
        <f t="shared" si="13"/>
        <v>0</v>
      </c>
      <c r="AD16" s="5">
        <f t="shared" si="14"/>
        <v>0</v>
      </c>
      <c r="AE16" s="5">
        <f t="shared" si="15"/>
        <v>1</v>
      </c>
      <c r="AF16" s="5">
        <f t="shared" si="16"/>
        <v>0</v>
      </c>
    </row>
    <row r="17" spans="1:32" ht="122.1" customHeight="1">
      <c r="A17" s="4" t="s">
        <v>189</v>
      </c>
      <c r="B17" s="5">
        <v>16</v>
      </c>
      <c r="C17" s="4" t="s">
        <v>39</v>
      </c>
      <c r="D17" s="4" t="s">
        <v>190</v>
      </c>
      <c r="E17" s="4" t="s">
        <v>23</v>
      </c>
      <c r="F17" s="4" t="s">
        <v>94</v>
      </c>
      <c r="G17" s="4" t="s">
        <v>24</v>
      </c>
      <c r="H17" s="4" t="s">
        <v>191</v>
      </c>
      <c r="I17" s="4" t="s">
        <v>192</v>
      </c>
      <c r="J17" s="4" t="s">
        <v>193</v>
      </c>
      <c r="K17" s="4" t="s">
        <v>194</v>
      </c>
      <c r="L17" s="4" t="s">
        <v>195</v>
      </c>
      <c r="M17" s="4"/>
      <c r="N17" s="4" t="s">
        <v>90</v>
      </c>
      <c r="O17" s="4" t="s">
        <v>91</v>
      </c>
      <c r="P17" s="5">
        <f t="shared" si="0"/>
        <v>3</v>
      </c>
      <c r="Q17" s="5">
        <f t="shared" si="1"/>
        <v>0</v>
      </c>
      <c r="R17" s="5">
        <f t="shared" si="2"/>
        <v>0</v>
      </c>
      <c r="S17" s="5">
        <f t="shared" si="3"/>
        <v>0</v>
      </c>
      <c r="T17" s="5">
        <f t="shared" si="4"/>
        <v>1</v>
      </c>
      <c r="U17" s="5">
        <f t="shared" si="5"/>
        <v>1</v>
      </c>
      <c r="V17" s="5">
        <f t="shared" si="6"/>
        <v>1</v>
      </c>
      <c r="W17" s="5">
        <f t="shared" si="7"/>
        <v>0</v>
      </c>
      <c r="X17" s="5">
        <f t="shared" si="8"/>
        <v>0</v>
      </c>
      <c r="Y17" s="5">
        <f t="shared" si="9"/>
        <v>3</v>
      </c>
      <c r="Z17" s="5">
        <f t="shared" si="10"/>
        <v>1</v>
      </c>
      <c r="AA17" s="5">
        <f t="shared" si="11"/>
        <v>1</v>
      </c>
      <c r="AB17" s="5">
        <f t="shared" si="12"/>
        <v>0</v>
      </c>
      <c r="AC17" s="5">
        <f t="shared" si="13"/>
        <v>0</v>
      </c>
      <c r="AD17" s="5">
        <f t="shared" si="14"/>
        <v>1</v>
      </c>
      <c r="AE17" s="5">
        <f t="shared" si="15"/>
        <v>0</v>
      </c>
      <c r="AF17" s="5">
        <f t="shared" si="16"/>
        <v>0</v>
      </c>
    </row>
    <row r="18" spans="1:32" ht="75.95" customHeight="1">
      <c r="A18" s="4" t="s">
        <v>196</v>
      </c>
      <c r="B18" s="5">
        <v>17</v>
      </c>
      <c r="C18" s="4" t="s">
        <v>39</v>
      </c>
      <c r="D18" s="4" t="s">
        <v>197</v>
      </c>
      <c r="E18" s="4" t="s">
        <v>20</v>
      </c>
      <c r="F18" s="4"/>
      <c r="G18" s="4" t="s">
        <v>21</v>
      </c>
      <c r="H18" s="4" t="s">
        <v>19</v>
      </c>
      <c r="I18" s="4" t="s">
        <v>198</v>
      </c>
      <c r="J18" s="4" t="s">
        <v>199</v>
      </c>
      <c r="K18" s="4" t="s">
        <v>200</v>
      </c>
      <c r="L18" s="4" t="s">
        <v>201</v>
      </c>
      <c r="M18" s="4"/>
      <c r="N18" s="4" t="s">
        <v>90</v>
      </c>
      <c r="O18" s="4" t="s">
        <v>91</v>
      </c>
      <c r="P18" s="5">
        <f t="shared" si="0"/>
        <v>1</v>
      </c>
      <c r="Q18" s="5">
        <f t="shared" si="1"/>
        <v>0</v>
      </c>
      <c r="R18" s="5">
        <f t="shared" si="2"/>
        <v>0</v>
      </c>
      <c r="S18" s="5">
        <f t="shared" si="3"/>
        <v>1</v>
      </c>
      <c r="T18" s="5">
        <f t="shared" si="4"/>
        <v>0</v>
      </c>
      <c r="U18" s="5">
        <f t="shared" si="5"/>
        <v>0</v>
      </c>
      <c r="V18" s="5">
        <f t="shared" si="6"/>
        <v>0</v>
      </c>
      <c r="W18" s="5">
        <f t="shared" si="7"/>
        <v>0</v>
      </c>
      <c r="X18" s="5">
        <f t="shared" si="8"/>
        <v>0</v>
      </c>
      <c r="Y18" s="5">
        <f t="shared" si="9"/>
        <v>1</v>
      </c>
      <c r="Z18" s="5">
        <f t="shared" si="10"/>
        <v>0</v>
      </c>
      <c r="AA18" s="5">
        <f t="shared" si="11"/>
        <v>1</v>
      </c>
      <c r="AB18" s="5">
        <f t="shared" si="12"/>
        <v>0</v>
      </c>
      <c r="AC18" s="5">
        <f t="shared" si="13"/>
        <v>0</v>
      </c>
      <c r="AD18" s="5">
        <f t="shared" si="14"/>
        <v>0</v>
      </c>
      <c r="AE18" s="5">
        <f t="shared" si="15"/>
        <v>0</v>
      </c>
      <c r="AF18" s="5">
        <f t="shared" si="16"/>
        <v>0</v>
      </c>
    </row>
    <row r="19" spans="1:32" ht="75.95" customHeight="1">
      <c r="A19" s="4" t="s">
        <v>202</v>
      </c>
      <c r="B19" s="5">
        <v>18</v>
      </c>
      <c r="C19" s="4" t="s">
        <v>39</v>
      </c>
      <c r="D19" s="4" t="s">
        <v>203</v>
      </c>
      <c r="E19" s="4" t="s">
        <v>17</v>
      </c>
      <c r="F19" s="4"/>
      <c r="G19" s="4" t="s">
        <v>18</v>
      </c>
      <c r="H19" s="4" t="s">
        <v>30</v>
      </c>
      <c r="I19" s="4" t="s">
        <v>204</v>
      </c>
      <c r="J19" s="4" t="s">
        <v>205</v>
      </c>
      <c r="K19" s="4" t="s">
        <v>206</v>
      </c>
      <c r="L19" s="4" t="s">
        <v>207</v>
      </c>
      <c r="M19" s="4"/>
      <c r="N19" s="4" t="s">
        <v>90</v>
      </c>
      <c r="O19" s="4" t="s">
        <v>91</v>
      </c>
      <c r="P19" s="5">
        <f t="shared" si="0"/>
        <v>1</v>
      </c>
      <c r="Q19" s="5">
        <f t="shared" si="1"/>
        <v>0</v>
      </c>
      <c r="R19" s="5">
        <f t="shared" si="2"/>
        <v>1</v>
      </c>
      <c r="S19" s="5">
        <f t="shared" si="3"/>
        <v>0</v>
      </c>
      <c r="T19" s="5">
        <f t="shared" si="4"/>
        <v>0</v>
      </c>
      <c r="U19" s="5">
        <f t="shared" si="5"/>
        <v>0</v>
      </c>
      <c r="V19" s="5">
        <f t="shared" si="6"/>
        <v>0</v>
      </c>
      <c r="W19" s="5">
        <f t="shared" si="7"/>
        <v>0</v>
      </c>
      <c r="X19" s="5">
        <f t="shared" si="8"/>
        <v>0</v>
      </c>
      <c r="Y19" s="5">
        <f t="shared" si="9"/>
        <v>1</v>
      </c>
      <c r="Z19" s="5">
        <f t="shared" si="10"/>
        <v>0</v>
      </c>
      <c r="AA19" s="5">
        <f t="shared" si="11"/>
        <v>0</v>
      </c>
      <c r="AB19" s="5">
        <f t="shared" si="12"/>
        <v>0</v>
      </c>
      <c r="AC19" s="5">
        <f t="shared" si="13"/>
        <v>0</v>
      </c>
      <c r="AD19" s="5">
        <f t="shared" si="14"/>
        <v>0</v>
      </c>
      <c r="AE19" s="5">
        <f t="shared" si="15"/>
        <v>1</v>
      </c>
      <c r="AF19" s="5">
        <f t="shared" si="16"/>
        <v>0</v>
      </c>
    </row>
    <row r="20" spans="1:32" ht="75.95" customHeight="1">
      <c r="A20" s="4" t="s">
        <v>208</v>
      </c>
      <c r="B20" s="5">
        <v>19</v>
      </c>
      <c r="C20" s="4" t="s">
        <v>39</v>
      </c>
      <c r="D20" s="4" t="s">
        <v>209</v>
      </c>
      <c r="E20" s="4" t="s">
        <v>20</v>
      </c>
      <c r="F20" s="4"/>
      <c r="G20" s="4" t="s">
        <v>21</v>
      </c>
      <c r="H20" s="4" t="s">
        <v>178</v>
      </c>
      <c r="I20" s="4" t="s">
        <v>210</v>
      </c>
      <c r="J20" s="4" t="s">
        <v>211</v>
      </c>
      <c r="K20" s="4" t="s">
        <v>212</v>
      </c>
      <c r="L20" s="4" t="s">
        <v>213</v>
      </c>
      <c r="M20" s="4"/>
      <c r="N20" s="4" t="s">
        <v>90</v>
      </c>
      <c r="O20" s="4" t="s">
        <v>91</v>
      </c>
      <c r="P20" s="5">
        <f t="shared" si="0"/>
        <v>1</v>
      </c>
      <c r="Q20" s="5">
        <f t="shared" si="1"/>
        <v>0</v>
      </c>
      <c r="R20" s="5">
        <f t="shared" si="2"/>
        <v>0</v>
      </c>
      <c r="S20" s="5">
        <f t="shared" si="3"/>
        <v>1</v>
      </c>
      <c r="T20" s="5">
        <f t="shared" si="4"/>
        <v>0</v>
      </c>
      <c r="U20" s="5">
        <f t="shared" si="5"/>
        <v>0</v>
      </c>
      <c r="V20" s="5">
        <f t="shared" si="6"/>
        <v>0</v>
      </c>
      <c r="W20" s="5">
        <f t="shared" si="7"/>
        <v>0</v>
      </c>
      <c r="X20" s="5">
        <f t="shared" si="8"/>
        <v>0</v>
      </c>
      <c r="Y20" s="5">
        <f t="shared" si="9"/>
        <v>2</v>
      </c>
      <c r="Z20" s="5">
        <f t="shared" si="10"/>
        <v>0</v>
      </c>
      <c r="AA20" s="5">
        <f t="shared" si="11"/>
        <v>1</v>
      </c>
      <c r="AB20" s="5">
        <f t="shared" si="12"/>
        <v>0</v>
      </c>
      <c r="AC20" s="5">
        <f t="shared" si="13"/>
        <v>0</v>
      </c>
      <c r="AD20" s="5">
        <f t="shared" si="14"/>
        <v>0</v>
      </c>
      <c r="AE20" s="5">
        <f t="shared" si="15"/>
        <v>1</v>
      </c>
      <c r="AF20" s="5">
        <f t="shared" si="16"/>
        <v>0</v>
      </c>
    </row>
    <row r="21" spans="1:32" ht="75.95" customHeight="1">
      <c r="A21" s="4" t="s">
        <v>214</v>
      </c>
      <c r="B21" s="5">
        <v>20</v>
      </c>
      <c r="C21" s="4" t="s">
        <v>39</v>
      </c>
      <c r="D21" s="4" t="s">
        <v>215</v>
      </c>
      <c r="E21" s="4" t="s">
        <v>26</v>
      </c>
      <c r="F21" s="4" t="s">
        <v>17</v>
      </c>
      <c r="G21" s="4" t="s">
        <v>18</v>
      </c>
      <c r="H21" s="4" t="s">
        <v>30</v>
      </c>
      <c r="I21" s="4" t="s">
        <v>216</v>
      </c>
      <c r="J21" s="4" t="s">
        <v>217</v>
      </c>
      <c r="K21" s="4" t="s">
        <v>218</v>
      </c>
      <c r="L21" s="4" t="s">
        <v>219</v>
      </c>
      <c r="M21" s="4"/>
      <c r="N21" s="4" t="s">
        <v>90</v>
      </c>
      <c r="O21" s="4" t="s">
        <v>91</v>
      </c>
      <c r="P21" s="5">
        <f t="shared" si="0"/>
        <v>2</v>
      </c>
      <c r="Q21" s="5">
        <f t="shared" si="1"/>
        <v>0</v>
      </c>
      <c r="R21" s="5">
        <f t="shared" si="2"/>
        <v>1</v>
      </c>
      <c r="S21" s="5">
        <f t="shared" si="3"/>
        <v>0</v>
      </c>
      <c r="T21" s="5">
        <f t="shared" si="4"/>
        <v>0</v>
      </c>
      <c r="U21" s="5">
        <f t="shared" si="5"/>
        <v>1</v>
      </c>
      <c r="V21" s="5">
        <f t="shared" si="6"/>
        <v>0</v>
      </c>
      <c r="W21" s="5">
        <f t="shared" si="7"/>
        <v>0</v>
      </c>
      <c r="X21" s="5">
        <f t="shared" si="8"/>
        <v>0</v>
      </c>
      <c r="Y21" s="5">
        <f t="shared" si="9"/>
        <v>1</v>
      </c>
      <c r="Z21" s="5">
        <f t="shared" si="10"/>
        <v>0</v>
      </c>
      <c r="AA21" s="5">
        <f t="shared" si="11"/>
        <v>0</v>
      </c>
      <c r="AB21" s="5">
        <f t="shared" si="12"/>
        <v>0</v>
      </c>
      <c r="AC21" s="5">
        <f t="shared" si="13"/>
        <v>0</v>
      </c>
      <c r="AD21" s="5">
        <f t="shared" si="14"/>
        <v>0</v>
      </c>
      <c r="AE21" s="5">
        <f t="shared" si="15"/>
        <v>1</v>
      </c>
      <c r="AF21" s="5">
        <f t="shared" si="16"/>
        <v>0</v>
      </c>
    </row>
    <row r="22" spans="1:32" ht="75.95" customHeight="1">
      <c r="A22" s="4" t="s">
        <v>220</v>
      </c>
      <c r="B22" s="5">
        <v>21</v>
      </c>
      <c r="C22" s="4" t="s">
        <v>39</v>
      </c>
      <c r="D22" s="4" t="s">
        <v>221</v>
      </c>
      <c r="E22" s="4" t="s">
        <v>20</v>
      </c>
      <c r="F22" s="4"/>
      <c r="G22" s="4" t="s">
        <v>21</v>
      </c>
      <c r="H22" s="4" t="s">
        <v>222</v>
      </c>
      <c r="I22" s="4" t="s">
        <v>223</v>
      </c>
      <c r="J22" s="4" t="s">
        <v>224</v>
      </c>
      <c r="K22" s="4" t="s">
        <v>225</v>
      </c>
      <c r="L22" s="4" t="s">
        <v>226</v>
      </c>
      <c r="M22" s="4"/>
      <c r="N22" s="4" t="s">
        <v>90</v>
      </c>
      <c r="O22" s="4" t="s">
        <v>91</v>
      </c>
      <c r="P22" s="5">
        <f t="shared" si="0"/>
        <v>1</v>
      </c>
      <c r="Q22" s="5">
        <f t="shared" si="1"/>
        <v>0</v>
      </c>
      <c r="R22" s="5">
        <f t="shared" si="2"/>
        <v>0</v>
      </c>
      <c r="S22" s="5">
        <f t="shared" si="3"/>
        <v>1</v>
      </c>
      <c r="T22" s="5">
        <f t="shared" si="4"/>
        <v>0</v>
      </c>
      <c r="U22" s="5">
        <f t="shared" si="5"/>
        <v>0</v>
      </c>
      <c r="V22" s="5">
        <f t="shared" si="6"/>
        <v>0</v>
      </c>
      <c r="W22" s="5">
        <f t="shared" si="7"/>
        <v>0</v>
      </c>
      <c r="X22" s="5">
        <f t="shared" si="8"/>
        <v>0</v>
      </c>
      <c r="Y22" s="5">
        <f t="shared" si="9"/>
        <v>2</v>
      </c>
      <c r="Z22" s="5">
        <f t="shared" si="10"/>
        <v>0</v>
      </c>
      <c r="AA22" s="5">
        <f t="shared" si="11"/>
        <v>1</v>
      </c>
      <c r="AB22" s="5">
        <f t="shared" si="12"/>
        <v>0</v>
      </c>
      <c r="AC22" s="5">
        <f t="shared" si="13"/>
        <v>0</v>
      </c>
      <c r="AD22" s="5">
        <f t="shared" si="14"/>
        <v>1</v>
      </c>
      <c r="AE22" s="5">
        <f t="shared" si="15"/>
        <v>0</v>
      </c>
      <c r="AF22" s="5">
        <f t="shared" si="16"/>
        <v>0</v>
      </c>
    </row>
    <row r="23" spans="1:32" ht="75.95" customHeight="1">
      <c r="A23" s="4" t="s">
        <v>227</v>
      </c>
      <c r="B23" s="5">
        <v>22</v>
      </c>
      <c r="C23" s="4" t="s">
        <v>39</v>
      </c>
      <c r="D23" s="4" t="s">
        <v>228</v>
      </c>
      <c r="E23" s="4" t="s">
        <v>17</v>
      </c>
      <c r="F23" s="4"/>
      <c r="G23" s="4" t="s">
        <v>18</v>
      </c>
      <c r="H23" s="4" t="s">
        <v>30</v>
      </c>
      <c r="I23" s="4" t="s">
        <v>229</v>
      </c>
      <c r="J23" s="4" t="s">
        <v>230</v>
      </c>
      <c r="K23" s="4" t="s">
        <v>231</v>
      </c>
      <c r="L23" s="4" t="s">
        <v>232</v>
      </c>
      <c r="M23" s="4"/>
      <c r="N23" s="4" t="s">
        <v>90</v>
      </c>
      <c r="O23" s="4" t="s">
        <v>91</v>
      </c>
      <c r="P23" s="5">
        <f t="shared" si="0"/>
        <v>1</v>
      </c>
      <c r="Q23" s="5">
        <f t="shared" si="1"/>
        <v>0</v>
      </c>
      <c r="R23" s="5">
        <f t="shared" si="2"/>
        <v>1</v>
      </c>
      <c r="S23" s="5">
        <f t="shared" si="3"/>
        <v>0</v>
      </c>
      <c r="T23" s="5">
        <f t="shared" si="4"/>
        <v>0</v>
      </c>
      <c r="U23" s="5">
        <f t="shared" si="5"/>
        <v>0</v>
      </c>
      <c r="V23" s="5">
        <f t="shared" si="6"/>
        <v>0</v>
      </c>
      <c r="W23" s="5">
        <f t="shared" si="7"/>
        <v>0</v>
      </c>
      <c r="X23" s="5">
        <f t="shared" si="8"/>
        <v>0</v>
      </c>
      <c r="Y23" s="5">
        <f t="shared" si="9"/>
        <v>1</v>
      </c>
      <c r="Z23" s="5">
        <f t="shared" si="10"/>
        <v>0</v>
      </c>
      <c r="AA23" s="5">
        <f t="shared" si="11"/>
        <v>0</v>
      </c>
      <c r="AB23" s="5">
        <f t="shared" si="12"/>
        <v>0</v>
      </c>
      <c r="AC23" s="5">
        <f t="shared" si="13"/>
        <v>0</v>
      </c>
      <c r="AD23" s="5">
        <f t="shared" si="14"/>
        <v>0</v>
      </c>
      <c r="AE23" s="5">
        <f t="shared" si="15"/>
        <v>1</v>
      </c>
      <c r="AF23" s="5">
        <f t="shared" si="16"/>
        <v>0</v>
      </c>
    </row>
    <row r="24" spans="1:32" ht="75.95" customHeight="1">
      <c r="A24" s="4" t="s">
        <v>233</v>
      </c>
      <c r="B24" s="5">
        <v>23</v>
      </c>
      <c r="C24" s="4" t="s">
        <v>39</v>
      </c>
      <c r="D24" s="4" t="s">
        <v>234</v>
      </c>
      <c r="E24" s="4" t="s">
        <v>17</v>
      </c>
      <c r="F24" s="4"/>
      <c r="G24" s="4" t="s">
        <v>18</v>
      </c>
      <c r="H24" s="4" t="s">
        <v>33</v>
      </c>
      <c r="I24" s="4" t="s">
        <v>235</v>
      </c>
      <c r="J24" s="4" t="s">
        <v>236</v>
      </c>
      <c r="K24" s="4" t="s">
        <v>237</v>
      </c>
      <c r="L24" s="4" t="s">
        <v>238</v>
      </c>
      <c r="M24" s="4"/>
      <c r="N24" s="4" t="s">
        <v>90</v>
      </c>
      <c r="O24" s="4" t="s">
        <v>91</v>
      </c>
      <c r="P24" s="5">
        <f t="shared" si="0"/>
        <v>1</v>
      </c>
      <c r="Q24" s="5">
        <f t="shared" si="1"/>
        <v>0</v>
      </c>
      <c r="R24" s="5">
        <f t="shared" si="2"/>
        <v>1</v>
      </c>
      <c r="S24" s="5">
        <f t="shared" si="3"/>
        <v>0</v>
      </c>
      <c r="T24" s="5">
        <f t="shared" si="4"/>
        <v>0</v>
      </c>
      <c r="U24" s="5">
        <f t="shared" si="5"/>
        <v>0</v>
      </c>
      <c r="V24" s="5">
        <f t="shared" si="6"/>
        <v>0</v>
      </c>
      <c r="W24" s="5">
        <f t="shared" si="7"/>
        <v>0</v>
      </c>
      <c r="X24" s="5">
        <f t="shared" si="8"/>
        <v>0</v>
      </c>
      <c r="Y24" s="5">
        <f t="shared" si="9"/>
        <v>0</v>
      </c>
      <c r="Z24" s="5">
        <f t="shared" si="10"/>
        <v>0</v>
      </c>
      <c r="AA24" s="5">
        <f t="shared" si="11"/>
        <v>0</v>
      </c>
      <c r="AB24" s="5">
        <f t="shared" si="12"/>
        <v>0</v>
      </c>
      <c r="AC24" s="5">
        <f t="shared" si="13"/>
        <v>0</v>
      </c>
      <c r="AD24" s="5">
        <f t="shared" si="14"/>
        <v>0</v>
      </c>
      <c r="AE24" s="5">
        <f t="shared" si="15"/>
        <v>0</v>
      </c>
      <c r="AF24" s="5">
        <f t="shared" si="16"/>
        <v>1</v>
      </c>
    </row>
    <row r="25" spans="1:32" ht="75.95" customHeight="1">
      <c r="A25" s="4" t="s">
        <v>239</v>
      </c>
      <c r="B25" s="5">
        <v>24</v>
      </c>
      <c r="C25" s="4" t="s">
        <v>39</v>
      </c>
      <c r="D25" s="4" t="s">
        <v>240</v>
      </c>
      <c r="E25" s="4" t="s">
        <v>20</v>
      </c>
      <c r="F25" s="4" t="s">
        <v>29</v>
      </c>
      <c r="G25" s="4" t="s">
        <v>21</v>
      </c>
      <c r="H25" s="4" t="s">
        <v>25</v>
      </c>
      <c r="I25" s="4" t="s">
        <v>241</v>
      </c>
      <c r="J25" s="4" t="s">
        <v>242</v>
      </c>
      <c r="K25" s="4" t="s">
        <v>243</v>
      </c>
      <c r="L25" s="4" t="s">
        <v>244</v>
      </c>
      <c r="M25" s="4"/>
      <c r="N25" s="4" t="s">
        <v>90</v>
      </c>
      <c r="O25" s="4" t="s">
        <v>91</v>
      </c>
      <c r="P25" s="5">
        <f t="shared" si="0"/>
        <v>2</v>
      </c>
      <c r="Q25" s="5">
        <f t="shared" si="1"/>
        <v>0</v>
      </c>
      <c r="R25" s="5">
        <f t="shared" si="2"/>
        <v>0</v>
      </c>
      <c r="S25" s="5">
        <f t="shared" si="3"/>
        <v>1</v>
      </c>
      <c r="T25" s="5">
        <f t="shared" si="4"/>
        <v>0</v>
      </c>
      <c r="U25" s="5">
        <f t="shared" si="5"/>
        <v>0</v>
      </c>
      <c r="V25" s="5">
        <f t="shared" si="6"/>
        <v>1</v>
      </c>
      <c r="W25" s="5">
        <f t="shared" si="7"/>
        <v>0</v>
      </c>
      <c r="X25" s="5">
        <f t="shared" si="8"/>
        <v>0</v>
      </c>
      <c r="Y25" s="5">
        <f t="shared" si="9"/>
        <v>1</v>
      </c>
      <c r="Z25" s="5">
        <f t="shared" si="10"/>
        <v>0</v>
      </c>
      <c r="AA25" s="5">
        <f t="shared" si="11"/>
        <v>0</v>
      </c>
      <c r="AB25" s="5">
        <f t="shared" si="12"/>
        <v>0</v>
      </c>
      <c r="AC25" s="5">
        <f t="shared" si="13"/>
        <v>1</v>
      </c>
      <c r="AD25" s="5">
        <f t="shared" si="14"/>
        <v>0</v>
      </c>
      <c r="AE25" s="5">
        <f t="shared" si="15"/>
        <v>0</v>
      </c>
      <c r="AF25" s="5">
        <f t="shared" si="16"/>
        <v>0</v>
      </c>
    </row>
    <row r="26" spans="1:32" ht="80.099999999999994" customHeight="1">
      <c r="A26" s="4" t="s">
        <v>245</v>
      </c>
      <c r="B26" s="5">
        <v>25</v>
      </c>
      <c r="C26" s="4" t="s">
        <v>39</v>
      </c>
      <c r="D26" s="4" t="s">
        <v>246</v>
      </c>
      <c r="E26" s="4" t="s">
        <v>23</v>
      </c>
      <c r="F26" s="4" t="s">
        <v>94</v>
      </c>
      <c r="G26" s="4" t="s">
        <v>24</v>
      </c>
      <c r="H26" s="4" t="s">
        <v>247</v>
      </c>
      <c r="I26" s="4" t="s">
        <v>248</v>
      </c>
      <c r="J26" s="4" t="s">
        <v>249</v>
      </c>
      <c r="K26" s="4" t="s">
        <v>250</v>
      </c>
      <c r="L26" s="4" t="s">
        <v>251</v>
      </c>
      <c r="M26" s="4"/>
      <c r="N26" s="4" t="s">
        <v>90</v>
      </c>
      <c r="O26" s="4" t="s">
        <v>91</v>
      </c>
      <c r="P26" s="5">
        <f t="shared" si="0"/>
        <v>3</v>
      </c>
      <c r="Q26" s="5">
        <f t="shared" si="1"/>
        <v>0</v>
      </c>
      <c r="R26" s="5">
        <f t="shared" si="2"/>
        <v>0</v>
      </c>
      <c r="S26" s="5">
        <f t="shared" si="3"/>
        <v>0</v>
      </c>
      <c r="T26" s="5">
        <f t="shared" si="4"/>
        <v>1</v>
      </c>
      <c r="U26" s="5">
        <f t="shared" si="5"/>
        <v>1</v>
      </c>
      <c r="V26" s="5">
        <f t="shared" si="6"/>
        <v>1</v>
      </c>
      <c r="W26" s="5">
        <f t="shared" si="7"/>
        <v>0</v>
      </c>
      <c r="X26" s="5">
        <f t="shared" si="8"/>
        <v>0</v>
      </c>
      <c r="Y26" s="5">
        <f t="shared" si="9"/>
        <v>3</v>
      </c>
      <c r="Z26" s="5">
        <f t="shared" si="10"/>
        <v>1</v>
      </c>
      <c r="AA26" s="5">
        <f t="shared" si="11"/>
        <v>1</v>
      </c>
      <c r="AB26" s="5">
        <f t="shared" si="12"/>
        <v>0</v>
      </c>
      <c r="AC26" s="5">
        <f t="shared" si="13"/>
        <v>1</v>
      </c>
      <c r="AD26" s="5">
        <f t="shared" si="14"/>
        <v>0</v>
      </c>
      <c r="AE26" s="5">
        <f t="shared" si="15"/>
        <v>0</v>
      </c>
      <c r="AF26" s="5">
        <f t="shared" si="16"/>
        <v>0</v>
      </c>
    </row>
    <row r="27" spans="1:32" ht="75.95" customHeight="1">
      <c r="A27" s="4" t="s">
        <v>252</v>
      </c>
      <c r="B27" s="5">
        <v>26</v>
      </c>
      <c r="C27" s="4" t="s">
        <v>40</v>
      </c>
      <c r="D27" s="4" t="s">
        <v>253</v>
      </c>
      <c r="E27" s="4" t="s">
        <v>14</v>
      </c>
      <c r="F27" s="4"/>
      <c r="G27" s="4" t="s">
        <v>15</v>
      </c>
      <c r="H27" s="4" t="s">
        <v>33</v>
      </c>
      <c r="I27" s="4" t="s">
        <v>254</v>
      </c>
      <c r="J27" s="4" t="s">
        <v>255</v>
      </c>
      <c r="K27" s="4" t="s">
        <v>256</v>
      </c>
      <c r="L27" s="4" t="s">
        <v>257</v>
      </c>
      <c r="M27" s="4"/>
      <c r="N27" s="4" t="s">
        <v>90</v>
      </c>
      <c r="O27" s="4" t="s">
        <v>91</v>
      </c>
      <c r="P27" s="5">
        <f t="shared" si="0"/>
        <v>1</v>
      </c>
      <c r="Q27" s="5">
        <f t="shared" si="1"/>
        <v>1</v>
      </c>
      <c r="R27" s="5">
        <f t="shared" si="2"/>
        <v>0</v>
      </c>
      <c r="S27" s="5">
        <f t="shared" si="3"/>
        <v>0</v>
      </c>
      <c r="T27" s="5">
        <f t="shared" si="4"/>
        <v>0</v>
      </c>
      <c r="U27" s="5">
        <f t="shared" si="5"/>
        <v>0</v>
      </c>
      <c r="V27" s="5">
        <f t="shared" si="6"/>
        <v>0</v>
      </c>
      <c r="W27" s="5">
        <f t="shared" si="7"/>
        <v>0</v>
      </c>
      <c r="X27" s="5">
        <f t="shared" si="8"/>
        <v>0</v>
      </c>
      <c r="Y27" s="5">
        <f t="shared" si="9"/>
        <v>0</v>
      </c>
      <c r="Z27" s="5">
        <f t="shared" si="10"/>
        <v>0</v>
      </c>
      <c r="AA27" s="5">
        <f t="shared" si="11"/>
        <v>0</v>
      </c>
      <c r="AB27" s="5">
        <f t="shared" si="12"/>
        <v>0</v>
      </c>
      <c r="AC27" s="5">
        <f t="shared" si="13"/>
        <v>0</v>
      </c>
      <c r="AD27" s="5">
        <f t="shared" si="14"/>
        <v>0</v>
      </c>
      <c r="AE27" s="5">
        <f t="shared" si="15"/>
        <v>0</v>
      </c>
      <c r="AF27" s="5">
        <f t="shared" si="16"/>
        <v>1</v>
      </c>
    </row>
    <row r="28" spans="1:32" ht="122.1" customHeight="1">
      <c r="A28" s="4" t="s">
        <v>258</v>
      </c>
      <c r="B28" s="5">
        <v>27</v>
      </c>
      <c r="C28" s="4" t="s">
        <v>40</v>
      </c>
      <c r="D28" s="4" t="s">
        <v>259</v>
      </c>
      <c r="E28" s="4" t="s">
        <v>29</v>
      </c>
      <c r="F28" s="4" t="s">
        <v>17</v>
      </c>
      <c r="G28" s="4" t="s">
        <v>18</v>
      </c>
      <c r="H28" s="4" t="s">
        <v>127</v>
      </c>
      <c r="I28" s="4" t="s">
        <v>260</v>
      </c>
      <c r="J28" s="4" t="s">
        <v>261</v>
      </c>
      <c r="K28" s="4" t="s">
        <v>262</v>
      </c>
      <c r="L28" s="4" t="s">
        <v>263</v>
      </c>
      <c r="M28" s="4"/>
      <c r="N28" s="4" t="s">
        <v>90</v>
      </c>
      <c r="O28" s="4" t="s">
        <v>91</v>
      </c>
      <c r="P28" s="5">
        <f t="shared" si="0"/>
        <v>2</v>
      </c>
      <c r="Q28" s="5">
        <f t="shared" si="1"/>
        <v>0</v>
      </c>
      <c r="R28" s="5">
        <f t="shared" si="2"/>
        <v>1</v>
      </c>
      <c r="S28" s="5">
        <f t="shared" si="3"/>
        <v>0</v>
      </c>
      <c r="T28" s="5">
        <f t="shared" si="4"/>
        <v>0</v>
      </c>
      <c r="U28" s="5">
        <f t="shared" si="5"/>
        <v>0</v>
      </c>
      <c r="V28" s="5">
        <f t="shared" si="6"/>
        <v>1</v>
      </c>
      <c r="W28" s="5">
        <f t="shared" si="7"/>
        <v>0</v>
      </c>
      <c r="X28" s="5">
        <f t="shared" si="8"/>
        <v>0</v>
      </c>
      <c r="Y28" s="5">
        <f t="shared" si="9"/>
        <v>2</v>
      </c>
      <c r="Z28" s="5">
        <f t="shared" si="10"/>
        <v>0</v>
      </c>
      <c r="AA28" s="5">
        <f t="shared" si="11"/>
        <v>0</v>
      </c>
      <c r="AB28" s="5">
        <f t="shared" si="12"/>
        <v>0</v>
      </c>
      <c r="AC28" s="5">
        <f t="shared" si="13"/>
        <v>1</v>
      </c>
      <c r="AD28" s="5">
        <f t="shared" si="14"/>
        <v>0</v>
      </c>
      <c r="AE28" s="5">
        <f t="shared" si="15"/>
        <v>1</v>
      </c>
      <c r="AF28" s="5">
        <f t="shared" si="16"/>
        <v>0</v>
      </c>
    </row>
    <row r="29" spans="1:32" ht="93.95" customHeight="1">
      <c r="A29" s="4" t="s">
        <v>264</v>
      </c>
      <c r="B29" s="5">
        <v>28</v>
      </c>
      <c r="C29" s="4" t="s">
        <v>40</v>
      </c>
      <c r="D29" s="4" t="s">
        <v>265</v>
      </c>
      <c r="E29" s="4" t="s">
        <v>23</v>
      </c>
      <c r="F29" s="4" t="s">
        <v>29</v>
      </c>
      <c r="G29" s="4" t="s">
        <v>24</v>
      </c>
      <c r="H29" s="4" t="s">
        <v>165</v>
      </c>
      <c r="I29" s="4" t="s">
        <v>266</v>
      </c>
      <c r="J29" s="4" t="s">
        <v>267</v>
      </c>
      <c r="K29" s="4" t="s">
        <v>268</v>
      </c>
      <c r="L29" s="4" t="s">
        <v>269</v>
      </c>
      <c r="M29" s="4"/>
      <c r="N29" s="4" t="s">
        <v>90</v>
      </c>
      <c r="O29" s="4" t="s">
        <v>91</v>
      </c>
      <c r="P29" s="5">
        <f t="shared" si="0"/>
        <v>2</v>
      </c>
      <c r="Q29" s="5">
        <f t="shared" si="1"/>
        <v>0</v>
      </c>
      <c r="R29" s="5">
        <f t="shared" si="2"/>
        <v>0</v>
      </c>
      <c r="S29" s="5">
        <f t="shared" si="3"/>
        <v>0</v>
      </c>
      <c r="T29" s="5">
        <f t="shared" si="4"/>
        <v>1</v>
      </c>
      <c r="U29" s="5">
        <f t="shared" si="5"/>
        <v>0</v>
      </c>
      <c r="V29" s="5">
        <f t="shared" si="6"/>
        <v>1</v>
      </c>
      <c r="W29" s="5">
        <f t="shared" si="7"/>
        <v>0</v>
      </c>
      <c r="X29" s="5">
        <f t="shared" si="8"/>
        <v>0</v>
      </c>
      <c r="Y29" s="5">
        <f t="shared" si="9"/>
        <v>2</v>
      </c>
      <c r="Z29" s="5">
        <f t="shared" si="10"/>
        <v>1</v>
      </c>
      <c r="AA29" s="5">
        <f t="shared" si="11"/>
        <v>1</v>
      </c>
      <c r="AB29" s="5">
        <f t="shared" si="12"/>
        <v>0</v>
      </c>
      <c r="AC29" s="5">
        <f t="shared" si="13"/>
        <v>0</v>
      </c>
      <c r="AD29" s="5">
        <f t="shared" si="14"/>
        <v>0</v>
      </c>
      <c r="AE29" s="5">
        <f t="shared" si="15"/>
        <v>0</v>
      </c>
      <c r="AF29" s="5">
        <f t="shared" si="16"/>
        <v>0</v>
      </c>
    </row>
    <row r="30" spans="1:32" ht="122.1" customHeight="1">
      <c r="A30" s="4" t="s">
        <v>270</v>
      </c>
      <c r="B30" s="5">
        <v>29</v>
      </c>
      <c r="C30" s="4" t="s">
        <v>40</v>
      </c>
      <c r="D30" s="4" t="s">
        <v>271</v>
      </c>
      <c r="E30" s="4" t="s">
        <v>23</v>
      </c>
      <c r="F30" s="4" t="s">
        <v>272</v>
      </c>
      <c r="G30" s="4" t="s">
        <v>24</v>
      </c>
      <c r="H30" s="4" t="s">
        <v>273</v>
      </c>
      <c r="I30" s="4" t="s">
        <v>274</v>
      </c>
      <c r="J30" s="4" t="s">
        <v>275</v>
      </c>
      <c r="K30" s="4" t="s">
        <v>276</v>
      </c>
      <c r="L30" s="4" t="s">
        <v>277</v>
      </c>
      <c r="M30" s="4"/>
      <c r="N30" s="4" t="s">
        <v>90</v>
      </c>
      <c r="O30" s="4" t="s">
        <v>91</v>
      </c>
      <c r="P30" s="5">
        <f t="shared" si="0"/>
        <v>3</v>
      </c>
      <c r="Q30" s="5">
        <f t="shared" si="1"/>
        <v>0</v>
      </c>
      <c r="R30" s="5">
        <f t="shared" si="2"/>
        <v>1</v>
      </c>
      <c r="S30" s="5">
        <f t="shared" si="3"/>
        <v>0</v>
      </c>
      <c r="T30" s="5">
        <f t="shared" si="4"/>
        <v>1</v>
      </c>
      <c r="U30" s="5">
        <f t="shared" si="5"/>
        <v>1</v>
      </c>
      <c r="V30" s="5">
        <f t="shared" si="6"/>
        <v>0</v>
      </c>
      <c r="W30" s="5">
        <f t="shared" si="7"/>
        <v>0</v>
      </c>
      <c r="X30" s="5">
        <f t="shared" si="8"/>
        <v>0</v>
      </c>
      <c r="Y30" s="5">
        <f t="shared" si="9"/>
        <v>3</v>
      </c>
      <c r="Z30" s="5">
        <f t="shared" si="10"/>
        <v>1</v>
      </c>
      <c r="AA30" s="5">
        <f t="shared" si="11"/>
        <v>1</v>
      </c>
      <c r="AB30" s="5">
        <f t="shared" si="12"/>
        <v>0</v>
      </c>
      <c r="AC30" s="5">
        <f t="shared" si="13"/>
        <v>0</v>
      </c>
      <c r="AD30" s="5">
        <f t="shared" si="14"/>
        <v>0</v>
      </c>
      <c r="AE30" s="5">
        <f t="shared" si="15"/>
        <v>1</v>
      </c>
      <c r="AF30" s="5">
        <f t="shared" si="16"/>
        <v>0</v>
      </c>
    </row>
    <row r="31" spans="1:32" ht="75.95" customHeight="1">
      <c r="A31" s="4" t="s">
        <v>278</v>
      </c>
      <c r="B31" s="5">
        <v>30</v>
      </c>
      <c r="C31" s="4" t="s">
        <v>40</v>
      </c>
      <c r="D31" s="4" t="s">
        <v>279</v>
      </c>
      <c r="E31" s="4" t="s">
        <v>17</v>
      </c>
      <c r="F31" s="4" t="s">
        <v>29</v>
      </c>
      <c r="G31" s="4" t="s">
        <v>18</v>
      </c>
      <c r="H31" s="4" t="s">
        <v>30</v>
      </c>
      <c r="I31" s="4" t="s">
        <v>280</v>
      </c>
      <c r="J31" s="4" t="s">
        <v>281</v>
      </c>
      <c r="K31" s="4" t="s">
        <v>282</v>
      </c>
      <c r="L31" s="4" t="s">
        <v>283</v>
      </c>
      <c r="M31" s="4"/>
      <c r="N31" s="4" t="s">
        <v>90</v>
      </c>
      <c r="O31" s="4" t="s">
        <v>91</v>
      </c>
      <c r="P31" s="5">
        <f t="shared" si="0"/>
        <v>2</v>
      </c>
      <c r="Q31" s="5">
        <f t="shared" si="1"/>
        <v>0</v>
      </c>
      <c r="R31" s="5">
        <f t="shared" si="2"/>
        <v>1</v>
      </c>
      <c r="S31" s="5">
        <f t="shared" si="3"/>
        <v>0</v>
      </c>
      <c r="T31" s="5">
        <f t="shared" si="4"/>
        <v>0</v>
      </c>
      <c r="U31" s="5">
        <f t="shared" si="5"/>
        <v>0</v>
      </c>
      <c r="V31" s="5">
        <f t="shared" si="6"/>
        <v>1</v>
      </c>
      <c r="W31" s="5">
        <f t="shared" si="7"/>
        <v>0</v>
      </c>
      <c r="X31" s="5">
        <f t="shared" si="8"/>
        <v>0</v>
      </c>
      <c r="Y31" s="5">
        <f t="shared" si="9"/>
        <v>1</v>
      </c>
      <c r="Z31" s="5">
        <f t="shared" si="10"/>
        <v>0</v>
      </c>
      <c r="AA31" s="5">
        <f t="shared" si="11"/>
        <v>0</v>
      </c>
      <c r="AB31" s="5">
        <f t="shared" si="12"/>
        <v>0</v>
      </c>
      <c r="AC31" s="5">
        <f t="shared" si="13"/>
        <v>0</v>
      </c>
      <c r="AD31" s="5">
        <f t="shared" si="14"/>
        <v>0</v>
      </c>
      <c r="AE31" s="5">
        <f t="shared" si="15"/>
        <v>1</v>
      </c>
      <c r="AF31" s="5">
        <f t="shared" si="16"/>
        <v>0</v>
      </c>
    </row>
    <row r="32" spans="1:32" ht="75.95" customHeight="1">
      <c r="A32" s="4" t="s">
        <v>284</v>
      </c>
      <c r="B32" s="5">
        <v>31</v>
      </c>
      <c r="C32" s="4" t="s">
        <v>40</v>
      </c>
      <c r="D32" s="4" t="s">
        <v>285</v>
      </c>
      <c r="E32" s="4" t="s">
        <v>29</v>
      </c>
      <c r="F32" s="4" t="s">
        <v>17</v>
      </c>
      <c r="G32" s="4" t="s">
        <v>18</v>
      </c>
      <c r="H32" s="4" t="s">
        <v>25</v>
      </c>
      <c r="I32" s="4" t="s">
        <v>286</v>
      </c>
      <c r="J32" s="4" t="s">
        <v>287</v>
      </c>
      <c r="K32" s="4" t="s">
        <v>288</v>
      </c>
      <c r="L32" s="4" t="s">
        <v>289</v>
      </c>
      <c r="M32" s="4"/>
      <c r="N32" s="4" t="s">
        <v>90</v>
      </c>
      <c r="O32" s="4" t="s">
        <v>91</v>
      </c>
      <c r="P32" s="5">
        <f t="shared" si="0"/>
        <v>2</v>
      </c>
      <c r="Q32" s="5">
        <f t="shared" si="1"/>
        <v>0</v>
      </c>
      <c r="R32" s="5">
        <f t="shared" si="2"/>
        <v>1</v>
      </c>
      <c r="S32" s="5">
        <f t="shared" si="3"/>
        <v>0</v>
      </c>
      <c r="T32" s="5">
        <f t="shared" si="4"/>
        <v>0</v>
      </c>
      <c r="U32" s="5">
        <f t="shared" si="5"/>
        <v>0</v>
      </c>
      <c r="V32" s="5">
        <f t="shared" si="6"/>
        <v>1</v>
      </c>
      <c r="W32" s="5">
        <f t="shared" si="7"/>
        <v>0</v>
      </c>
      <c r="X32" s="5">
        <f t="shared" si="8"/>
        <v>0</v>
      </c>
      <c r="Y32" s="5">
        <f t="shared" si="9"/>
        <v>1</v>
      </c>
      <c r="Z32" s="5">
        <f t="shared" si="10"/>
        <v>0</v>
      </c>
      <c r="AA32" s="5">
        <f t="shared" si="11"/>
        <v>0</v>
      </c>
      <c r="AB32" s="5">
        <f t="shared" si="12"/>
        <v>0</v>
      </c>
      <c r="AC32" s="5">
        <f t="shared" si="13"/>
        <v>1</v>
      </c>
      <c r="AD32" s="5">
        <f t="shared" si="14"/>
        <v>0</v>
      </c>
      <c r="AE32" s="5">
        <f t="shared" si="15"/>
        <v>0</v>
      </c>
      <c r="AF32" s="5">
        <f t="shared" si="16"/>
        <v>0</v>
      </c>
    </row>
    <row r="33" spans="1:32" ht="122.1" customHeight="1">
      <c r="A33" s="4" t="s">
        <v>290</v>
      </c>
      <c r="B33" s="5">
        <v>32</v>
      </c>
      <c r="C33" s="4" t="s">
        <v>40</v>
      </c>
      <c r="D33" s="4" t="s">
        <v>291</v>
      </c>
      <c r="E33" s="4" t="s">
        <v>29</v>
      </c>
      <c r="F33" s="4" t="s">
        <v>17</v>
      </c>
      <c r="G33" s="4" t="s">
        <v>18</v>
      </c>
      <c r="H33" s="4" t="s">
        <v>292</v>
      </c>
      <c r="I33" s="4" t="s">
        <v>293</v>
      </c>
      <c r="J33" s="4" t="s">
        <v>294</v>
      </c>
      <c r="K33" s="4" t="s">
        <v>295</v>
      </c>
      <c r="L33" s="4" t="s">
        <v>296</v>
      </c>
      <c r="M33" s="4"/>
      <c r="N33" s="4" t="s">
        <v>90</v>
      </c>
      <c r="O33" s="4" t="s">
        <v>91</v>
      </c>
      <c r="P33" s="5">
        <f t="shared" si="0"/>
        <v>2</v>
      </c>
      <c r="Q33" s="5">
        <f t="shared" si="1"/>
        <v>0</v>
      </c>
      <c r="R33" s="5">
        <f t="shared" si="2"/>
        <v>1</v>
      </c>
      <c r="S33" s="5">
        <f t="shared" si="3"/>
        <v>0</v>
      </c>
      <c r="T33" s="5">
        <f t="shared" si="4"/>
        <v>0</v>
      </c>
      <c r="U33" s="5">
        <f t="shared" si="5"/>
        <v>0</v>
      </c>
      <c r="V33" s="5">
        <f t="shared" si="6"/>
        <v>1</v>
      </c>
      <c r="W33" s="5">
        <f t="shared" si="7"/>
        <v>0</v>
      </c>
      <c r="X33" s="5">
        <f t="shared" si="8"/>
        <v>0</v>
      </c>
      <c r="Y33" s="5">
        <f t="shared" si="9"/>
        <v>2</v>
      </c>
      <c r="Z33" s="5">
        <f t="shared" si="10"/>
        <v>0</v>
      </c>
      <c r="AA33" s="5">
        <f t="shared" si="11"/>
        <v>0</v>
      </c>
      <c r="AB33" s="5">
        <f t="shared" si="12"/>
        <v>1</v>
      </c>
      <c r="AC33" s="5">
        <f t="shared" si="13"/>
        <v>1</v>
      </c>
      <c r="AD33" s="5">
        <f t="shared" si="14"/>
        <v>0</v>
      </c>
      <c r="AE33" s="5">
        <f t="shared" si="15"/>
        <v>0</v>
      </c>
      <c r="AF33" s="5">
        <f t="shared" si="16"/>
        <v>0</v>
      </c>
    </row>
    <row r="34" spans="1:32" ht="122.1" customHeight="1">
      <c r="A34" s="4" t="s">
        <v>297</v>
      </c>
      <c r="B34" s="5">
        <v>33</v>
      </c>
      <c r="C34" s="4" t="s">
        <v>40</v>
      </c>
      <c r="D34" s="4" t="s">
        <v>298</v>
      </c>
      <c r="E34" s="4" t="s">
        <v>17</v>
      </c>
      <c r="F34" s="4"/>
      <c r="G34" s="4" t="s">
        <v>18</v>
      </c>
      <c r="H34" s="4" t="s">
        <v>104</v>
      </c>
      <c r="I34" s="4" t="s">
        <v>299</v>
      </c>
      <c r="J34" s="4" t="s">
        <v>300</v>
      </c>
      <c r="K34" s="4" t="s">
        <v>301</v>
      </c>
      <c r="L34" s="4" t="s">
        <v>302</v>
      </c>
      <c r="M34" s="4"/>
      <c r="N34" s="4" t="s">
        <v>90</v>
      </c>
      <c r="O34" s="4" t="s">
        <v>91</v>
      </c>
      <c r="P34" s="5">
        <f t="shared" ref="P34:P65" si="17">SUM(Q34:X34)</f>
        <v>1</v>
      </c>
      <c r="Q34" s="5">
        <f t="shared" ref="Q34:Q65" si="18">IF(OR(E34="Delegation",ISNUMBER(SEARCH("; Delegation; ","; "&amp;F34&amp;"; "))),1,0)</f>
        <v>0</v>
      </c>
      <c r="R34" s="5">
        <f t="shared" ref="R34:R65" si="19">IF(OR(E34="Directed delegation",ISNUMBER(SEARCH("; Directed delegation; ","; "&amp;F34&amp;"; "))),1,0)</f>
        <v>1</v>
      </c>
      <c r="S34" s="5">
        <f t="shared" ref="S34:S65" si="20">IF(OR(E34="Evaluation",ISNUMBER(SEARCH("; Evaluation; ","; "&amp;F34&amp;"; "))),1,0)</f>
        <v>0</v>
      </c>
      <c r="T34" s="5">
        <f t="shared" ref="T34:T65" si="21">IF(OR(E34="Correction/Challenge",ISNUMBER(SEARCH("; Correction/Challenge; ","; "&amp;F34&amp;"; "))),1,0)</f>
        <v>0</v>
      </c>
      <c r="U34" s="5">
        <f t="shared" ref="U34:U65" si="22">IF(OR(E34="Redirection",ISNUMBER(SEARCH("; Redirection; ","; "&amp;F34&amp;"; "))),1,0)</f>
        <v>0</v>
      </c>
      <c r="V34" s="5">
        <f t="shared" ref="V34:V65" si="23">IF(OR(E34="Knowledge injection",ISNUMBER(SEARCH("; Knowledge injection; ","; "&amp;F34&amp;"; "))),1,0)</f>
        <v>0</v>
      </c>
      <c r="W34" s="5">
        <f t="shared" ref="W34:W65" si="24">IF(OR(E34="Selection/Rejection",ISNUMBER(SEARCH("; Selection/Rejection; ","; "&amp;F34&amp;"; "))),1,0)</f>
        <v>0</v>
      </c>
      <c r="X34" s="5">
        <f t="shared" ref="X34:X65" si="25">IF(OR(E34="Deliberation",ISNUMBER(SEARCH("; Deliberation; ","; "&amp;F34&amp;"; "))),1,0)</f>
        <v>0</v>
      </c>
      <c r="Y34" s="5">
        <f t="shared" ref="Y34:Y65" si="26">SUM(Z34:AE34)</f>
        <v>2</v>
      </c>
      <c r="Z34" s="5">
        <f t="shared" ref="Z34:Z65" si="27">IF(ISNUMBER(SEARCH("; domain correction; ","; "&amp;H34&amp;"; ")),1,0)</f>
        <v>0</v>
      </c>
      <c r="AA34" s="5">
        <f t="shared" ref="AA34:AA65" si="28">IF(ISNUMBER(SEARCH("; conceptual discrimination; ","; "&amp;H34&amp;"; ")),1,0)</f>
        <v>0</v>
      </c>
      <c r="AB34" s="5">
        <f t="shared" ref="AB34:AB65" si="29">IF(ISNUMBER(SEARCH("; evidence judgment; ","; "&amp;H34&amp;"; ")),1,0)</f>
        <v>1</v>
      </c>
      <c r="AC34" s="5">
        <f t="shared" ref="AC34:AC65" si="30">IF(ISNUMBER(SEARCH("; methodological judgment; ","; "&amp;H34&amp;"; ")),1,0)</f>
        <v>0</v>
      </c>
      <c r="AD34" s="5">
        <f t="shared" ref="AD34:AD65" si="31">IF(ISNUMBER(SEARCH("; argumentative judgment; ","; "&amp;H34&amp;"; ")),1,0)</f>
        <v>0</v>
      </c>
      <c r="AE34" s="5">
        <f t="shared" ref="AE34:AE65" si="32">IF(ISNUMBER(SEARCH("; genre/writing expertise; ","; "&amp;H34&amp;"; ")),1,0)</f>
        <v>1</v>
      </c>
      <c r="AF34" s="5">
        <f t="shared" ref="AF34:AF65" si="33">IF(ISNUMBER(SEARCH("; none; ","; "&amp;H34&amp;"; ")),1,0)</f>
        <v>0</v>
      </c>
    </row>
    <row r="35" spans="1:32" ht="75.95" customHeight="1">
      <c r="A35" s="4" t="s">
        <v>303</v>
      </c>
      <c r="B35" s="5">
        <v>34</v>
      </c>
      <c r="C35" s="4" t="s">
        <v>40</v>
      </c>
      <c r="D35" s="4" t="s">
        <v>304</v>
      </c>
      <c r="E35" s="4" t="s">
        <v>20</v>
      </c>
      <c r="F35" s="4"/>
      <c r="G35" s="4" t="s">
        <v>21</v>
      </c>
      <c r="H35" s="4" t="s">
        <v>33</v>
      </c>
      <c r="I35" s="4" t="s">
        <v>305</v>
      </c>
      <c r="J35" s="4" t="s">
        <v>306</v>
      </c>
      <c r="K35" s="4" t="s">
        <v>307</v>
      </c>
      <c r="L35" s="4" t="s">
        <v>308</v>
      </c>
      <c r="M35" s="4"/>
      <c r="N35" s="4" t="s">
        <v>90</v>
      </c>
      <c r="O35" s="4" t="s">
        <v>309</v>
      </c>
      <c r="P35" s="5">
        <f t="shared" si="17"/>
        <v>1</v>
      </c>
      <c r="Q35" s="5">
        <f t="shared" si="18"/>
        <v>0</v>
      </c>
      <c r="R35" s="5">
        <f t="shared" si="19"/>
        <v>0</v>
      </c>
      <c r="S35" s="5">
        <f t="shared" si="20"/>
        <v>1</v>
      </c>
      <c r="T35" s="5">
        <f t="shared" si="21"/>
        <v>0</v>
      </c>
      <c r="U35" s="5">
        <f t="shared" si="22"/>
        <v>0</v>
      </c>
      <c r="V35" s="5">
        <f t="shared" si="23"/>
        <v>0</v>
      </c>
      <c r="W35" s="5">
        <f t="shared" si="24"/>
        <v>0</v>
      </c>
      <c r="X35" s="5">
        <f t="shared" si="25"/>
        <v>0</v>
      </c>
      <c r="Y35" s="5">
        <f t="shared" si="26"/>
        <v>0</v>
      </c>
      <c r="Z35" s="5">
        <f t="shared" si="27"/>
        <v>0</v>
      </c>
      <c r="AA35" s="5">
        <f t="shared" si="28"/>
        <v>0</v>
      </c>
      <c r="AB35" s="5">
        <f t="shared" si="29"/>
        <v>0</v>
      </c>
      <c r="AC35" s="5">
        <f t="shared" si="30"/>
        <v>0</v>
      </c>
      <c r="AD35" s="5">
        <f t="shared" si="31"/>
        <v>0</v>
      </c>
      <c r="AE35" s="5">
        <f t="shared" si="32"/>
        <v>0</v>
      </c>
      <c r="AF35" s="5">
        <f t="shared" si="33"/>
        <v>1</v>
      </c>
    </row>
    <row r="36" spans="1:32" ht="122.1" customHeight="1">
      <c r="A36" s="4" t="s">
        <v>310</v>
      </c>
      <c r="B36" s="5">
        <v>35</v>
      </c>
      <c r="C36" s="4" t="s">
        <v>40</v>
      </c>
      <c r="D36" s="4" t="s">
        <v>311</v>
      </c>
      <c r="E36" s="4" t="s">
        <v>17</v>
      </c>
      <c r="F36" s="4"/>
      <c r="G36" s="4" t="s">
        <v>18</v>
      </c>
      <c r="H36" s="4" t="s">
        <v>30</v>
      </c>
      <c r="I36" s="4" t="s">
        <v>312</v>
      </c>
      <c r="J36" s="4" t="s">
        <v>255</v>
      </c>
      <c r="K36" s="4" t="s">
        <v>313</v>
      </c>
      <c r="L36" s="4" t="s">
        <v>314</v>
      </c>
      <c r="M36" s="4"/>
      <c r="N36" s="4" t="s">
        <v>90</v>
      </c>
      <c r="O36" s="4" t="s">
        <v>91</v>
      </c>
      <c r="P36" s="5">
        <f t="shared" si="17"/>
        <v>1</v>
      </c>
      <c r="Q36" s="5">
        <f t="shared" si="18"/>
        <v>0</v>
      </c>
      <c r="R36" s="5">
        <f t="shared" si="19"/>
        <v>1</v>
      </c>
      <c r="S36" s="5">
        <f t="shared" si="20"/>
        <v>0</v>
      </c>
      <c r="T36" s="5">
        <f t="shared" si="21"/>
        <v>0</v>
      </c>
      <c r="U36" s="5">
        <f t="shared" si="22"/>
        <v>0</v>
      </c>
      <c r="V36" s="5">
        <f t="shared" si="23"/>
        <v>0</v>
      </c>
      <c r="W36" s="5">
        <f t="shared" si="24"/>
        <v>0</v>
      </c>
      <c r="X36" s="5">
        <f t="shared" si="25"/>
        <v>0</v>
      </c>
      <c r="Y36" s="5">
        <f t="shared" si="26"/>
        <v>1</v>
      </c>
      <c r="Z36" s="5">
        <f t="shared" si="27"/>
        <v>0</v>
      </c>
      <c r="AA36" s="5">
        <f t="shared" si="28"/>
        <v>0</v>
      </c>
      <c r="AB36" s="5">
        <f t="shared" si="29"/>
        <v>0</v>
      </c>
      <c r="AC36" s="5">
        <f t="shared" si="30"/>
        <v>0</v>
      </c>
      <c r="AD36" s="5">
        <f t="shared" si="31"/>
        <v>0</v>
      </c>
      <c r="AE36" s="5">
        <f t="shared" si="32"/>
        <v>1</v>
      </c>
      <c r="AF36" s="5">
        <f t="shared" si="33"/>
        <v>0</v>
      </c>
    </row>
    <row r="37" spans="1:32" ht="75.95" customHeight="1">
      <c r="A37" s="4" t="s">
        <v>315</v>
      </c>
      <c r="B37" s="5">
        <v>36</v>
      </c>
      <c r="C37" s="4" t="s">
        <v>40</v>
      </c>
      <c r="D37" s="4" t="s">
        <v>316</v>
      </c>
      <c r="E37" s="4" t="s">
        <v>26</v>
      </c>
      <c r="F37" s="4" t="s">
        <v>17</v>
      </c>
      <c r="G37" s="4" t="s">
        <v>18</v>
      </c>
      <c r="H37" s="4" t="s">
        <v>30</v>
      </c>
      <c r="I37" s="4" t="s">
        <v>317</v>
      </c>
      <c r="J37" s="4" t="s">
        <v>318</v>
      </c>
      <c r="K37" s="4" t="s">
        <v>319</v>
      </c>
      <c r="L37" s="4" t="s">
        <v>320</v>
      </c>
      <c r="M37" s="4"/>
      <c r="N37" s="4" t="s">
        <v>90</v>
      </c>
      <c r="O37" s="4" t="s">
        <v>91</v>
      </c>
      <c r="P37" s="5">
        <f t="shared" si="17"/>
        <v>2</v>
      </c>
      <c r="Q37" s="5">
        <f t="shared" si="18"/>
        <v>0</v>
      </c>
      <c r="R37" s="5">
        <f t="shared" si="19"/>
        <v>1</v>
      </c>
      <c r="S37" s="5">
        <f t="shared" si="20"/>
        <v>0</v>
      </c>
      <c r="T37" s="5">
        <f t="shared" si="21"/>
        <v>0</v>
      </c>
      <c r="U37" s="5">
        <f t="shared" si="22"/>
        <v>1</v>
      </c>
      <c r="V37" s="5">
        <f t="shared" si="23"/>
        <v>0</v>
      </c>
      <c r="W37" s="5">
        <f t="shared" si="24"/>
        <v>0</v>
      </c>
      <c r="X37" s="5">
        <f t="shared" si="25"/>
        <v>0</v>
      </c>
      <c r="Y37" s="5">
        <f t="shared" si="26"/>
        <v>1</v>
      </c>
      <c r="Z37" s="5">
        <f t="shared" si="27"/>
        <v>0</v>
      </c>
      <c r="AA37" s="5">
        <f t="shared" si="28"/>
        <v>0</v>
      </c>
      <c r="AB37" s="5">
        <f t="shared" si="29"/>
        <v>0</v>
      </c>
      <c r="AC37" s="5">
        <f t="shared" si="30"/>
        <v>0</v>
      </c>
      <c r="AD37" s="5">
        <f t="shared" si="31"/>
        <v>0</v>
      </c>
      <c r="AE37" s="5">
        <f t="shared" si="32"/>
        <v>1</v>
      </c>
      <c r="AF37" s="5">
        <f t="shared" si="33"/>
        <v>0</v>
      </c>
    </row>
    <row r="38" spans="1:32" ht="122.1" customHeight="1">
      <c r="A38" s="4" t="s">
        <v>321</v>
      </c>
      <c r="B38" s="5">
        <v>37</v>
      </c>
      <c r="C38" s="4" t="s">
        <v>40</v>
      </c>
      <c r="D38" s="4" t="s">
        <v>322</v>
      </c>
      <c r="E38" s="4" t="s">
        <v>29</v>
      </c>
      <c r="F38" s="4" t="s">
        <v>17</v>
      </c>
      <c r="G38" s="4" t="s">
        <v>18</v>
      </c>
      <c r="H38" s="4" t="s">
        <v>25</v>
      </c>
      <c r="I38" s="4" t="s">
        <v>323</v>
      </c>
      <c r="J38" s="4" t="s">
        <v>324</v>
      </c>
      <c r="K38" s="4" t="s">
        <v>325</v>
      </c>
      <c r="L38" s="4" t="s">
        <v>326</v>
      </c>
      <c r="M38" s="4"/>
      <c r="N38" s="4" t="s">
        <v>90</v>
      </c>
      <c r="O38" s="4" t="s">
        <v>91</v>
      </c>
      <c r="P38" s="5">
        <f t="shared" si="17"/>
        <v>2</v>
      </c>
      <c r="Q38" s="5">
        <f t="shared" si="18"/>
        <v>0</v>
      </c>
      <c r="R38" s="5">
        <f t="shared" si="19"/>
        <v>1</v>
      </c>
      <c r="S38" s="5">
        <f t="shared" si="20"/>
        <v>0</v>
      </c>
      <c r="T38" s="5">
        <f t="shared" si="21"/>
        <v>0</v>
      </c>
      <c r="U38" s="5">
        <f t="shared" si="22"/>
        <v>0</v>
      </c>
      <c r="V38" s="5">
        <f t="shared" si="23"/>
        <v>1</v>
      </c>
      <c r="W38" s="5">
        <f t="shared" si="24"/>
        <v>0</v>
      </c>
      <c r="X38" s="5">
        <f t="shared" si="25"/>
        <v>0</v>
      </c>
      <c r="Y38" s="5">
        <f t="shared" si="26"/>
        <v>1</v>
      </c>
      <c r="Z38" s="5">
        <f t="shared" si="27"/>
        <v>0</v>
      </c>
      <c r="AA38" s="5">
        <f t="shared" si="28"/>
        <v>0</v>
      </c>
      <c r="AB38" s="5">
        <f t="shared" si="29"/>
        <v>0</v>
      </c>
      <c r="AC38" s="5">
        <f t="shared" si="30"/>
        <v>1</v>
      </c>
      <c r="AD38" s="5">
        <f t="shared" si="31"/>
        <v>0</v>
      </c>
      <c r="AE38" s="5">
        <f t="shared" si="32"/>
        <v>0</v>
      </c>
      <c r="AF38" s="5">
        <f t="shared" si="33"/>
        <v>0</v>
      </c>
    </row>
    <row r="39" spans="1:32" ht="75.95" customHeight="1">
      <c r="A39" s="4" t="s">
        <v>327</v>
      </c>
      <c r="B39" s="5">
        <v>38</v>
      </c>
      <c r="C39" s="4" t="s">
        <v>40</v>
      </c>
      <c r="D39" s="4" t="s">
        <v>328</v>
      </c>
      <c r="E39" s="4" t="s">
        <v>23</v>
      </c>
      <c r="F39" s="4" t="s">
        <v>26</v>
      </c>
      <c r="G39" s="4" t="s">
        <v>24</v>
      </c>
      <c r="H39" s="4" t="s">
        <v>25</v>
      </c>
      <c r="I39" s="4" t="s">
        <v>329</v>
      </c>
      <c r="J39" s="4" t="s">
        <v>330</v>
      </c>
      <c r="K39" s="4" t="s">
        <v>331</v>
      </c>
      <c r="L39" s="4" t="s">
        <v>332</v>
      </c>
      <c r="M39" s="4"/>
      <c r="N39" s="4" t="s">
        <v>90</v>
      </c>
      <c r="O39" s="4" t="s">
        <v>91</v>
      </c>
      <c r="P39" s="5">
        <f t="shared" si="17"/>
        <v>2</v>
      </c>
      <c r="Q39" s="5">
        <f t="shared" si="18"/>
        <v>0</v>
      </c>
      <c r="R39" s="5">
        <f t="shared" si="19"/>
        <v>0</v>
      </c>
      <c r="S39" s="5">
        <f t="shared" si="20"/>
        <v>0</v>
      </c>
      <c r="T39" s="5">
        <f t="shared" si="21"/>
        <v>1</v>
      </c>
      <c r="U39" s="5">
        <f t="shared" si="22"/>
        <v>1</v>
      </c>
      <c r="V39" s="5">
        <f t="shared" si="23"/>
        <v>0</v>
      </c>
      <c r="W39" s="5">
        <f t="shared" si="24"/>
        <v>0</v>
      </c>
      <c r="X39" s="5">
        <f t="shared" si="25"/>
        <v>0</v>
      </c>
      <c r="Y39" s="5">
        <f t="shared" si="26"/>
        <v>1</v>
      </c>
      <c r="Z39" s="5">
        <f t="shared" si="27"/>
        <v>0</v>
      </c>
      <c r="AA39" s="5">
        <f t="shared" si="28"/>
        <v>0</v>
      </c>
      <c r="AB39" s="5">
        <f t="shared" si="29"/>
        <v>0</v>
      </c>
      <c r="AC39" s="5">
        <f t="shared" si="30"/>
        <v>1</v>
      </c>
      <c r="AD39" s="5">
        <f t="shared" si="31"/>
        <v>0</v>
      </c>
      <c r="AE39" s="5">
        <f t="shared" si="32"/>
        <v>0</v>
      </c>
      <c r="AF39" s="5">
        <f t="shared" si="33"/>
        <v>0</v>
      </c>
    </row>
    <row r="40" spans="1:32" ht="122.1" customHeight="1">
      <c r="A40" s="4" t="s">
        <v>333</v>
      </c>
      <c r="B40" s="5">
        <v>39</v>
      </c>
      <c r="C40" s="4" t="s">
        <v>40</v>
      </c>
      <c r="D40" s="4" t="s">
        <v>334</v>
      </c>
      <c r="E40" s="4" t="s">
        <v>17</v>
      </c>
      <c r="F40" s="4" t="s">
        <v>29</v>
      </c>
      <c r="G40" s="4" t="s">
        <v>18</v>
      </c>
      <c r="H40" s="4" t="s">
        <v>335</v>
      </c>
      <c r="I40" s="4" t="s">
        <v>336</v>
      </c>
      <c r="J40" s="4" t="s">
        <v>337</v>
      </c>
      <c r="K40" s="4" t="s">
        <v>338</v>
      </c>
      <c r="L40" s="4" t="s">
        <v>339</v>
      </c>
      <c r="M40" s="4" t="s">
        <v>340</v>
      </c>
      <c r="N40" s="4" t="s">
        <v>90</v>
      </c>
      <c r="O40" s="4" t="s">
        <v>91</v>
      </c>
      <c r="P40" s="5">
        <f t="shared" si="17"/>
        <v>2</v>
      </c>
      <c r="Q40" s="5">
        <f t="shared" si="18"/>
        <v>0</v>
      </c>
      <c r="R40" s="5">
        <f t="shared" si="19"/>
        <v>1</v>
      </c>
      <c r="S40" s="5">
        <f t="shared" si="20"/>
        <v>0</v>
      </c>
      <c r="T40" s="5">
        <f t="shared" si="21"/>
        <v>0</v>
      </c>
      <c r="U40" s="5">
        <f t="shared" si="22"/>
        <v>0</v>
      </c>
      <c r="V40" s="5">
        <f t="shared" si="23"/>
        <v>1</v>
      </c>
      <c r="W40" s="5">
        <f t="shared" si="24"/>
        <v>0</v>
      </c>
      <c r="X40" s="5">
        <f t="shared" si="25"/>
        <v>0</v>
      </c>
      <c r="Y40" s="5">
        <f t="shared" si="26"/>
        <v>3</v>
      </c>
      <c r="Z40" s="5">
        <f t="shared" si="27"/>
        <v>0</v>
      </c>
      <c r="AA40" s="5">
        <f t="shared" si="28"/>
        <v>0</v>
      </c>
      <c r="AB40" s="5">
        <f t="shared" si="29"/>
        <v>1</v>
      </c>
      <c r="AC40" s="5">
        <f t="shared" si="30"/>
        <v>1</v>
      </c>
      <c r="AD40" s="5">
        <f t="shared" si="31"/>
        <v>0</v>
      </c>
      <c r="AE40" s="5">
        <f t="shared" si="32"/>
        <v>1</v>
      </c>
      <c r="AF40" s="5">
        <f t="shared" si="33"/>
        <v>0</v>
      </c>
    </row>
    <row r="41" spans="1:32" ht="75.95" customHeight="1">
      <c r="A41" s="4" t="s">
        <v>341</v>
      </c>
      <c r="B41" s="5">
        <v>40</v>
      </c>
      <c r="C41" s="4" t="s">
        <v>40</v>
      </c>
      <c r="D41" s="4" t="s">
        <v>342</v>
      </c>
      <c r="E41" s="4" t="s">
        <v>23</v>
      </c>
      <c r="F41" s="4" t="s">
        <v>29</v>
      </c>
      <c r="G41" s="4" t="s">
        <v>24</v>
      </c>
      <c r="H41" s="4" t="s">
        <v>25</v>
      </c>
      <c r="I41" s="4" t="s">
        <v>343</v>
      </c>
      <c r="J41" s="4" t="s">
        <v>344</v>
      </c>
      <c r="K41" s="4" t="s">
        <v>345</v>
      </c>
      <c r="L41" s="4" t="s">
        <v>346</v>
      </c>
      <c r="M41" s="4"/>
      <c r="N41" s="4" t="s">
        <v>90</v>
      </c>
      <c r="O41" s="4" t="s">
        <v>91</v>
      </c>
      <c r="P41" s="5">
        <f t="shared" si="17"/>
        <v>2</v>
      </c>
      <c r="Q41" s="5">
        <f t="shared" si="18"/>
        <v>0</v>
      </c>
      <c r="R41" s="5">
        <f t="shared" si="19"/>
        <v>0</v>
      </c>
      <c r="S41" s="5">
        <f t="shared" si="20"/>
        <v>0</v>
      </c>
      <c r="T41" s="5">
        <f t="shared" si="21"/>
        <v>1</v>
      </c>
      <c r="U41" s="5">
        <f t="shared" si="22"/>
        <v>0</v>
      </c>
      <c r="V41" s="5">
        <f t="shared" si="23"/>
        <v>1</v>
      </c>
      <c r="W41" s="5">
        <f t="shared" si="24"/>
        <v>0</v>
      </c>
      <c r="X41" s="5">
        <f t="shared" si="25"/>
        <v>0</v>
      </c>
      <c r="Y41" s="5">
        <f t="shared" si="26"/>
        <v>1</v>
      </c>
      <c r="Z41" s="5">
        <f t="shared" si="27"/>
        <v>0</v>
      </c>
      <c r="AA41" s="5">
        <f t="shared" si="28"/>
        <v>0</v>
      </c>
      <c r="AB41" s="5">
        <f t="shared" si="29"/>
        <v>0</v>
      </c>
      <c r="AC41" s="5">
        <f t="shared" si="30"/>
        <v>1</v>
      </c>
      <c r="AD41" s="5">
        <f t="shared" si="31"/>
        <v>0</v>
      </c>
      <c r="AE41" s="5">
        <f t="shared" si="32"/>
        <v>0</v>
      </c>
      <c r="AF41" s="5">
        <f t="shared" si="33"/>
        <v>0</v>
      </c>
    </row>
    <row r="42" spans="1:32" ht="75.95" customHeight="1">
      <c r="A42" s="4" t="s">
        <v>347</v>
      </c>
      <c r="B42" s="5">
        <v>41</v>
      </c>
      <c r="C42" s="4" t="s">
        <v>40</v>
      </c>
      <c r="D42" s="4" t="s">
        <v>348</v>
      </c>
      <c r="E42" s="4" t="s">
        <v>29</v>
      </c>
      <c r="F42" s="4" t="s">
        <v>17</v>
      </c>
      <c r="G42" s="4" t="s">
        <v>18</v>
      </c>
      <c r="H42" s="4" t="s">
        <v>292</v>
      </c>
      <c r="I42" s="4" t="s">
        <v>349</v>
      </c>
      <c r="J42" s="4" t="s">
        <v>350</v>
      </c>
      <c r="K42" s="4" t="s">
        <v>351</v>
      </c>
      <c r="L42" s="4" t="s">
        <v>352</v>
      </c>
      <c r="M42" s="4"/>
      <c r="N42" s="4" t="s">
        <v>90</v>
      </c>
      <c r="O42" s="4" t="s">
        <v>91</v>
      </c>
      <c r="P42" s="5">
        <f t="shared" si="17"/>
        <v>2</v>
      </c>
      <c r="Q42" s="5">
        <f t="shared" si="18"/>
        <v>0</v>
      </c>
      <c r="R42" s="5">
        <f t="shared" si="19"/>
        <v>1</v>
      </c>
      <c r="S42" s="5">
        <f t="shared" si="20"/>
        <v>0</v>
      </c>
      <c r="T42" s="5">
        <f t="shared" si="21"/>
        <v>0</v>
      </c>
      <c r="U42" s="5">
        <f t="shared" si="22"/>
        <v>0</v>
      </c>
      <c r="V42" s="5">
        <f t="shared" si="23"/>
        <v>1</v>
      </c>
      <c r="W42" s="5">
        <f t="shared" si="24"/>
        <v>0</v>
      </c>
      <c r="X42" s="5">
        <f t="shared" si="25"/>
        <v>0</v>
      </c>
      <c r="Y42" s="5">
        <f t="shared" si="26"/>
        <v>2</v>
      </c>
      <c r="Z42" s="5">
        <f t="shared" si="27"/>
        <v>0</v>
      </c>
      <c r="AA42" s="5">
        <f t="shared" si="28"/>
        <v>0</v>
      </c>
      <c r="AB42" s="5">
        <f t="shared" si="29"/>
        <v>1</v>
      </c>
      <c r="AC42" s="5">
        <f t="shared" si="30"/>
        <v>1</v>
      </c>
      <c r="AD42" s="5">
        <f t="shared" si="31"/>
        <v>0</v>
      </c>
      <c r="AE42" s="5">
        <f t="shared" si="32"/>
        <v>0</v>
      </c>
      <c r="AF42" s="5">
        <f t="shared" si="33"/>
        <v>0</v>
      </c>
    </row>
    <row r="43" spans="1:32" ht="75.95" customHeight="1">
      <c r="A43" s="4" t="s">
        <v>353</v>
      </c>
      <c r="B43" s="5">
        <v>42</v>
      </c>
      <c r="C43" s="4" t="s">
        <v>40</v>
      </c>
      <c r="D43" s="4" t="s">
        <v>354</v>
      </c>
      <c r="E43" s="4" t="s">
        <v>29</v>
      </c>
      <c r="F43" s="4" t="s">
        <v>17</v>
      </c>
      <c r="G43" s="4" t="s">
        <v>18</v>
      </c>
      <c r="H43" s="4" t="s">
        <v>22</v>
      </c>
      <c r="I43" s="4" t="s">
        <v>355</v>
      </c>
      <c r="J43" s="4" t="s">
        <v>356</v>
      </c>
      <c r="K43" s="4" t="s">
        <v>357</v>
      </c>
      <c r="L43" s="4" t="s">
        <v>358</v>
      </c>
      <c r="M43" s="4"/>
      <c r="N43" s="4" t="s">
        <v>90</v>
      </c>
      <c r="O43" s="4" t="s">
        <v>91</v>
      </c>
      <c r="P43" s="5">
        <f t="shared" si="17"/>
        <v>2</v>
      </c>
      <c r="Q43" s="5">
        <f t="shared" si="18"/>
        <v>0</v>
      </c>
      <c r="R43" s="5">
        <f t="shared" si="19"/>
        <v>1</v>
      </c>
      <c r="S43" s="5">
        <f t="shared" si="20"/>
        <v>0</v>
      </c>
      <c r="T43" s="5">
        <f t="shared" si="21"/>
        <v>0</v>
      </c>
      <c r="U43" s="5">
        <f t="shared" si="22"/>
        <v>0</v>
      </c>
      <c r="V43" s="5">
        <f t="shared" si="23"/>
        <v>1</v>
      </c>
      <c r="W43" s="5">
        <f t="shared" si="24"/>
        <v>0</v>
      </c>
      <c r="X43" s="5">
        <f t="shared" si="25"/>
        <v>0</v>
      </c>
      <c r="Y43" s="5">
        <f t="shared" si="26"/>
        <v>1</v>
      </c>
      <c r="Z43" s="5">
        <f t="shared" si="27"/>
        <v>0</v>
      </c>
      <c r="AA43" s="5">
        <f t="shared" si="28"/>
        <v>0</v>
      </c>
      <c r="AB43" s="5">
        <f t="shared" si="29"/>
        <v>1</v>
      </c>
      <c r="AC43" s="5">
        <f t="shared" si="30"/>
        <v>0</v>
      </c>
      <c r="AD43" s="5">
        <f t="shared" si="31"/>
        <v>0</v>
      </c>
      <c r="AE43" s="5">
        <f t="shared" si="32"/>
        <v>0</v>
      </c>
      <c r="AF43" s="5">
        <f t="shared" si="33"/>
        <v>0</v>
      </c>
    </row>
    <row r="44" spans="1:32" ht="122.1" customHeight="1">
      <c r="A44" s="4" t="s">
        <v>359</v>
      </c>
      <c r="B44" s="5">
        <v>43</v>
      </c>
      <c r="C44" s="4" t="s">
        <v>40</v>
      </c>
      <c r="D44" s="4" t="s">
        <v>360</v>
      </c>
      <c r="E44" s="4" t="s">
        <v>17</v>
      </c>
      <c r="F44" s="4" t="s">
        <v>29</v>
      </c>
      <c r="G44" s="4" t="s">
        <v>18</v>
      </c>
      <c r="H44" s="4" t="s">
        <v>104</v>
      </c>
      <c r="I44" s="4" t="s">
        <v>361</v>
      </c>
      <c r="J44" s="4" t="s">
        <v>362</v>
      </c>
      <c r="K44" s="4" t="s">
        <v>363</v>
      </c>
      <c r="L44" s="4" t="s">
        <v>364</v>
      </c>
      <c r="M44" s="4" t="s">
        <v>365</v>
      </c>
      <c r="N44" s="4" t="s">
        <v>90</v>
      </c>
      <c r="O44" s="4" t="s">
        <v>91</v>
      </c>
      <c r="P44" s="5">
        <f t="shared" si="17"/>
        <v>2</v>
      </c>
      <c r="Q44" s="5">
        <f t="shared" si="18"/>
        <v>0</v>
      </c>
      <c r="R44" s="5">
        <f t="shared" si="19"/>
        <v>1</v>
      </c>
      <c r="S44" s="5">
        <f t="shared" si="20"/>
        <v>0</v>
      </c>
      <c r="T44" s="5">
        <f t="shared" si="21"/>
        <v>0</v>
      </c>
      <c r="U44" s="5">
        <f t="shared" si="22"/>
        <v>0</v>
      </c>
      <c r="V44" s="5">
        <f t="shared" si="23"/>
        <v>1</v>
      </c>
      <c r="W44" s="5">
        <f t="shared" si="24"/>
        <v>0</v>
      </c>
      <c r="X44" s="5">
        <f t="shared" si="25"/>
        <v>0</v>
      </c>
      <c r="Y44" s="5">
        <f t="shared" si="26"/>
        <v>2</v>
      </c>
      <c r="Z44" s="5">
        <f t="shared" si="27"/>
        <v>0</v>
      </c>
      <c r="AA44" s="5">
        <f t="shared" si="28"/>
        <v>0</v>
      </c>
      <c r="AB44" s="5">
        <f t="shared" si="29"/>
        <v>1</v>
      </c>
      <c r="AC44" s="5">
        <f t="shared" si="30"/>
        <v>0</v>
      </c>
      <c r="AD44" s="5">
        <f t="shared" si="31"/>
        <v>0</v>
      </c>
      <c r="AE44" s="5">
        <f t="shared" si="32"/>
        <v>1</v>
      </c>
      <c r="AF44" s="5">
        <f t="shared" si="33"/>
        <v>0</v>
      </c>
    </row>
    <row r="45" spans="1:32" ht="122.1" customHeight="1">
      <c r="A45" s="4" t="s">
        <v>366</v>
      </c>
      <c r="B45" s="5">
        <v>44</v>
      </c>
      <c r="C45" s="4" t="s">
        <v>40</v>
      </c>
      <c r="D45" s="4" t="s">
        <v>367</v>
      </c>
      <c r="E45" s="4" t="s">
        <v>23</v>
      </c>
      <c r="F45" s="4" t="s">
        <v>29</v>
      </c>
      <c r="G45" s="4" t="s">
        <v>24</v>
      </c>
      <c r="H45" s="4" t="s">
        <v>22</v>
      </c>
      <c r="I45" s="4" t="s">
        <v>368</v>
      </c>
      <c r="J45" s="4" t="s">
        <v>369</v>
      </c>
      <c r="K45" s="4" t="s">
        <v>370</v>
      </c>
      <c r="L45" s="4" t="s">
        <v>371</v>
      </c>
      <c r="M45" s="4" t="s">
        <v>365</v>
      </c>
      <c r="N45" s="4" t="s">
        <v>90</v>
      </c>
      <c r="O45" s="4" t="s">
        <v>91</v>
      </c>
      <c r="P45" s="5">
        <f t="shared" si="17"/>
        <v>2</v>
      </c>
      <c r="Q45" s="5">
        <f t="shared" si="18"/>
        <v>0</v>
      </c>
      <c r="R45" s="5">
        <f t="shared" si="19"/>
        <v>0</v>
      </c>
      <c r="S45" s="5">
        <f t="shared" si="20"/>
        <v>0</v>
      </c>
      <c r="T45" s="5">
        <f t="shared" si="21"/>
        <v>1</v>
      </c>
      <c r="U45" s="5">
        <f t="shared" si="22"/>
        <v>0</v>
      </c>
      <c r="V45" s="5">
        <f t="shared" si="23"/>
        <v>1</v>
      </c>
      <c r="W45" s="5">
        <f t="shared" si="24"/>
        <v>0</v>
      </c>
      <c r="X45" s="5">
        <f t="shared" si="25"/>
        <v>0</v>
      </c>
      <c r="Y45" s="5">
        <f t="shared" si="26"/>
        <v>1</v>
      </c>
      <c r="Z45" s="5">
        <f t="shared" si="27"/>
        <v>0</v>
      </c>
      <c r="AA45" s="5">
        <f t="shared" si="28"/>
        <v>0</v>
      </c>
      <c r="AB45" s="5">
        <f t="shared" si="29"/>
        <v>1</v>
      </c>
      <c r="AC45" s="5">
        <f t="shared" si="30"/>
        <v>0</v>
      </c>
      <c r="AD45" s="5">
        <f t="shared" si="31"/>
        <v>0</v>
      </c>
      <c r="AE45" s="5">
        <f t="shared" si="32"/>
        <v>0</v>
      </c>
      <c r="AF45" s="5">
        <f t="shared" si="33"/>
        <v>0</v>
      </c>
    </row>
    <row r="46" spans="1:32" ht="75.95" customHeight="1">
      <c r="A46" s="4" t="s">
        <v>372</v>
      </c>
      <c r="B46" s="5">
        <v>45</v>
      </c>
      <c r="C46" s="4" t="s">
        <v>40</v>
      </c>
      <c r="D46" s="4" t="s">
        <v>373</v>
      </c>
      <c r="E46" s="4" t="s">
        <v>17</v>
      </c>
      <c r="F46" s="4"/>
      <c r="G46" s="4" t="s">
        <v>18</v>
      </c>
      <c r="H46" s="4" t="s">
        <v>33</v>
      </c>
      <c r="I46" s="4" t="s">
        <v>374</v>
      </c>
      <c r="J46" s="4" t="s">
        <v>375</v>
      </c>
      <c r="K46" s="4" t="s">
        <v>376</v>
      </c>
      <c r="L46" s="4" t="s">
        <v>377</v>
      </c>
      <c r="M46" s="4"/>
      <c r="N46" s="4" t="s">
        <v>90</v>
      </c>
      <c r="O46" s="4" t="s">
        <v>91</v>
      </c>
      <c r="P46" s="5">
        <f t="shared" si="17"/>
        <v>1</v>
      </c>
      <c r="Q46" s="5">
        <f t="shared" si="18"/>
        <v>0</v>
      </c>
      <c r="R46" s="5">
        <f t="shared" si="19"/>
        <v>1</v>
      </c>
      <c r="S46" s="5">
        <f t="shared" si="20"/>
        <v>0</v>
      </c>
      <c r="T46" s="5">
        <f t="shared" si="21"/>
        <v>0</v>
      </c>
      <c r="U46" s="5">
        <f t="shared" si="22"/>
        <v>0</v>
      </c>
      <c r="V46" s="5">
        <f t="shared" si="23"/>
        <v>0</v>
      </c>
      <c r="W46" s="5">
        <f t="shared" si="24"/>
        <v>0</v>
      </c>
      <c r="X46" s="5">
        <f t="shared" si="25"/>
        <v>0</v>
      </c>
      <c r="Y46" s="5">
        <f t="shared" si="26"/>
        <v>0</v>
      </c>
      <c r="Z46" s="5">
        <f t="shared" si="27"/>
        <v>0</v>
      </c>
      <c r="AA46" s="5">
        <f t="shared" si="28"/>
        <v>0</v>
      </c>
      <c r="AB46" s="5">
        <f t="shared" si="29"/>
        <v>0</v>
      </c>
      <c r="AC46" s="5">
        <f t="shared" si="30"/>
        <v>0</v>
      </c>
      <c r="AD46" s="5">
        <f t="shared" si="31"/>
        <v>0</v>
      </c>
      <c r="AE46" s="5">
        <f t="shared" si="32"/>
        <v>0</v>
      </c>
      <c r="AF46" s="5">
        <f t="shared" si="33"/>
        <v>1</v>
      </c>
    </row>
    <row r="47" spans="1:32" ht="122.1" customHeight="1">
      <c r="A47" s="4" t="s">
        <v>378</v>
      </c>
      <c r="B47" s="5">
        <v>46</v>
      </c>
      <c r="C47" s="4" t="s">
        <v>41</v>
      </c>
      <c r="D47" s="4" t="s">
        <v>379</v>
      </c>
      <c r="E47" s="4" t="s">
        <v>17</v>
      </c>
      <c r="F47" s="4" t="s">
        <v>29</v>
      </c>
      <c r="G47" s="4" t="s">
        <v>18</v>
      </c>
      <c r="H47" s="4" t="s">
        <v>112</v>
      </c>
      <c r="I47" s="4" t="s">
        <v>380</v>
      </c>
      <c r="J47" s="4" t="s">
        <v>381</v>
      </c>
      <c r="K47" s="4" t="s">
        <v>382</v>
      </c>
      <c r="L47" s="4" t="s">
        <v>383</v>
      </c>
      <c r="M47" s="4" t="s">
        <v>340</v>
      </c>
      <c r="N47" s="4" t="s">
        <v>90</v>
      </c>
      <c r="O47" s="4" t="s">
        <v>91</v>
      </c>
      <c r="P47" s="5">
        <f t="shared" si="17"/>
        <v>2</v>
      </c>
      <c r="Q47" s="5">
        <f t="shared" si="18"/>
        <v>0</v>
      </c>
      <c r="R47" s="5">
        <f t="shared" si="19"/>
        <v>1</v>
      </c>
      <c r="S47" s="5">
        <f t="shared" si="20"/>
        <v>0</v>
      </c>
      <c r="T47" s="5">
        <f t="shared" si="21"/>
        <v>0</v>
      </c>
      <c r="U47" s="5">
        <f t="shared" si="22"/>
        <v>0</v>
      </c>
      <c r="V47" s="5">
        <f t="shared" si="23"/>
        <v>1</v>
      </c>
      <c r="W47" s="5">
        <f t="shared" si="24"/>
        <v>0</v>
      </c>
      <c r="X47" s="5">
        <f t="shared" si="25"/>
        <v>0</v>
      </c>
      <c r="Y47" s="5">
        <f t="shared" si="26"/>
        <v>3</v>
      </c>
      <c r="Z47" s="5">
        <f t="shared" si="27"/>
        <v>0</v>
      </c>
      <c r="AA47" s="5">
        <f t="shared" si="28"/>
        <v>0</v>
      </c>
      <c r="AB47" s="5">
        <f t="shared" si="29"/>
        <v>1</v>
      </c>
      <c r="AC47" s="5">
        <f t="shared" si="30"/>
        <v>0</v>
      </c>
      <c r="AD47" s="5">
        <f t="shared" si="31"/>
        <v>1</v>
      </c>
      <c r="AE47" s="5">
        <f t="shared" si="32"/>
        <v>1</v>
      </c>
      <c r="AF47" s="5">
        <f t="shared" si="33"/>
        <v>0</v>
      </c>
    </row>
    <row r="48" spans="1:32" ht="75.95" customHeight="1">
      <c r="A48" s="4" t="s">
        <v>384</v>
      </c>
      <c r="B48" s="5">
        <v>47</v>
      </c>
      <c r="C48" s="4" t="s">
        <v>41</v>
      </c>
      <c r="D48" s="4" t="s">
        <v>385</v>
      </c>
      <c r="E48" s="4" t="s">
        <v>20</v>
      </c>
      <c r="F48" s="4"/>
      <c r="G48" s="4" t="s">
        <v>21</v>
      </c>
      <c r="H48" s="4" t="s">
        <v>33</v>
      </c>
      <c r="I48" s="4" t="s">
        <v>386</v>
      </c>
      <c r="J48" s="4" t="s">
        <v>387</v>
      </c>
      <c r="K48" s="4" t="s">
        <v>388</v>
      </c>
      <c r="L48" s="4" t="s">
        <v>389</v>
      </c>
      <c r="M48" s="4"/>
      <c r="N48" s="4" t="s">
        <v>90</v>
      </c>
      <c r="O48" s="4" t="s">
        <v>91</v>
      </c>
      <c r="P48" s="5">
        <f t="shared" si="17"/>
        <v>1</v>
      </c>
      <c r="Q48" s="5">
        <f t="shared" si="18"/>
        <v>0</v>
      </c>
      <c r="R48" s="5">
        <f t="shared" si="19"/>
        <v>0</v>
      </c>
      <c r="S48" s="5">
        <f t="shared" si="20"/>
        <v>1</v>
      </c>
      <c r="T48" s="5">
        <f t="shared" si="21"/>
        <v>0</v>
      </c>
      <c r="U48" s="5">
        <f t="shared" si="22"/>
        <v>0</v>
      </c>
      <c r="V48" s="5">
        <f t="shared" si="23"/>
        <v>0</v>
      </c>
      <c r="W48" s="5">
        <f t="shared" si="24"/>
        <v>0</v>
      </c>
      <c r="X48" s="5">
        <f t="shared" si="25"/>
        <v>0</v>
      </c>
      <c r="Y48" s="5">
        <f t="shared" si="26"/>
        <v>0</v>
      </c>
      <c r="Z48" s="5">
        <f t="shared" si="27"/>
        <v>0</v>
      </c>
      <c r="AA48" s="5">
        <f t="shared" si="28"/>
        <v>0</v>
      </c>
      <c r="AB48" s="5">
        <f t="shared" si="29"/>
        <v>0</v>
      </c>
      <c r="AC48" s="5">
        <f t="shared" si="30"/>
        <v>0</v>
      </c>
      <c r="AD48" s="5">
        <f t="shared" si="31"/>
        <v>0</v>
      </c>
      <c r="AE48" s="5">
        <f t="shared" si="32"/>
        <v>0</v>
      </c>
      <c r="AF48" s="5">
        <f t="shared" si="33"/>
        <v>1</v>
      </c>
    </row>
    <row r="49" spans="1:32" ht="75.95" customHeight="1">
      <c r="A49" s="4" t="s">
        <v>390</v>
      </c>
      <c r="B49" s="5">
        <v>48</v>
      </c>
      <c r="C49" s="4" t="s">
        <v>41</v>
      </c>
      <c r="D49" s="4" t="s">
        <v>391</v>
      </c>
      <c r="E49" s="4" t="s">
        <v>17</v>
      </c>
      <c r="F49" s="4"/>
      <c r="G49" s="4" t="s">
        <v>18</v>
      </c>
      <c r="H49" s="4" t="s">
        <v>22</v>
      </c>
      <c r="I49" s="4" t="s">
        <v>392</v>
      </c>
      <c r="J49" s="4" t="s">
        <v>393</v>
      </c>
      <c r="K49" s="4" t="s">
        <v>394</v>
      </c>
      <c r="L49" s="4" t="s">
        <v>395</v>
      </c>
      <c r="M49" s="4"/>
      <c r="N49" s="4" t="s">
        <v>90</v>
      </c>
      <c r="O49" s="4" t="s">
        <v>91</v>
      </c>
      <c r="P49" s="5">
        <f t="shared" si="17"/>
        <v>1</v>
      </c>
      <c r="Q49" s="5">
        <f t="shared" si="18"/>
        <v>0</v>
      </c>
      <c r="R49" s="5">
        <f t="shared" si="19"/>
        <v>1</v>
      </c>
      <c r="S49" s="5">
        <f t="shared" si="20"/>
        <v>0</v>
      </c>
      <c r="T49" s="5">
        <f t="shared" si="21"/>
        <v>0</v>
      </c>
      <c r="U49" s="5">
        <f t="shared" si="22"/>
        <v>0</v>
      </c>
      <c r="V49" s="5">
        <f t="shared" si="23"/>
        <v>0</v>
      </c>
      <c r="W49" s="5">
        <f t="shared" si="24"/>
        <v>0</v>
      </c>
      <c r="X49" s="5">
        <f t="shared" si="25"/>
        <v>0</v>
      </c>
      <c r="Y49" s="5">
        <f t="shared" si="26"/>
        <v>1</v>
      </c>
      <c r="Z49" s="5">
        <f t="shared" si="27"/>
        <v>0</v>
      </c>
      <c r="AA49" s="5">
        <f t="shared" si="28"/>
        <v>0</v>
      </c>
      <c r="AB49" s="5">
        <f t="shared" si="29"/>
        <v>1</v>
      </c>
      <c r="AC49" s="5">
        <f t="shared" si="30"/>
        <v>0</v>
      </c>
      <c r="AD49" s="5">
        <f t="shared" si="31"/>
        <v>0</v>
      </c>
      <c r="AE49" s="5">
        <f t="shared" si="32"/>
        <v>0</v>
      </c>
      <c r="AF49" s="5">
        <f t="shared" si="33"/>
        <v>0</v>
      </c>
    </row>
    <row r="50" spans="1:32" ht="75.95" customHeight="1">
      <c r="A50" s="4" t="s">
        <v>396</v>
      </c>
      <c r="B50" s="5">
        <v>49</v>
      </c>
      <c r="C50" s="4" t="s">
        <v>41</v>
      </c>
      <c r="D50" s="4" t="s">
        <v>397</v>
      </c>
      <c r="E50" s="4" t="s">
        <v>17</v>
      </c>
      <c r="F50" s="4"/>
      <c r="G50" s="4" t="s">
        <v>18</v>
      </c>
      <c r="H50" s="4" t="s">
        <v>22</v>
      </c>
      <c r="I50" s="4" t="s">
        <v>398</v>
      </c>
      <c r="J50" s="4" t="s">
        <v>399</v>
      </c>
      <c r="K50" s="4" t="s">
        <v>400</v>
      </c>
      <c r="L50" s="4" t="s">
        <v>401</v>
      </c>
      <c r="M50" s="4"/>
      <c r="N50" s="4" t="s">
        <v>90</v>
      </c>
      <c r="O50" s="4" t="s">
        <v>91</v>
      </c>
      <c r="P50" s="5">
        <f t="shared" si="17"/>
        <v>1</v>
      </c>
      <c r="Q50" s="5">
        <f t="shared" si="18"/>
        <v>0</v>
      </c>
      <c r="R50" s="5">
        <f t="shared" si="19"/>
        <v>1</v>
      </c>
      <c r="S50" s="5">
        <f t="shared" si="20"/>
        <v>0</v>
      </c>
      <c r="T50" s="5">
        <f t="shared" si="21"/>
        <v>0</v>
      </c>
      <c r="U50" s="5">
        <f t="shared" si="22"/>
        <v>0</v>
      </c>
      <c r="V50" s="5">
        <f t="shared" si="23"/>
        <v>0</v>
      </c>
      <c r="W50" s="5">
        <f t="shared" si="24"/>
        <v>0</v>
      </c>
      <c r="X50" s="5">
        <f t="shared" si="25"/>
        <v>0</v>
      </c>
      <c r="Y50" s="5">
        <f t="shared" si="26"/>
        <v>1</v>
      </c>
      <c r="Z50" s="5">
        <f t="shared" si="27"/>
        <v>0</v>
      </c>
      <c r="AA50" s="5">
        <f t="shared" si="28"/>
        <v>0</v>
      </c>
      <c r="AB50" s="5">
        <f t="shared" si="29"/>
        <v>1</v>
      </c>
      <c r="AC50" s="5">
        <f t="shared" si="30"/>
        <v>0</v>
      </c>
      <c r="AD50" s="5">
        <f t="shared" si="31"/>
        <v>0</v>
      </c>
      <c r="AE50" s="5">
        <f t="shared" si="32"/>
        <v>0</v>
      </c>
      <c r="AF50" s="5">
        <f t="shared" si="33"/>
        <v>0</v>
      </c>
    </row>
    <row r="51" spans="1:32" ht="75.95" customHeight="1">
      <c r="A51" s="4" t="s">
        <v>402</v>
      </c>
      <c r="B51" s="5">
        <v>50</v>
      </c>
      <c r="C51" s="4" t="s">
        <v>41</v>
      </c>
      <c r="D51" s="4" t="s">
        <v>403</v>
      </c>
      <c r="E51" s="4" t="s">
        <v>23</v>
      </c>
      <c r="F51" s="4" t="s">
        <v>404</v>
      </c>
      <c r="G51" s="4" t="s">
        <v>24</v>
      </c>
      <c r="H51" s="4" t="s">
        <v>405</v>
      </c>
      <c r="I51" s="4" t="s">
        <v>406</v>
      </c>
      <c r="J51" s="4" t="s">
        <v>407</v>
      </c>
      <c r="K51" s="4" t="s">
        <v>408</v>
      </c>
      <c r="L51" s="4" t="s">
        <v>409</v>
      </c>
      <c r="M51" s="4"/>
      <c r="N51" s="4" t="s">
        <v>90</v>
      </c>
      <c r="O51" s="4" t="s">
        <v>91</v>
      </c>
      <c r="P51" s="5">
        <f t="shared" si="17"/>
        <v>3</v>
      </c>
      <c r="Q51" s="5">
        <f t="shared" si="18"/>
        <v>0</v>
      </c>
      <c r="R51" s="5">
        <f t="shared" si="19"/>
        <v>1</v>
      </c>
      <c r="S51" s="5">
        <f t="shared" si="20"/>
        <v>0</v>
      </c>
      <c r="T51" s="5">
        <f t="shared" si="21"/>
        <v>1</v>
      </c>
      <c r="U51" s="5">
        <f t="shared" si="22"/>
        <v>0</v>
      </c>
      <c r="V51" s="5">
        <f t="shared" si="23"/>
        <v>1</v>
      </c>
      <c r="W51" s="5">
        <f t="shared" si="24"/>
        <v>0</v>
      </c>
      <c r="X51" s="5">
        <f t="shared" si="25"/>
        <v>0</v>
      </c>
      <c r="Y51" s="5">
        <f t="shared" si="26"/>
        <v>2</v>
      </c>
      <c r="Z51" s="5">
        <f t="shared" si="27"/>
        <v>1</v>
      </c>
      <c r="AA51" s="5">
        <f t="shared" si="28"/>
        <v>0</v>
      </c>
      <c r="AB51" s="5">
        <f t="shared" si="29"/>
        <v>1</v>
      </c>
      <c r="AC51" s="5">
        <f t="shared" si="30"/>
        <v>0</v>
      </c>
      <c r="AD51" s="5">
        <f t="shared" si="31"/>
        <v>0</v>
      </c>
      <c r="AE51" s="5">
        <f t="shared" si="32"/>
        <v>0</v>
      </c>
      <c r="AF51" s="5">
        <f t="shared" si="33"/>
        <v>0</v>
      </c>
    </row>
    <row r="52" spans="1:32" ht="122.1" customHeight="1">
      <c r="A52" s="4" t="s">
        <v>410</v>
      </c>
      <c r="B52" s="5">
        <v>51</v>
      </c>
      <c r="C52" s="4" t="s">
        <v>41</v>
      </c>
      <c r="D52" s="4" t="s">
        <v>411</v>
      </c>
      <c r="E52" s="4" t="s">
        <v>17</v>
      </c>
      <c r="F52" s="4" t="s">
        <v>29</v>
      </c>
      <c r="G52" s="4" t="s">
        <v>18</v>
      </c>
      <c r="H52" s="4" t="s">
        <v>112</v>
      </c>
      <c r="I52" s="4" t="s">
        <v>412</v>
      </c>
      <c r="J52" s="4" t="s">
        <v>413</v>
      </c>
      <c r="K52" s="4" t="s">
        <v>414</v>
      </c>
      <c r="L52" s="4" t="s">
        <v>415</v>
      </c>
      <c r="M52" s="4" t="s">
        <v>416</v>
      </c>
      <c r="N52" s="4" t="s">
        <v>90</v>
      </c>
      <c r="O52" s="4" t="s">
        <v>91</v>
      </c>
      <c r="P52" s="5">
        <f t="shared" si="17"/>
        <v>2</v>
      </c>
      <c r="Q52" s="5">
        <f t="shared" si="18"/>
        <v>0</v>
      </c>
      <c r="R52" s="5">
        <f t="shared" si="19"/>
        <v>1</v>
      </c>
      <c r="S52" s="5">
        <f t="shared" si="20"/>
        <v>0</v>
      </c>
      <c r="T52" s="5">
        <f t="shared" si="21"/>
        <v>0</v>
      </c>
      <c r="U52" s="5">
        <f t="shared" si="22"/>
        <v>0</v>
      </c>
      <c r="V52" s="5">
        <f t="shared" si="23"/>
        <v>1</v>
      </c>
      <c r="W52" s="5">
        <f t="shared" si="24"/>
        <v>0</v>
      </c>
      <c r="X52" s="5">
        <f t="shared" si="25"/>
        <v>0</v>
      </c>
      <c r="Y52" s="5">
        <f t="shared" si="26"/>
        <v>3</v>
      </c>
      <c r="Z52" s="5">
        <f t="shared" si="27"/>
        <v>0</v>
      </c>
      <c r="AA52" s="5">
        <f t="shared" si="28"/>
        <v>0</v>
      </c>
      <c r="AB52" s="5">
        <f t="shared" si="29"/>
        <v>1</v>
      </c>
      <c r="AC52" s="5">
        <f t="shared" si="30"/>
        <v>0</v>
      </c>
      <c r="AD52" s="5">
        <f t="shared" si="31"/>
        <v>1</v>
      </c>
      <c r="AE52" s="5">
        <f t="shared" si="32"/>
        <v>1</v>
      </c>
      <c r="AF52" s="5">
        <f t="shared" si="33"/>
        <v>0</v>
      </c>
    </row>
    <row r="53" spans="1:32" ht="75.95" customHeight="1">
      <c r="A53" s="4" t="s">
        <v>417</v>
      </c>
      <c r="B53" s="5">
        <v>52</v>
      </c>
      <c r="C53" s="4" t="s">
        <v>41</v>
      </c>
      <c r="D53" s="4" t="s">
        <v>418</v>
      </c>
      <c r="E53" s="4" t="s">
        <v>20</v>
      </c>
      <c r="F53" s="4"/>
      <c r="G53" s="4" t="s">
        <v>21</v>
      </c>
      <c r="H53" s="4" t="s">
        <v>30</v>
      </c>
      <c r="I53" s="4" t="s">
        <v>419</v>
      </c>
      <c r="J53" s="4" t="s">
        <v>420</v>
      </c>
      <c r="K53" s="4" t="s">
        <v>421</v>
      </c>
      <c r="L53" s="4" t="s">
        <v>422</v>
      </c>
      <c r="M53" s="4"/>
      <c r="N53" s="4" t="s">
        <v>90</v>
      </c>
      <c r="O53" s="4" t="s">
        <v>91</v>
      </c>
      <c r="P53" s="5">
        <f t="shared" si="17"/>
        <v>1</v>
      </c>
      <c r="Q53" s="5">
        <f t="shared" si="18"/>
        <v>0</v>
      </c>
      <c r="R53" s="5">
        <f t="shared" si="19"/>
        <v>0</v>
      </c>
      <c r="S53" s="5">
        <f t="shared" si="20"/>
        <v>1</v>
      </c>
      <c r="T53" s="5">
        <f t="shared" si="21"/>
        <v>0</v>
      </c>
      <c r="U53" s="5">
        <f t="shared" si="22"/>
        <v>0</v>
      </c>
      <c r="V53" s="5">
        <f t="shared" si="23"/>
        <v>0</v>
      </c>
      <c r="W53" s="5">
        <f t="shared" si="24"/>
        <v>0</v>
      </c>
      <c r="X53" s="5">
        <f t="shared" si="25"/>
        <v>0</v>
      </c>
      <c r="Y53" s="5">
        <f t="shared" si="26"/>
        <v>1</v>
      </c>
      <c r="Z53" s="5">
        <f t="shared" si="27"/>
        <v>0</v>
      </c>
      <c r="AA53" s="5">
        <f t="shared" si="28"/>
        <v>0</v>
      </c>
      <c r="AB53" s="5">
        <f t="shared" si="29"/>
        <v>0</v>
      </c>
      <c r="AC53" s="5">
        <f t="shared" si="30"/>
        <v>0</v>
      </c>
      <c r="AD53" s="5">
        <f t="shared" si="31"/>
        <v>0</v>
      </c>
      <c r="AE53" s="5">
        <f t="shared" si="32"/>
        <v>1</v>
      </c>
      <c r="AF53" s="5">
        <f t="shared" si="33"/>
        <v>0</v>
      </c>
    </row>
    <row r="54" spans="1:32" ht="122.1" customHeight="1">
      <c r="A54" s="4" t="s">
        <v>423</v>
      </c>
      <c r="B54" s="5">
        <v>53</v>
      </c>
      <c r="C54" s="4" t="s">
        <v>41</v>
      </c>
      <c r="D54" s="4" t="s">
        <v>424</v>
      </c>
      <c r="E54" s="4" t="s">
        <v>17</v>
      </c>
      <c r="F54" s="4" t="s">
        <v>29</v>
      </c>
      <c r="G54" s="4" t="s">
        <v>18</v>
      </c>
      <c r="H54" s="4" t="s">
        <v>425</v>
      </c>
      <c r="I54" s="4" t="s">
        <v>426</v>
      </c>
      <c r="J54" s="4" t="s">
        <v>427</v>
      </c>
      <c r="K54" s="4" t="s">
        <v>428</v>
      </c>
      <c r="L54" s="4" t="s">
        <v>429</v>
      </c>
      <c r="M54" s="4" t="s">
        <v>340</v>
      </c>
      <c r="N54" s="4" t="s">
        <v>90</v>
      </c>
      <c r="O54" s="4" t="s">
        <v>91</v>
      </c>
      <c r="P54" s="5">
        <f t="shared" si="17"/>
        <v>2</v>
      </c>
      <c r="Q54" s="5">
        <f t="shared" si="18"/>
        <v>0</v>
      </c>
      <c r="R54" s="5">
        <f t="shared" si="19"/>
        <v>1</v>
      </c>
      <c r="S54" s="5">
        <f t="shared" si="20"/>
        <v>0</v>
      </c>
      <c r="T54" s="5">
        <f t="shared" si="21"/>
        <v>0</v>
      </c>
      <c r="U54" s="5">
        <f t="shared" si="22"/>
        <v>0</v>
      </c>
      <c r="V54" s="5">
        <f t="shared" si="23"/>
        <v>1</v>
      </c>
      <c r="W54" s="5">
        <f t="shared" si="24"/>
        <v>0</v>
      </c>
      <c r="X54" s="5">
        <f t="shared" si="25"/>
        <v>0</v>
      </c>
      <c r="Y54" s="5">
        <f t="shared" si="26"/>
        <v>4</v>
      </c>
      <c r="Z54" s="5">
        <f t="shared" si="27"/>
        <v>0</v>
      </c>
      <c r="AA54" s="5">
        <f t="shared" si="28"/>
        <v>0</v>
      </c>
      <c r="AB54" s="5">
        <f t="shared" si="29"/>
        <v>1</v>
      </c>
      <c r="AC54" s="5">
        <f t="shared" si="30"/>
        <v>1</v>
      </c>
      <c r="AD54" s="5">
        <f t="shared" si="31"/>
        <v>1</v>
      </c>
      <c r="AE54" s="5">
        <f t="shared" si="32"/>
        <v>1</v>
      </c>
      <c r="AF54" s="5">
        <f t="shared" si="33"/>
        <v>0</v>
      </c>
    </row>
    <row r="55" spans="1:32" ht="75.95" customHeight="1">
      <c r="A55" s="4" t="s">
        <v>430</v>
      </c>
      <c r="B55" s="5">
        <v>54</v>
      </c>
      <c r="C55" s="4" t="s">
        <v>41</v>
      </c>
      <c r="D55" s="4" t="s">
        <v>431</v>
      </c>
      <c r="E55" s="4" t="s">
        <v>23</v>
      </c>
      <c r="F55" s="4" t="s">
        <v>26</v>
      </c>
      <c r="G55" s="4" t="s">
        <v>24</v>
      </c>
      <c r="H55" s="4" t="s">
        <v>432</v>
      </c>
      <c r="I55" s="4" t="s">
        <v>433</v>
      </c>
      <c r="J55" s="4" t="s">
        <v>434</v>
      </c>
      <c r="K55" s="4" t="s">
        <v>435</v>
      </c>
      <c r="L55" s="4" t="s">
        <v>436</v>
      </c>
      <c r="M55" s="4"/>
      <c r="N55" s="4" t="s">
        <v>90</v>
      </c>
      <c r="O55" s="4" t="s">
        <v>91</v>
      </c>
      <c r="P55" s="5">
        <f t="shared" si="17"/>
        <v>2</v>
      </c>
      <c r="Q55" s="5">
        <f t="shared" si="18"/>
        <v>0</v>
      </c>
      <c r="R55" s="5">
        <f t="shared" si="19"/>
        <v>0</v>
      </c>
      <c r="S55" s="5">
        <f t="shared" si="20"/>
        <v>0</v>
      </c>
      <c r="T55" s="5">
        <f t="shared" si="21"/>
        <v>1</v>
      </c>
      <c r="U55" s="5">
        <f t="shared" si="22"/>
        <v>1</v>
      </c>
      <c r="V55" s="5">
        <f t="shared" si="23"/>
        <v>0</v>
      </c>
      <c r="W55" s="5">
        <f t="shared" si="24"/>
        <v>0</v>
      </c>
      <c r="X55" s="5">
        <f t="shared" si="25"/>
        <v>0</v>
      </c>
      <c r="Y55" s="5">
        <f t="shared" si="26"/>
        <v>2</v>
      </c>
      <c r="Z55" s="5">
        <f t="shared" si="27"/>
        <v>0</v>
      </c>
      <c r="AA55" s="5">
        <f t="shared" si="28"/>
        <v>0</v>
      </c>
      <c r="AB55" s="5">
        <f t="shared" si="29"/>
        <v>0</v>
      </c>
      <c r="AC55" s="5">
        <f t="shared" si="30"/>
        <v>0</v>
      </c>
      <c r="AD55" s="5">
        <f t="shared" si="31"/>
        <v>1</v>
      </c>
      <c r="AE55" s="5">
        <f t="shared" si="32"/>
        <v>1</v>
      </c>
      <c r="AF55" s="5">
        <f t="shared" si="33"/>
        <v>0</v>
      </c>
    </row>
    <row r="56" spans="1:32" ht="122.1" customHeight="1">
      <c r="A56" s="4" t="s">
        <v>437</v>
      </c>
      <c r="B56" s="5">
        <v>55</v>
      </c>
      <c r="C56" s="4" t="s">
        <v>41</v>
      </c>
      <c r="D56" s="4" t="s">
        <v>438</v>
      </c>
      <c r="E56" s="4" t="s">
        <v>17</v>
      </c>
      <c r="F56" s="4" t="s">
        <v>29</v>
      </c>
      <c r="G56" s="4" t="s">
        <v>18</v>
      </c>
      <c r="H56" s="4" t="s">
        <v>112</v>
      </c>
      <c r="I56" s="4" t="s">
        <v>439</v>
      </c>
      <c r="J56" s="4" t="s">
        <v>440</v>
      </c>
      <c r="K56" s="4" t="s">
        <v>441</v>
      </c>
      <c r="L56" s="4" t="s">
        <v>442</v>
      </c>
      <c r="M56" s="4" t="s">
        <v>365</v>
      </c>
      <c r="N56" s="4" t="s">
        <v>90</v>
      </c>
      <c r="O56" s="4" t="s">
        <v>91</v>
      </c>
      <c r="P56" s="5">
        <f t="shared" si="17"/>
        <v>2</v>
      </c>
      <c r="Q56" s="5">
        <f t="shared" si="18"/>
        <v>0</v>
      </c>
      <c r="R56" s="5">
        <f t="shared" si="19"/>
        <v>1</v>
      </c>
      <c r="S56" s="5">
        <f t="shared" si="20"/>
        <v>0</v>
      </c>
      <c r="T56" s="5">
        <f t="shared" si="21"/>
        <v>0</v>
      </c>
      <c r="U56" s="5">
        <f t="shared" si="22"/>
        <v>0</v>
      </c>
      <c r="V56" s="5">
        <f t="shared" si="23"/>
        <v>1</v>
      </c>
      <c r="W56" s="5">
        <f t="shared" si="24"/>
        <v>0</v>
      </c>
      <c r="X56" s="5">
        <f t="shared" si="25"/>
        <v>0</v>
      </c>
      <c r="Y56" s="5">
        <f t="shared" si="26"/>
        <v>3</v>
      </c>
      <c r="Z56" s="5">
        <f t="shared" si="27"/>
        <v>0</v>
      </c>
      <c r="AA56" s="5">
        <f t="shared" si="28"/>
        <v>0</v>
      </c>
      <c r="AB56" s="5">
        <f t="shared" si="29"/>
        <v>1</v>
      </c>
      <c r="AC56" s="5">
        <f t="shared" si="30"/>
        <v>0</v>
      </c>
      <c r="AD56" s="5">
        <f t="shared" si="31"/>
        <v>1</v>
      </c>
      <c r="AE56" s="5">
        <f t="shared" si="32"/>
        <v>1</v>
      </c>
      <c r="AF56" s="5">
        <f t="shared" si="33"/>
        <v>0</v>
      </c>
    </row>
    <row r="57" spans="1:32" ht="75.95" customHeight="1">
      <c r="A57" s="4" t="s">
        <v>443</v>
      </c>
      <c r="B57" s="5">
        <v>56</v>
      </c>
      <c r="C57" s="4" t="s">
        <v>41</v>
      </c>
      <c r="D57" s="4" t="s">
        <v>444</v>
      </c>
      <c r="E57" s="4" t="s">
        <v>20</v>
      </c>
      <c r="F57" s="4"/>
      <c r="G57" s="4" t="s">
        <v>21</v>
      </c>
      <c r="H57" s="4" t="s">
        <v>30</v>
      </c>
      <c r="I57" s="4" t="s">
        <v>445</v>
      </c>
      <c r="J57" s="4" t="s">
        <v>446</v>
      </c>
      <c r="K57" s="4" t="s">
        <v>447</v>
      </c>
      <c r="L57" s="4" t="s">
        <v>448</v>
      </c>
      <c r="M57" s="4"/>
      <c r="N57" s="4" t="s">
        <v>90</v>
      </c>
      <c r="O57" s="4" t="s">
        <v>91</v>
      </c>
      <c r="P57" s="5">
        <f t="shared" si="17"/>
        <v>1</v>
      </c>
      <c r="Q57" s="5">
        <f t="shared" si="18"/>
        <v>0</v>
      </c>
      <c r="R57" s="5">
        <f t="shared" si="19"/>
        <v>0</v>
      </c>
      <c r="S57" s="5">
        <f t="shared" si="20"/>
        <v>1</v>
      </c>
      <c r="T57" s="5">
        <f t="shared" si="21"/>
        <v>0</v>
      </c>
      <c r="U57" s="5">
        <f t="shared" si="22"/>
        <v>0</v>
      </c>
      <c r="V57" s="5">
        <f t="shared" si="23"/>
        <v>0</v>
      </c>
      <c r="W57" s="5">
        <f t="shared" si="24"/>
        <v>0</v>
      </c>
      <c r="X57" s="5">
        <f t="shared" si="25"/>
        <v>0</v>
      </c>
      <c r="Y57" s="5">
        <f t="shared" si="26"/>
        <v>1</v>
      </c>
      <c r="Z57" s="5">
        <f t="shared" si="27"/>
        <v>0</v>
      </c>
      <c r="AA57" s="5">
        <f t="shared" si="28"/>
        <v>0</v>
      </c>
      <c r="AB57" s="5">
        <f t="shared" si="29"/>
        <v>0</v>
      </c>
      <c r="AC57" s="5">
        <f t="shared" si="30"/>
        <v>0</v>
      </c>
      <c r="AD57" s="5">
        <f t="shared" si="31"/>
        <v>0</v>
      </c>
      <c r="AE57" s="5">
        <f t="shared" si="32"/>
        <v>1</v>
      </c>
      <c r="AF57" s="5">
        <f t="shared" si="33"/>
        <v>0</v>
      </c>
    </row>
    <row r="58" spans="1:32" ht="75.95" customHeight="1">
      <c r="A58" s="4" t="s">
        <v>449</v>
      </c>
      <c r="B58" s="5">
        <v>57</v>
      </c>
      <c r="C58" s="4" t="s">
        <v>41</v>
      </c>
      <c r="D58" s="4" t="s">
        <v>450</v>
      </c>
      <c r="E58" s="4" t="s">
        <v>20</v>
      </c>
      <c r="F58" s="4"/>
      <c r="G58" s="4" t="s">
        <v>21</v>
      </c>
      <c r="H58" s="4" t="s">
        <v>30</v>
      </c>
      <c r="I58" s="4" t="s">
        <v>451</v>
      </c>
      <c r="J58" s="4" t="s">
        <v>452</v>
      </c>
      <c r="K58" s="4" t="s">
        <v>453</v>
      </c>
      <c r="L58" s="4" t="s">
        <v>454</v>
      </c>
      <c r="M58" s="4"/>
      <c r="N58" s="4" t="s">
        <v>90</v>
      </c>
      <c r="O58" s="4" t="s">
        <v>91</v>
      </c>
      <c r="P58" s="5">
        <f t="shared" si="17"/>
        <v>1</v>
      </c>
      <c r="Q58" s="5">
        <f t="shared" si="18"/>
        <v>0</v>
      </c>
      <c r="R58" s="5">
        <f t="shared" si="19"/>
        <v>0</v>
      </c>
      <c r="S58" s="5">
        <f t="shared" si="20"/>
        <v>1</v>
      </c>
      <c r="T58" s="5">
        <f t="shared" si="21"/>
        <v>0</v>
      </c>
      <c r="U58" s="5">
        <f t="shared" si="22"/>
        <v>0</v>
      </c>
      <c r="V58" s="5">
        <f t="shared" si="23"/>
        <v>0</v>
      </c>
      <c r="W58" s="5">
        <f t="shared" si="24"/>
        <v>0</v>
      </c>
      <c r="X58" s="5">
        <f t="shared" si="25"/>
        <v>0</v>
      </c>
      <c r="Y58" s="5">
        <f t="shared" si="26"/>
        <v>1</v>
      </c>
      <c r="Z58" s="5">
        <f t="shared" si="27"/>
        <v>0</v>
      </c>
      <c r="AA58" s="5">
        <f t="shared" si="28"/>
        <v>0</v>
      </c>
      <c r="AB58" s="5">
        <f t="shared" si="29"/>
        <v>0</v>
      </c>
      <c r="AC58" s="5">
        <f t="shared" si="30"/>
        <v>0</v>
      </c>
      <c r="AD58" s="5">
        <f t="shared" si="31"/>
        <v>0</v>
      </c>
      <c r="AE58" s="5">
        <f t="shared" si="32"/>
        <v>1</v>
      </c>
      <c r="AF58" s="5">
        <f t="shared" si="33"/>
        <v>0</v>
      </c>
    </row>
    <row r="59" spans="1:32" ht="75.95" customHeight="1">
      <c r="A59" s="4" t="s">
        <v>455</v>
      </c>
      <c r="B59" s="5">
        <v>58</v>
      </c>
      <c r="C59" s="4" t="s">
        <v>41</v>
      </c>
      <c r="D59" s="4" t="s">
        <v>456</v>
      </c>
      <c r="E59" s="4" t="s">
        <v>29</v>
      </c>
      <c r="F59" s="4" t="s">
        <v>17</v>
      </c>
      <c r="G59" s="4" t="s">
        <v>18</v>
      </c>
      <c r="H59" s="4" t="s">
        <v>127</v>
      </c>
      <c r="I59" s="4" t="s">
        <v>457</v>
      </c>
      <c r="J59" s="4" t="s">
        <v>458</v>
      </c>
      <c r="K59" s="4" t="s">
        <v>459</v>
      </c>
      <c r="L59" s="4" t="s">
        <v>460</v>
      </c>
      <c r="M59" s="4"/>
      <c r="N59" s="4" t="s">
        <v>90</v>
      </c>
      <c r="O59" s="4" t="s">
        <v>91</v>
      </c>
      <c r="P59" s="5">
        <f t="shared" si="17"/>
        <v>2</v>
      </c>
      <c r="Q59" s="5">
        <f t="shared" si="18"/>
        <v>0</v>
      </c>
      <c r="R59" s="5">
        <f t="shared" si="19"/>
        <v>1</v>
      </c>
      <c r="S59" s="5">
        <f t="shared" si="20"/>
        <v>0</v>
      </c>
      <c r="T59" s="5">
        <f t="shared" si="21"/>
        <v>0</v>
      </c>
      <c r="U59" s="5">
        <f t="shared" si="22"/>
        <v>0</v>
      </c>
      <c r="V59" s="5">
        <f t="shared" si="23"/>
        <v>1</v>
      </c>
      <c r="W59" s="5">
        <f t="shared" si="24"/>
        <v>0</v>
      </c>
      <c r="X59" s="5">
        <f t="shared" si="25"/>
        <v>0</v>
      </c>
      <c r="Y59" s="5">
        <f t="shared" si="26"/>
        <v>2</v>
      </c>
      <c r="Z59" s="5">
        <f t="shared" si="27"/>
        <v>0</v>
      </c>
      <c r="AA59" s="5">
        <f t="shared" si="28"/>
        <v>0</v>
      </c>
      <c r="AB59" s="5">
        <f t="shared" si="29"/>
        <v>0</v>
      </c>
      <c r="AC59" s="5">
        <f t="shared" si="30"/>
        <v>1</v>
      </c>
      <c r="AD59" s="5">
        <f t="shared" si="31"/>
        <v>0</v>
      </c>
      <c r="AE59" s="5">
        <f t="shared" si="32"/>
        <v>1</v>
      </c>
      <c r="AF59" s="5">
        <f t="shared" si="33"/>
        <v>0</v>
      </c>
    </row>
    <row r="60" spans="1:32" ht="75.95" customHeight="1">
      <c r="A60" s="4" t="s">
        <v>461</v>
      </c>
      <c r="B60" s="5">
        <v>59</v>
      </c>
      <c r="C60" s="4" t="s">
        <v>41</v>
      </c>
      <c r="D60" s="4" t="s">
        <v>462</v>
      </c>
      <c r="E60" s="4" t="s">
        <v>17</v>
      </c>
      <c r="F60" s="4" t="s">
        <v>29</v>
      </c>
      <c r="G60" s="4" t="s">
        <v>18</v>
      </c>
      <c r="H60" s="4" t="s">
        <v>30</v>
      </c>
      <c r="I60" s="4" t="s">
        <v>463</v>
      </c>
      <c r="J60" s="4" t="s">
        <v>464</v>
      </c>
      <c r="K60" s="4" t="s">
        <v>465</v>
      </c>
      <c r="L60" s="4" t="s">
        <v>466</v>
      </c>
      <c r="M60" s="4"/>
      <c r="N60" s="4" t="s">
        <v>90</v>
      </c>
      <c r="O60" s="4" t="s">
        <v>467</v>
      </c>
      <c r="P60" s="5">
        <f t="shared" si="17"/>
        <v>2</v>
      </c>
      <c r="Q60" s="5">
        <f t="shared" si="18"/>
        <v>0</v>
      </c>
      <c r="R60" s="5">
        <f t="shared" si="19"/>
        <v>1</v>
      </c>
      <c r="S60" s="5">
        <f t="shared" si="20"/>
        <v>0</v>
      </c>
      <c r="T60" s="5">
        <f t="shared" si="21"/>
        <v>0</v>
      </c>
      <c r="U60" s="5">
        <f t="shared" si="22"/>
        <v>0</v>
      </c>
      <c r="V60" s="5">
        <f t="shared" si="23"/>
        <v>1</v>
      </c>
      <c r="W60" s="5">
        <f t="shared" si="24"/>
        <v>0</v>
      </c>
      <c r="X60" s="5">
        <f t="shared" si="25"/>
        <v>0</v>
      </c>
      <c r="Y60" s="5">
        <f t="shared" si="26"/>
        <v>1</v>
      </c>
      <c r="Z60" s="5">
        <f t="shared" si="27"/>
        <v>0</v>
      </c>
      <c r="AA60" s="5">
        <f t="shared" si="28"/>
        <v>0</v>
      </c>
      <c r="AB60" s="5">
        <f t="shared" si="29"/>
        <v>0</v>
      </c>
      <c r="AC60" s="5">
        <f t="shared" si="30"/>
        <v>0</v>
      </c>
      <c r="AD60" s="5">
        <f t="shared" si="31"/>
        <v>0</v>
      </c>
      <c r="AE60" s="5">
        <f t="shared" si="32"/>
        <v>1</v>
      </c>
      <c r="AF60" s="5">
        <f t="shared" si="33"/>
        <v>0</v>
      </c>
    </row>
    <row r="61" spans="1:32" ht="122.1" customHeight="1">
      <c r="A61" s="4" t="s">
        <v>468</v>
      </c>
      <c r="B61" s="5">
        <v>60</v>
      </c>
      <c r="C61" s="4" t="s">
        <v>41</v>
      </c>
      <c r="D61" s="4" t="s">
        <v>469</v>
      </c>
      <c r="E61" s="4" t="s">
        <v>17</v>
      </c>
      <c r="F61" s="4" t="s">
        <v>29</v>
      </c>
      <c r="G61" s="4" t="s">
        <v>18</v>
      </c>
      <c r="H61" s="4" t="s">
        <v>470</v>
      </c>
      <c r="I61" s="4" t="s">
        <v>471</v>
      </c>
      <c r="J61" s="4" t="s">
        <v>472</v>
      </c>
      <c r="K61" s="4" t="s">
        <v>473</v>
      </c>
      <c r="L61" s="4" t="s">
        <v>474</v>
      </c>
      <c r="M61" s="4"/>
      <c r="N61" s="4" t="s">
        <v>90</v>
      </c>
      <c r="O61" s="4" t="s">
        <v>91</v>
      </c>
      <c r="P61" s="5">
        <f t="shared" si="17"/>
        <v>2</v>
      </c>
      <c r="Q61" s="5">
        <f t="shared" si="18"/>
        <v>0</v>
      </c>
      <c r="R61" s="5">
        <f t="shared" si="19"/>
        <v>1</v>
      </c>
      <c r="S61" s="5">
        <f t="shared" si="20"/>
        <v>0</v>
      </c>
      <c r="T61" s="5">
        <f t="shared" si="21"/>
        <v>0</v>
      </c>
      <c r="U61" s="5">
        <f t="shared" si="22"/>
        <v>0</v>
      </c>
      <c r="V61" s="5">
        <f t="shared" si="23"/>
        <v>1</v>
      </c>
      <c r="W61" s="5">
        <f t="shared" si="24"/>
        <v>0</v>
      </c>
      <c r="X61" s="5">
        <f t="shared" si="25"/>
        <v>0</v>
      </c>
      <c r="Y61" s="5">
        <f t="shared" si="26"/>
        <v>3</v>
      </c>
      <c r="Z61" s="5">
        <f t="shared" si="27"/>
        <v>0</v>
      </c>
      <c r="AA61" s="5">
        <f t="shared" si="28"/>
        <v>0</v>
      </c>
      <c r="AB61" s="5">
        <f t="shared" si="29"/>
        <v>0</v>
      </c>
      <c r="AC61" s="5">
        <f t="shared" si="30"/>
        <v>1</v>
      </c>
      <c r="AD61" s="5">
        <f t="shared" si="31"/>
        <v>1</v>
      </c>
      <c r="AE61" s="5">
        <f t="shared" si="32"/>
        <v>1</v>
      </c>
      <c r="AF61" s="5">
        <f t="shared" si="33"/>
        <v>0</v>
      </c>
    </row>
    <row r="62" spans="1:32" ht="122.1" customHeight="1">
      <c r="A62" s="4" t="s">
        <v>475</v>
      </c>
      <c r="B62" s="5">
        <v>61</v>
      </c>
      <c r="C62" s="4" t="s">
        <v>41</v>
      </c>
      <c r="D62" s="4" t="s">
        <v>476</v>
      </c>
      <c r="E62" s="4" t="s">
        <v>23</v>
      </c>
      <c r="F62" s="4" t="s">
        <v>404</v>
      </c>
      <c r="G62" s="4" t="s">
        <v>24</v>
      </c>
      <c r="H62" s="4" t="s">
        <v>477</v>
      </c>
      <c r="I62" s="4" t="s">
        <v>478</v>
      </c>
      <c r="J62" s="4" t="s">
        <v>479</v>
      </c>
      <c r="K62" s="4" t="s">
        <v>480</v>
      </c>
      <c r="L62" s="4" t="s">
        <v>481</v>
      </c>
      <c r="M62" s="4" t="s">
        <v>100</v>
      </c>
      <c r="N62" s="4" t="s">
        <v>90</v>
      </c>
      <c r="O62" s="4" t="s">
        <v>91</v>
      </c>
      <c r="P62" s="5">
        <f t="shared" si="17"/>
        <v>3</v>
      </c>
      <c r="Q62" s="5">
        <f t="shared" si="18"/>
        <v>0</v>
      </c>
      <c r="R62" s="5">
        <f t="shared" si="19"/>
        <v>1</v>
      </c>
      <c r="S62" s="5">
        <f t="shared" si="20"/>
        <v>0</v>
      </c>
      <c r="T62" s="5">
        <f t="shared" si="21"/>
        <v>1</v>
      </c>
      <c r="U62" s="5">
        <f t="shared" si="22"/>
        <v>0</v>
      </c>
      <c r="V62" s="5">
        <f t="shared" si="23"/>
        <v>1</v>
      </c>
      <c r="W62" s="5">
        <f t="shared" si="24"/>
        <v>0</v>
      </c>
      <c r="X62" s="5">
        <f t="shared" si="25"/>
        <v>0</v>
      </c>
      <c r="Y62" s="5">
        <f t="shared" si="26"/>
        <v>2</v>
      </c>
      <c r="Z62" s="5">
        <f t="shared" si="27"/>
        <v>0</v>
      </c>
      <c r="AA62" s="5">
        <f t="shared" si="28"/>
        <v>0</v>
      </c>
      <c r="AB62" s="5">
        <f t="shared" si="29"/>
        <v>1</v>
      </c>
      <c r="AC62" s="5">
        <f t="shared" si="30"/>
        <v>1</v>
      </c>
      <c r="AD62" s="5">
        <f t="shared" si="31"/>
        <v>0</v>
      </c>
      <c r="AE62" s="5">
        <f t="shared" si="32"/>
        <v>0</v>
      </c>
      <c r="AF62" s="5">
        <f t="shared" si="33"/>
        <v>0</v>
      </c>
    </row>
    <row r="63" spans="1:32" ht="75.95" customHeight="1">
      <c r="A63" s="4" t="s">
        <v>482</v>
      </c>
      <c r="B63" s="5">
        <v>62</v>
      </c>
      <c r="C63" s="4" t="s">
        <v>41</v>
      </c>
      <c r="D63" s="4" t="s">
        <v>483</v>
      </c>
      <c r="E63" s="4" t="s">
        <v>26</v>
      </c>
      <c r="F63" s="4" t="s">
        <v>17</v>
      </c>
      <c r="G63" s="4" t="s">
        <v>18</v>
      </c>
      <c r="H63" s="4" t="s">
        <v>178</v>
      </c>
      <c r="I63" s="4" t="s">
        <v>484</v>
      </c>
      <c r="J63" s="4" t="s">
        <v>485</v>
      </c>
      <c r="K63" s="4" t="s">
        <v>486</v>
      </c>
      <c r="L63" s="4" t="s">
        <v>487</v>
      </c>
      <c r="M63" s="4"/>
      <c r="N63" s="4" t="s">
        <v>90</v>
      </c>
      <c r="O63" s="4" t="s">
        <v>91</v>
      </c>
      <c r="P63" s="5">
        <f t="shared" si="17"/>
        <v>2</v>
      </c>
      <c r="Q63" s="5">
        <f t="shared" si="18"/>
        <v>0</v>
      </c>
      <c r="R63" s="5">
        <f t="shared" si="19"/>
        <v>1</v>
      </c>
      <c r="S63" s="5">
        <f t="shared" si="20"/>
        <v>0</v>
      </c>
      <c r="T63" s="5">
        <f t="shared" si="21"/>
        <v>0</v>
      </c>
      <c r="U63" s="5">
        <f t="shared" si="22"/>
        <v>1</v>
      </c>
      <c r="V63" s="5">
        <f t="shared" si="23"/>
        <v>0</v>
      </c>
      <c r="W63" s="5">
        <f t="shared" si="24"/>
        <v>0</v>
      </c>
      <c r="X63" s="5">
        <f t="shared" si="25"/>
        <v>0</v>
      </c>
      <c r="Y63" s="5">
        <f t="shared" si="26"/>
        <v>2</v>
      </c>
      <c r="Z63" s="5">
        <f t="shared" si="27"/>
        <v>0</v>
      </c>
      <c r="AA63" s="5">
        <f t="shared" si="28"/>
        <v>1</v>
      </c>
      <c r="AB63" s="5">
        <f t="shared" si="29"/>
        <v>0</v>
      </c>
      <c r="AC63" s="5">
        <f t="shared" si="30"/>
        <v>0</v>
      </c>
      <c r="AD63" s="5">
        <f t="shared" si="31"/>
        <v>0</v>
      </c>
      <c r="AE63" s="5">
        <f t="shared" si="32"/>
        <v>1</v>
      </c>
      <c r="AF63" s="5">
        <f t="shared" si="33"/>
        <v>0</v>
      </c>
    </row>
    <row r="64" spans="1:32" ht="75.95" customHeight="1">
      <c r="A64" s="4" t="s">
        <v>488</v>
      </c>
      <c r="B64" s="5">
        <v>63</v>
      </c>
      <c r="C64" s="4" t="s">
        <v>41</v>
      </c>
      <c r="D64" s="4" t="s">
        <v>489</v>
      </c>
      <c r="E64" s="4" t="s">
        <v>34</v>
      </c>
      <c r="F64" s="4" t="s">
        <v>20</v>
      </c>
      <c r="G64" s="4" t="s">
        <v>27</v>
      </c>
      <c r="H64" s="4" t="s">
        <v>432</v>
      </c>
      <c r="I64" s="4" t="s">
        <v>490</v>
      </c>
      <c r="J64" s="4" t="s">
        <v>491</v>
      </c>
      <c r="K64" s="4" t="s">
        <v>492</v>
      </c>
      <c r="L64" s="4" t="s">
        <v>493</v>
      </c>
      <c r="M64" s="4"/>
      <c r="N64" s="4" t="s">
        <v>90</v>
      </c>
      <c r="O64" s="4" t="s">
        <v>91</v>
      </c>
      <c r="P64" s="5">
        <f t="shared" si="17"/>
        <v>2</v>
      </c>
      <c r="Q64" s="5">
        <f t="shared" si="18"/>
        <v>0</v>
      </c>
      <c r="R64" s="5">
        <f t="shared" si="19"/>
        <v>0</v>
      </c>
      <c r="S64" s="5">
        <f t="shared" si="20"/>
        <v>1</v>
      </c>
      <c r="T64" s="5">
        <f t="shared" si="21"/>
        <v>0</v>
      </c>
      <c r="U64" s="5">
        <f t="shared" si="22"/>
        <v>0</v>
      </c>
      <c r="V64" s="5">
        <f t="shared" si="23"/>
        <v>0</v>
      </c>
      <c r="W64" s="5">
        <f t="shared" si="24"/>
        <v>0</v>
      </c>
      <c r="X64" s="5">
        <f t="shared" si="25"/>
        <v>1</v>
      </c>
      <c r="Y64" s="5">
        <f t="shared" si="26"/>
        <v>2</v>
      </c>
      <c r="Z64" s="5">
        <f t="shared" si="27"/>
        <v>0</v>
      </c>
      <c r="AA64" s="5">
        <f t="shared" si="28"/>
        <v>0</v>
      </c>
      <c r="AB64" s="5">
        <f t="shared" si="29"/>
        <v>0</v>
      </c>
      <c r="AC64" s="5">
        <f t="shared" si="30"/>
        <v>0</v>
      </c>
      <c r="AD64" s="5">
        <f t="shared" si="31"/>
        <v>1</v>
      </c>
      <c r="AE64" s="5">
        <f t="shared" si="32"/>
        <v>1</v>
      </c>
      <c r="AF64" s="5">
        <f t="shared" si="33"/>
        <v>0</v>
      </c>
    </row>
    <row r="65" spans="1:32" ht="75.95" customHeight="1">
      <c r="A65" s="4" t="s">
        <v>494</v>
      </c>
      <c r="B65" s="5">
        <v>64</v>
      </c>
      <c r="C65" s="4" t="s">
        <v>41</v>
      </c>
      <c r="D65" s="4" t="s">
        <v>495</v>
      </c>
      <c r="E65" s="4" t="s">
        <v>17</v>
      </c>
      <c r="F65" s="4"/>
      <c r="G65" s="4" t="s">
        <v>18</v>
      </c>
      <c r="H65" s="4" t="s">
        <v>33</v>
      </c>
      <c r="I65" s="4" t="s">
        <v>496</v>
      </c>
      <c r="J65" s="4" t="s">
        <v>497</v>
      </c>
      <c r="K65" s="4" t="s">
        <v>498</v>
      </c>
      <c r="L65" s="4" t="s">
        <v>499</v>
      </c>
      <c r="M65" s="4"/>
      <c r="N65" s="4" t="s">
        <v>90</v>
      </c>
      <c r="O65" s="4" t="s">
        <v>91</v>
      </c>
      <c r="P65" s="5">
        <f t="shared" si="17"/>
        <v>1</v>
      </c>
      <c r="Q65" s="5">
        <f t="shared" si="18"/>
        <v>0</v>
      </c>
      <c r="R65" s="5">
        <f t="shared" si="19"/>
        <v>1</v>
      </c>
      <c r="S65" s="5">
        <f t="shared" si="20"/>
        <v>0</v>
      </c>
      <c r="T65" s="5">
        <f t="shared" si="21"/>
        <v>0</v>
      </c>
      <c r="U65" s="5">
        <f t="shared" si="22"/>
        <v>0</v>
      </c>
      <c r="V65" s="5">
        <f t="shared" si="23"/>
        <v>0</v>
      </c>
      <c r="W65" s="5">
        <f t="shared" si="24"/>
        <v>0</v>
      </c>
      <c r="X65" s="5">
        <f t="shared" si="25"/>
        <v>0</v>
      </c>
      <c r="Y65" s="5">
        <f t="shared" si="26"/>
        <v>0</v>
      </c>
      <c r="Z65" s="5">
        <f t="shared" si="27"/>
        <v>0</v>
      </c>
      <c r="AA65" s="5">
        <f t="shared" si="28"/>
        <v>0</v>
      </c>
      <c r="AB65" s="5">
        <f t="shared" si="29"/>
        <v>0</v>
      </c>
      <c r="AC65" s="5">
        <f t="shared" si="30"/>
        <v>0</v>
      </c>
      <c r="AD65" s="5">
        <f t="shared" si="31"/>
        <v>0</v>
      </c>
      <c r="AE65" s="5">
        <f t="shared" si="32"/>
        <v>0</v>
      </c>
      <c r="AF65" s="5">
        <f t="shared" si="33"/>
        <v>1</v>
      </c>
    </row>
    <row r="66" spans="1:32" ht="75.95" customHeight="1">
      <c r="A66" s="4" t="s">
        <v>500</v>
      </c>
      <c r="B66" s="5">
        <v>65</v>
      </c>
      <c r="C66" s="4" t="s">
        <v>41</v>
      </c>
      <c r="D66" s="4" t="s">
        <v>501</v>
      </c>
      <c r="E66" s="4" t="s">
        <v>23</v>
      </c>
      <c r="F66" s="4"/>
      <c r="G66" s="4" t="s">
        <v>24</v>
      </c>
      <c r="H66" s="4" t="s">
        <v>178</v>
      </c>
      <c r="I66" s="4" t="s">
        <v>502</v>
      </c>
      <c r="J66" s="4" t="s">
        <v>503</v>
      </c>
      <c r="K66" s="4" t="s">
        <v>504</v>
      </c>
      <c r="L66" s="4" t="s">
        <v>505</v>
      </c>
      <c r="M66" s="4"/>
      <c r="N66" s="4" t="s">
        <v>90</v>
      </c>
      <c r="O66" s="4" t="s">
        <v>91</v>
      </c>
      <c r="P66" s="5">
        <f t="shared" ref="P66:P97" si="34">SUM(Q66:X66)</f>
        <v>1</v>
      </c>
      <c r="Q66" s="5">
        <f t="shared" ref="Q66:Q97" si="35">IF(OR(E66="Delegation",ISNUMBER(SEARCH("; Delegation; ","; "&amp;F66&amp;"; "))),1,0)</f>
        <v>0</v>
      </c>
      <c r="R66" s="5">
        <f t="shared" ref="R66:R97" si="36">IF(OR(E66="Directed delegation",ISNUMBER(SEARCH("; Directed delegation; ","; "&amp;F66&amp;"; "))),1,0)</f>
        <v>0</v>
      </c>
      <c r="S66" s="5">
        <f t="shared" ref="S66:S97" si="37">IF(OR(E66="Evaluation",ISNUMBER(SEARCH("; Evaluation; ","; "&amp;F66&amp;"; "))),1,0)</f>
        <v>0</v>
      </c>
      <c r="T66" s="5">
        <f t="shared" ref="T66:T97" si="38">IF(OR(E66="Correction/Challenge",ISNUMBER(SEARCH("; Correction/Challenge; ","; "&amp;F66&amp;"; "))),1,0)</f>
        <v>1</v>
      </c>
      <c r="U66" s="5">
        <f t="shared" ref="U66:U97" si="39">IF(OR(E66="Redirection",ISNUMBER(SEARCH("; Redirection; ","; "&amp;F66&amp;"; "))),1,0)</f>
        <v>0</v>
      </c>
      <c r="V66" s="5">
        <f t="shared" ref="V66:V97" si="40">IF(OR(E66="Knowledge injection",ISNUMBER(SEARCH("; Knowledge injection; ","; "&amp;F66&amp;"; "))),1,0)</f>
        <v>0</v>
      </c>
      <c r="W66" s="5">
        <f t="shared" ref="W66:W97" si="41">IF(OR(E66="Selection/Rejection",ISNUMBER(SEARCH("; Selection/Rejection; ","; "&amp;F66&amp;"; "))),1,0)</f>
        <v>0</v>
      </c>
      <c r="X66" s="5">
        <f t="shared" ref="X66:X97" si="42">IF(OR(E66="Deliberation",ISNUMBER(SEARCH("; Deliberation; ","; "&amp;F66&amp;"; "))),1,0)</f>
        <v>0</v>
      </c>
      <c r="Y66" s="5">
        <f t="shared" ref="Y66:Y97" si="43">SUM(Z66:AE66)</f>
        <v>2</v>
      </c>
      <c r="Z66" s="5">
        <f t="shared" ref="Z66:Z97" si="44">IF(ISNUMBER(SEARCH("; domain correction; ","; "&amp;H66&amp;"; ")),1,0)</f>
        <v>0</v>
      </c>
      <c r="AA66" s="5">
        <f t="shared" ref="AA66:AA97" si="45">IF(ISNUMBER(SEARCH("; conceptual discrimination; ","; "&amp;H66&amp;"; ")),1,0)</f>
        <v>1</v>
      </c>
      <c r="AB66" s="5">
        <f t="shared" ref="AB66:AB97" si="46">IF(ISNUMBER(SEARCH("; evidence judgment; ","; "&amp;H66&amp;"; ")),1,0)</f>
        <v>0</v>
      </c>
      <c r="AC66" s="5">
        <f t="shared" ref="AC66:AC97" si="47">IF(ISNUMBER(SEARCH("; methodological judgment; ","; "&amp;H66&amp;"; ")),1,0)</f>
        <v>0</v>
      </c>
      <c r="AD66" s="5">
        <f t="shared" ref="AD66:AD97" si="48">IF(ISNUMBER(SEARCH("; argumentative judgment; ","; "&amp;H66&amp;"; ")),1,0)</f>
        <v>0</v>
      </c>
      <c r="AE66" s="5">
        <f t="shared" ref="AE66:AE97" si="49">IF(ISNUMBER(SEARCH("; genre/writing expertise; ","; "&amp;H66&amp;"; ")),1,0)</f>
        <v>1</v>
      </c>
      <c r="AF66" s="5">
        <f t="shared" ref="AF66:AF97" si="50">IF(ISNUMBER(SEARCH("; none; ","; "&amp;H66&amp;"; ")),1,0)</f>
        <v>0</v>
      </c>
    </row>
    <row r="67" spans="1:32" ht="122.1" customHeight="1">
      <c r="A67" s="4" t="s">
        <v>506</v>
      </c>
      <c r="B67" s="5">
        <v>66</v>
      </c>
      <c r="C67" s="4" t="s">
        <v>41</v>
      </c>
      <c r="D67" s="4" t="s">
        <v>507</v>
      </c>
      <c r="E67" s="4" t="s">
        <v>29</v>
      </c>
      <c r="F67" s="4" t="s">
        <v>17</v>
      </c>
      <c r="G67" s="4" t="s">
        <v>18</v>
      </c>
      <c r="H67" s="4" t="s">
        <v>152</v>
      </c>
      <c r="I67" s="4" t="s">
        <v>508</v>
      </c>
      <c r="J67" s="4" t="s">
        <v>509</v>
      </c>
      <c r="K67" s="4" t="s">
        <v>510</v>
      </c>
      <c r="L67" s="4" t="s">
        <v>511</v>
      </c>
      <c r="M67" s="4"/>
      <c r="N67" s="4" t="s">
        <v>90</v>
      </c>
      <c r="O67" s="4" t="s">
        <v>91</v>
      </c>
      <c r="P67" s="5">
        <f t="shared" si="34"/>
        <v>2</v>
      </c>
      <c r="Q67" s="5">
        <f t="shared" si="35"/>
        <v>0</v>
      </c>
      <c r="R67" s="5">
        <f t="shared" si="36"/>
        <v>1</v>
      </c>
      <c r="S67" s="5">
        <f t="shared" si="37"/>
        <v>0</v>
      </c>
      <c r="T67" s="5">
        <f t="shared" si="38"/>
        <v>0</v>
      </c>
      <c r="U67" s="5">
        <f t="shared" si="39"/>
        <v>0</v>
      </c>
      <c r="V67" s="5">
        <f t="shared" si="40"/>
        <v>1</v>
      </c>
      <c r="W67" s="5">
        <f t="shared" si="41"/>
        <v>0</v>
      </c>
      <c r="X67" s="5">
        <f t="shared" si="42"/>
        <v>0</v>
      </c>
      <c r="Y67" s="5">
        <f t="shared" si="43"/>
        <v>3</v>
      </c>
      <c r="Z67" s="5">
        <f t="shared" si="44"/>
        <v>0</v>
      </c>
      <c r="AA67" s="5">
        <f t="shared" si="45"/>
        <v>1</v>
      </c>
      <c r="AB67" s="5">
        <f t="shared" si="46"/>
        <v>0</v>
      </c>
      <c r="AC67" s="5">
        <f t="shared" si="47"/>
        <v>1</v>
      </c>
      <c r="AD67" s="5">
        <f t="shared" si="48"/>
        <v>1</v>
      </c>
      <c r="AE67" s="5">
        <f t="shared" si="49"/>
        <v>0</v>
      </c>
      <c r="AF67" s="5">
        <f t="shared" si="50"/>
        <v>0</v>
      </c>
    </row>
    <row r="68" spans="1:32" ht="75.95" customHeight="1">
      <c r="A68" s="4" t="s">
        <v>512</v>
      </c>
      <c r="B68" s="5">
        <v>67</v>
      </c>
      <c r="C68" s="4" t="s">
        <v>41</v>
      </c>
      <c r="D68" s="4" t="s">
        <v>513</v>
      </c>
      <c r="E68" s="4" t="s">
        <v>17</v>
      </c>
      <c r="F68" s="4"/>
      <c r="G68" s="4" t="s">
        <v>18</v>
      </c>
      <c r="H68" s="4" t="s">
        <v>33</v>
      </c>
      <c r="I68" s="4" t="s">
        <v>514</v>
      </c>
      <c r="J68" s="4" t="s">
        <v>255</v>
      </c>
      <c r="K68" s="4" t="s">
        <v>515</v>
      </c>
      <c r="L68" s="4" t="s">
        <v>516</v>
      </c>
      <c r="M68" s="4"/>
      <c r="N68" s="4" t="s">
        <v>90</v>
      </c>
      <c r="O68" s="4" t="s">
        <v>91</v>
      </c>
      <c r="P68" s="5">
        <f t="shared" si="34"/>
        <v>1</v>
      </c>
      <c r="Q68" s="5">
        <f t="shared" si="35"/>
        <v>0</v>
      </c>
      <c r="R68" s="5">
        <f t="shared" si="36"/>
        <v>1</v>
      </c>
      <c r="S68" s="5">
        <f t="shared" si="37"/>
        <v>0</v>
      </c>
      <c r="T68" s="5">
        <f t="shared" si="38"/>
        <v>0</v>
      </c>
      <c r="U68" s="5">
        <f t="shared" si="39"/>
        <v>0</v>
      </c>
      <c r="V68" s="5">
        <f t="shared" si="40"/>
        <v>0</v>
      </c>
      <c r="W68" s="5">
        <f t="shared" si="41"/>
        <v>0</v>
      </c>
      <c r="X68" s="5">
        <f t="shared" si="42"/>
        <v>0</v>
      </c>
      <c r="Y68" s="5">
        <f t="shared" si="43"/>
        <v>0</v>
      </c>
      <c r="Z68" s="5">
        <f t="shared" si="44"/>
        <v>0</v>
      </c>
      <c r="AA68" s="5">
        <f t="shared" si="45"/>
        <v>0</v>
      </c>
      <c r="AB68" s="5">
        <f t="shared" si="46"/>
        <v>0</v>
      </c>
      <c r="AC68" s="5">
        <f t="shared" si="47"/>
        <v>0</v>
      </c>
      <c r="AD68" s="5">
        <f t="shared" si="48"/>
        <v>0</v>
      </c>
      <c r="AE68" s="5">
        <f t="shared" si="49"/>
        <v>0</v>
      </c>
      <c r="AF68" s="5">
        <f t="shared" si="50"/>
        <v>1</v>
      </c>
    </row>
    <row r="69" spans="1:32" ht="93.95" customHeight="1">
      <c r="A69" s="4" t="s">
        <v>517</v>
      </c>
      <c r="B69" s="5">
        <v>68</v>
      </c>
      <c r="C69" s="4" t="s">
        <v>41</v>
      </c>
      <c r="D69" s="4" t="s">
        <v>518</v>
      </c>
      <c r="E69" s="4" t="s">
        <v>23</v>
      </c>
      <c r="F69" s="4" t="s">
        <v>272</v>
      </c>
      <c r="G69" s="4" t="s">
        <v>24</v>
      </c>
      <c r="H69" s="4" t="s">
        <v>432</v>
      </c>
      <c r="I69" s="4" t="s">
        <v>519</v>
      </c>
      <c r="J69" s="4" t="s">
        <v>520</v>
      </c>
      <c r="K69" s="4" t="s">
        <v>521</v>
      </c>
      <c r="L69" s="4" t="s">
        <v>522</v>
      </c>
      <c r="M69" s="4"/>
      <c r="N69" s="4" t="s">
        <v>90</v>
      </c>
      <c r="O69" s="4" t="s">
        <v>91</v>
      </c>
      <c r="P69" s="5">
        <f t="shared" si="34"/>
        <v>3</v>
      </c>
      <c r="Q69" s="5">
        <f t="shared" si="35"/>
        <v>0</v>
      </c>
      <c r="R69" s="5">
        <f t="shared" si="36"/>
        <v>1</v>
      </c>
      <c r="S69" s="5">
        <f t="shared" si="37"/>
        <v>0</v>
      </c>
      <c r="T69" s="5">
        <f t="shared" si="38"/>
        <v>1</v>
      </c>
      <c r="U69" s="5">
        <f t="shared" si="39"/>
        <v>1</v>
      </c>
      <c r="V69" s="5">
        <f t="shared" si="40"/>
        <v>0</v>
      </c>
      <c r="W69" s="5">
        <f t="shared" si="41"/>
        <v>0</v>
      </c>
      <c r="X69" s="5">
        <f t="shared" si="42"/>
        <v>0</v>
      </c>
      <c r="Y69" s="5">
        <f t="shared" si="43"/>
        <v>2</v>
      </c>
      <c r="Z69" s="5">
        <f t="shared" si="44"/>
        <v>0</v>
      </c>
      <c r="AA69" s="5">
        <f t="shared" si="45"/>
        <v>0</v>
      </c>
      <c r="AB69" s="5">
        <f t="shared" si="46"/>
        <v>0</v>
      </c>
      <c r="AC69" s="5">
        <f t="shared" si="47"/>
        <v>0</v>
      </c>
      <c r="AD69" s="5">
        <f t="shared" si="48"/>
        <v>1</v>
      </c>
      <c r="AE69" s="5">
        <f t="shared" si="49"/>
        <v>1</v>
      </c>
      <c r="AF69" s="5">
        <f t="shared" si="50"/>
        <v>0</v>
      </c>
    </row>
    <row r="70" spans="1:32" ht="75.95" customHeight="1">
      <c r="A70" s="4" t="s">
        <v>523</v>
      </c>
      <c r="B70" s="5">
        <v>69</v>
      </c>
      <c r="C70" s="4" t="s">
        <v>41</v>
      </c>
      <c r="D70" s="4" t="s">
        <v>524</v>
      </c>
      <c r="E70" s="4" t="s">
        <v>23</v>
      </c>
      <c r="F70" s="4"/>
      <c r="G70" s="4" t="s">
        <v>24</v>
      </c>
      <c r="H70" s="4" t="s">
        <v>19</v>
      </c>
      <c r="I70" s="4" t="s">
        <v>525</v>
      </c>
      <c r="J70" s="4" t="s">
        <v>526</v>
      </c>
      <c r="K70" s="4" t="s">
        <v>527</v>
      </c>
      <c r="L70" s="4" t="s">
        <v>528</v>
      </c>
      <c r="M70" s="4"/>
      <c r="N70" s="4" t="s">
        <v>90</v>
      </c>
      <c r="O70" s="4" t="s">
        <v>91</v>
      </c>
      <c r="P70" s="5">
        <f t="shared" si="34"/>
        <v>1</v>
      </c>
      <c r="Q70" s="5">
        <f t="shared" si="35"/>
        <v>0</v>
      </c>
      <c r="R70" s="5">
        <f t="shared" si="36"/>
        <v>0</v>
      </c>
      <c r="S70" s="5">
        <f t="shared" si="37"/>
        <v>0</v>
      </c>
      <c r="T70" s="5">
        <f t="shared" si="38"/>
        <v>1</v>
      </c>
      <c r="U70" s="5">
        <f t="shared" si="39"/>
        <v>0</v>
      </c>
      <c r="V70" s="5">
        <f t="shared" si="40"/>
        <v>0</v>
      </c>
      <c r="W70" s="5">
        <f t="shared" si="41"/>
        <v>0</v>
      </c>
      <c r="X70" s="5">
        <f t="shared" si="42"/>
        <v>0</v>
      </c>
      <c r="Y70" s="5">
        <f t="shared" si="43"/>
        <v>1</v>
      </c>
      <c r="Z70" s="5">
        <f t="shared" si="44"/>
        <v>0</v>
      </c>
      <c r="AA70" s="5">
        <f t="shared" si="45"/>
        <v>1</v>
      </c>
      <c r="AB70" s="5">
        <f t="shared" si="46"/>
        <v>0</v>
      </c>
      <c r="AC70" s="5">
        <f t="shared" si="47"/>
        <v>0</v>
      </c>
      <c r="AD70" s="5">
        <f t="shared" si="48"/>
        <v>0</v>
      </c>
      <c r="AE70" s="5">
        <f t="shared" si="49"/>
        <v>0</v>
      </c>
      <c r="AF70" s="5">
        <f t="shared" si="50"/>
        <v>0</v>
      </c>
    </row>
    <row r="71" spans="1:32" ht="75.95" customHeight="1">
      <c r="A71" s="4" t="s">
        <v>529</v>
      </c>
      <c r="B71" s="5">
        <v>70</v>
      </c>
      <c r="C71" s="4" t="s">
        <v>41</v>
      </c>
      <c r="D71" s="4" t="s">
        <v>530</v>
      </c>
      <c r="E71" s="4" t="s">
        <v>26</v>
      </c>
      <c r="F71" s="4" t="s">
        <v>17</v>
      </c>
      <c r="G71" s="4" t="s">
        <v>18</v>
      </c>
      <c r="H71" s="4" t="s">
        <v>30</v>
      </c>
      <c r="I71" s="4" t="s">
        <v>531</v>
      </c>
      <c r="J71" s="4" t="s">
        <v>532</v>
      </c>
      <c r="K71" s="4" t="s">
        <v>533</v>
      </c>
      <c r="L71" s="4" t="s">
        <v>534</v>
      </c>
      <c r="M71" s="4"/>
      <c r="N71" s="4" t="s">
        <v>90</v>
      </c>
      <c r="O71" s="4" t="s">
        <v>91</v>
      </c>
      <c r="P71" s="5">
        <f t="shared" si="34"/>
        <v>2</v>
      </c>
      <c r="Q71" s="5">
        <f t="shared" si="35"/>
        <v>0</v>
      </c>
      <c r="R71" s="5">
        <f t="shared" si="36"/>
        <v>1</v>
      </c>
      <c r="S71" s="5">
        <f t="shared" si="37"/>
        <v>0</v>
      </c>
      <c r="T71" s="5">
        <f t="shared" si="38"/>
        <v>0</v>
      </c>
      <c r="U71" s="5">
        <f t="shared" si="39"/>
        <v>1</v>
      </c>
      <c r="V71" s="5">
        <f t="shared" si="40"/>
        <v>0</v>
      </c>
      <c r="W71" s="5">
        <f t="shared" si="41"/>
        <v>0</v>
      </c>
      <c r="X71" s="5">
        <f t="shared" si="42"/>
        <v>0</v>
      </c>
      <c r="Y71" s="5">
        <f t="shared" si="43"/>
        <v>1</v>
      </c>
      <c r="Z71" s="5">
        <f t="shared" si="44"/>
        <v>0</v>
      </c>
      <c r="AA71" s="5">
        <f t="shared" si="45"/>
        <v>0</v>
      </c>
      <c r="AB71" s="5">
        <f t="shared" si="46"/>
        <v>0</v>
      </c>
      <c r="AC71" s="5">
        <f t="shared" si="47"/>
        <v>0</v>
      </c>
      <c r="AD71" s="5">
        <f t="shared" si="48"/>
        <v>0</v>
      </c>
      <c r="AE71" s="5">
        <f t="shared" si="49"/>
        <v>1</v>
      </c>
      <c r="AF71" s="5">
        <f t="shared" si="50"/>
        <v>0</v>
      </c>
    </row>
    <row r="72" spans="1:32" ht="122.1" customHeight="1">
      <c r="A72" s="4" t="s">
        <v>535</v>
      </c>
      <c r="B72" s="5">
        <v>71</v>
      </c>
      <c r="C72" s="4" t="s">
        <v>41</v>
      </c>
      <c r="D72" s="4" t="s">
        <v>536</v>
      </c>
      <c r="E72" s="4" t="s">
        <v>17</v>
      </c>
      <c r="F72" s="4" t="s">
        <v>29</v>
      </c>
      <c r="G72" s="4" t="s">
        <v>18</v>
      </c>
      <c r="H72" s="4" t="s">
        <v>537</v>
      </c>
      <c r="I72" s="4" t="s">
        <v>538</v>
      </c>
      <c r="J72" s="4" t="s">
        <v>539</v>
      </c>
      <c r="K72" s="4" t="s">
        <v>540</v>
      </c>
      <c r="L72" s="4" t="s">
        <v>541</v>
      </c>
      <c r="M72" s="4" t="s">
        <v>340</v>
      </c>
      <c r="N72" s="4" t="s">
        <v>90</v>
      </c>
      <c r="O72" s="4" t="s">
        <v>91</v>
      </c>
      <c r="P72" s="5">
        <f t="shared" si="34"/>
        <v>2</v>
      </c>
      <c r="Q72" s="5">
        <f t="shared" si="35"/>
        <v>0</v>
      </c>
      <c r="R72" s="5">
        <f t="shared" si="36"/>
        <v>1</v>
      </c>
      <c r="S72" s="5">
        <f t="shared" si="37"/>
        <v>0</v>
      </c>
      <c r="T72" s="5">
        <f t="shared" si="38"/>
        <v>0</v>
      </c>
      <c r="U72" s="5">
        <f t="shared" si="39"/>
        <v>0</v>
      </c>
      <c r="V72" s="5">
        <f t="shared" si="40"/>
        <v>1</v>
      </c>
      <c r="W72" s="5">
        <f t="shared" si="41"/>
        <v>0</v>
      </c>
      <c r="X72" s="5">
        <f t="shared" si="42"/>
        <v>0</v>
      </c>
      <c r="Y72" s="5">
        <f t="shared" si="43"/>
        <v>3</v>
      </c>
      <c r="Z72" s="5">
        <f t="shared" si="44"/>
        <v>0</v>
      </c>
      <c r="AA72" s="5">
        <f t="shared" si="45"/>
        <v>1</v>
      </c>
      <c r="AB72" s="5">
        <f t="shared" si="46"/>
        <v>0</v>
      </c>
      <c r="AC72" s="5">
        <f t="shared" si="47"/>
        <v>0</v>
      </c>
      <c r="AD72" s="5">
        <f t="shared" si="48"/>
        <v>1</v>
      </c>
      <c r="AE72" s="5">
        <f t="shared" si="49"/>
        <v>1</v>
      </c>
      <c r="AF72" s="5">
        <f t="shared" si="50"/>
        <v>0</v>
      </c>
    </row>
    <row r="73" spans="1:32" ht="75.95" customHeight="1">
      <c r="A73" s="4" t="s">
        <v>542</v>
      </c>
      <c r="B73" s="5">
        <v>72</v>
      </c>
      <c r="C73" s="4" t="s">
        <v>41</v>
      </c>
      <c r="D73" s="4" t="s">
        <v>543</v>
      </c>
      <c r="E73" s="4" t="s">
        <v>23</v>
      </c>
      <c r="F73" s="4"/>
      <c r="G73" s="4" t="s">
        <v>24</v>
      </c>
      <c r="H73" s="4" t="s">
        <v>30</v>
      </c>
      <c r="I73" s="4" t="s">
        <v>544</v>
      </c>
      <c r="J73" s="4" t="s">
        <v>545</v>
      </c>
      <c r="K73" s="4" t="s">
        <v>546</v>
      </c>
      <c r="L73" s="4" t="s">
        <v>547</v>
      </c>
      <c r="M73" s="4"/>
      <c r="N73" s="4" t="s">
        <v>90</v>
      </c>
      <c r="O73" s="4" t="s">
        <v>91</v>
      </c>
      <c r="P73" s="5">
        <f t="shared" si="34"/>
        <v>1</v>
      </c>
      <c r="Q73" s="5">
        <f t="shared" si="35"/>
        <v>0</v>
      </c>
      <c r="R73" s="5">
        <f t="shared" si="36"/>
        <v>0</v>
      </c>
      <c r="S73" s="5">
        <f t="shared" si="37"/>
        <v>0</v>
      </c>
      <c r="T73" s="5">
        <f t="shared" si="38"/>
        <v>1</v>
      </c>
      <c r="U73" s="5">
        <f t="shared" si="39"/>
        <v>0</v>
      </c>
      <c r="V73" s="5">
        <f t="shared" si="40"/>
        <v>0</v>
      </c>
      <c r="W73" s="5">
        <f t="shared" si="41"/>
        <v>0</v>
      </c>
      <c r="X73" s="5">
        <f t="shared" si="42"/>
        <v>0</v>
      </c>
      <c r="Y73" s="5">
        <f t="shared" si="43"/>
        <v>1</v>
      </c>
      <c r="Z73" s="5">
        <f t="shared" si="44"/>
        <v>0</v>
      </c>
      <c r="AA73" s="5">
        <f t="shared" si="45"/>
        <v>0</v>
      </c>
      <c r="AB73" s="5">
        <f t="shared" si="46"/>
        <v>0</v>
      </c>
      <c r="AC73" s="5">
        <f t="shared" si="47"/>
        <v>0</v>
      </c>
      <c r="AD73" s="5">
        <f t="shared" si="48"/>
        <v>0</v>
      </c>
      <c r="AE73" s="5">
        <f t="shared" si="49"/>
        <v>1</v>
      </c>
      <c r="AF73" s="5">
        <f t="shared" si="50"/>
        <v>0</v>
      </c>
    </row>
    <row r="74" spans="1:32" ht="122.1" customHeight="1">
      <c r="A74" s="4" t="s">
        <v>548</v>
      </c>
      <c r="B74" s="5">
        <v>73</v>
      </c>
      <c r="C74" s="4" t="s">
        <v>41</v>
      </c>
      <c r="D74" s="4" t="s">
        <v>549</v>
      </c>
      <c r="E74" s="4" t="s">
        <v>17</v>
      </c>
      <c r="F74" s="4" t="s">
        <v>29</v>
      </c>
      <c r="G74" s="4" t="s">
        <v>18</v>
      </c>
      <c r="H74" s="4" t="s">
        <v>112</v>
      </c>
      <c r="I74" s="4" t="s">
        <v>550</v>
      </c>
      <c r="J74" s="4" t="s">
        <v>551</v>
      </c>
      <c r="K74" s="4" t="s">
        <v>552</v>
      </c>
      <c r="L74" s="4" t="s">
        <v>553</v>
      </c>
      <c r="M74" s="4" t="s">
        <v>89</v>
      </c>
      <c r="N74" s="4" t="s">
        <v>90</v>
      </c>
      <c r="O74" s="4" t="s">
        <v>91</v>
      </c>
      <c r="P74" s="5">
        <f t="shared" si="34"/>
        <v>2</v>
      </c>
      <c r="Q74" s="5">
        <f t="shared" si="35"/>
        <v>0</v>
      </c>
      <c r="R74" s="5">
        <f t="shared" si="36"/>
        <v>1</v>
      </c>
      <c r="S74" s="5">
        <f t="shared" si="37"/>
        <v>0</v>
      </c>
      <c r="T74" s="5">
        <f t="shared" si="38"/>
        <v>0</v>
      </c>
      <c r="U74" s="5">
        <f t="shared" si="39"/>
        <v>0</v>
      </c>
      <c r="V74" s="5">
        <f t="shared" si="40"/>
        <v>1</v>
      </c>
      <c r="W74" s="5">
        <f t="shared" si="41"/>
        <v>0</v>
      </c>
      <c r="X74" s="5">
        <f t="shared" si="42"/>
        <v>0</v>
      </c>
      <c r="Y74" s="5">
        <f t="shared" si="43"/>
        <v>3</v>
      </c>
      <c r="Z74" s="5">
        <f t="shared" si="44"/>
        <v>0</v>
      </c>
      <c r="AA74" s="5">
        <f t="shared" si="45"/>
        <v>0</v>
      </c>
      <c r="AB74" s="5">
        <f t="shared" si="46"/>
        <v>1</v>
      </c>
      <c r="AC74" s="5">
        <f t="shared" si="47"/>
        <v>0</v>
      </c>
      <c r="AD74" s="5">
        <f t="shared" si="48"/>
        <v>1</v>
      </c>
      <c r="AE74" s="5">
        <f t="shared" si="49"/>
        <v>1</v>
      </c>
      <c r="AF74" s="5">
        <f t="shared" si="50"/>
        <v>0</v>
      </c>
    </row>
    <row r="75" spans="1:32" ht="122.1" customHeight="1">
      <c r="A75" s="4" t="s">
        <v>554</v>
      </c>
      <c r="B75" s="5">
        <v>74</v>
      </c>
      <c r="C75" s="4" t="s">
        <v>41</v>
      </c>
      <c r="D75" s="4" t="s">
        <v>555</v>
      </c>
      <c r="E75" s="4" t="s">
        <v>29</v>
      </c>
      <c r="F75" s="4" t="s">
        <v>272</v>
      </c>
      <c r="G75" s="4" t="s">
        <v>18</v>
      </c>
      <c r="H75" s="4" t="s">
        <v>191</v>
      </c>
      <c r="I75" s="4" t="s">
        <v>556</v>
      </c>
      <c r="J75" s="4" t="s">
        <v>557</v>
      </c>
      <c r="K75" s="4" t="s">
        <v>558</v>
      </c>
      <c r="L75" s="4" t="s">
        <v>559</v>
      </c>
      <c r="M75" s="4"/>
      <c r="N75" s="4" t="s">
        <v>90</v>
      </c>
      <c r="O75" s="4" t="s">
        <v>91</v>
      </c>
      <c r="P75" s="5">
        <f t="shared" si="34"/>
        <v>3</v>
      </c>
      <c r="Q75" s="5">
        <f t="shared" si="35"/>
        <v>0</v>
      </c>
      <c r="R75" s="5">
        <f t="shared" si="36"/>
        <v>1</v>
      </c>
      <c r="S75" s="5">
        <f t="shared" si="37"/>
        <v>0</v>
      </c>
      <c r="T75" s="5">
        <f t="shared" si="38"/>
        <v>0</v>
      </c>
      <c r="U75" s="5">
        <f t="shared" si="39"/>
        <v>1</v>
      </c>
      <c r="V75" s="5">
        <f t="shared" si="40"/>
        <v>1</v>
      </c>
      <c r="W75" s="5">
        <f t="shared" si="41"/>
        <v>0</v>
      </c>
      <c r="X75" s="5">
        <f t="shared" si="42"/>
        <v>0</v>
      </c>
      <c r="Y75" s="5">
        <f t="shared" si="43"/>
        <v>3</v>
      </c>
      <c r="Z75" s="5">
        <f t="shared" si="44"/>
        <v>1</v>
      </c>
      <c r="AA75" s="5">
        <f t="shared" si="45"/>
        <v>1</v>
      </c>
      <c r="AB75" s="5">
        <f t="shared" si="46"/>
        <v>0</v>
      </c>
      <c r="AC75" s="5">
        <f t="shared" si="47"/>
        <v>0</v>
      </c>
      <c r="AD75" s="5">
        <f t="shared" si="48"/>
        <v>1</v>
      </c>
      <c r="AE75" s="5">
        <f t="shared" si="49"/>
        <v>0</v>
      </c>
      <c r="AF75" s="5">
        <f t="shared" si="50"/>
        <v>0</v>
      </c>
    </row>
    <row r="76" spans="1:32" ht="75.95" customHeight="1">
      <c r="A76" s="4" t="s">
        <v>560</v>
      </c>
      <c r="B76" s="5">
        <v>75</v>
      </c>
      <c r="C76" s="4" t="s">
        <v>41</v>
      </c>
      <c r="D76" s="4" t="s">
        <v>561</v>
      </c>
      <c r="E76" s="4" t="s">
        <v>20</v>
      </c>
      <c r="F76" s="4"/>
      <c r="G76" s="4" t="s">
        <v>21</v>
      </c>
      <c r="H76" s="4" t="s">
        <v>30</v>
      </c>
      <c r="I76" s="4" t="s">
        <v>562</v>
      </c>
      <c r="J76" s="4" t="s">
        <v>563</v>
      </c>
      <c r="K76" s="4" t="s">
        <v>564</v>
      </c>
      <c r="L76" s="4" t="s">
        <v>565</v>
      </c>
      <c r="M76" s="4"/>
      <c r="N76" s="4" t="s">
        <v>90</v>
      </c>
      <c r="O76" s="4" t="s">
        <v>91</v>
      </c>
      <c r="P76" s="5">
        <f t="shared" si="34"/>
        <v>1</v>
      </c>
      <c r="Q76" s="5">
        <f t="shared" si="35"/>
        <v>0</v>
      </c>
      <c r="R76" s="5">
        <f t="shared" si="36"/>
        <v>0</v>
      </c>
      <c r="S76" s="5">
        <f t="shared" si="37"/>
        <v>1</v>
      </c>
      <c r="T76" s="5">
        <f t="shared" si="38"/>
        <v>0</v>
      </c>
      <c r="U76" s="5">
        <f t="shared" si="39"/>
        <v>0</v>
      </c>
      <c r="V76" s="5">
        <f t="shared" si="40"/>
        <v>0</v>
      </c>
      <c r="W76" s="5">
        <f t="shared" si="41"/>
        <v>0</v>
      </c>
      <c r="X76" s="5">
        <f t="shared" si="42"/>
        <v>0</v>
      </c>
      <c r="Y76" s="5">
        <f t="shared" si="43"/>
        <v>1</v>
      </c>
      <c r="Z76" s="5">
        <f t="shared" si="44"/>
        <v>0</v>
      </c>
      <c r="AA76" s="5">
        <f t="shared" si="45"/>
        <v>0</v>
      </c>
      <c r="AB76" s="5">
        <f t="shared" si="46"/>
        <v>0</v>
      </c>
      <c r="AC76" s="5">
        <f t="shared" si="47"/>
        <v>0</v>
      </c>
      <c r="AD76" s="5">
        <f t="shared" si="48"/>
        <v>0</v>
      </c>
      <c r="AE76" s="5">
        <f t="shared" si="49"/>
        <v>1</v>
      </c>
      <c r="AF76" s="5">
        <f t="shared" si="50"/>
        <v>0</v>
      </c>
    </row>
    <row r="77" spans="1:32" ht="122.1" customHeight="1">
      <c r="A77" s="4" t="s">
        <v>566</v>
      </c>
      <c r="B77" s="5">
        <v>76</v>
      </c>
      <c r="C77" s="4" t="s">
        <v>41</v>
      </c>
      <c r="D77" s="4" t="s">
        <v>567</v>
      </c>
      <c r="E77" s="4" t="s">
        <v>17</v>
      </c>
      <c r="F77" s="4" t="s">
        <v>29</v>
      </c>
      <c r="G77" s="4" t="s">
        <v>18</v>
      </c>
      <c r="H77" s="4" t="s">
        <v>537</v>
      </c>
      <c r="I77" s="4" t="s">
        <v>568</v>
      </c>
      <c r="J77" s="4" t="s">
        <v>569</v>
      </c>
      <c r="K77" s="4" t="s">
        <v>570</v>
      </c>
      <c r="L77" s="4" t="s">
        <v>571</v>
      </c>
      <c r="M77" s="4" t="s">
        <v>365</v>
      </c>
      <c r="N77" s="4" t="s">
        <v>90</v>
      </c>
      <c r="O77" s="4" t="s">
        <v>91</v>
      </c>
      <c r="P77" s="5">
        <f t="shared" si="34"/>
        <v>2</v>
      </c>
      <c r="Q77" s="5">
        <f t="shared" si="35"/>
        <v>0</v>
      </c>
      <c r="R77" s="5">
        <f t="shared" si="36"/>
        <v>1</v>
      </c>
      <c r="S77" s="5">
        <f t="shared" si="37"/>
        <v>0</v>
      </c>
      <c r="T77" s="5">
        <f t="shared" si="38"/>
        <v>0</v>
      </c>
      <c r="U77" s="5">
        <f t="shared" si="39"/>
        <v>0</v>
      </c>
      <c r="V77" s="5">
        <f t="shared" si="40"/>
        <v>1</v>
      </c>
      <c r="W77" s="5">
        <f t="shared" si="41"/>
        <v>0</v>
      </c>
      <c r="X77" s="5">
        <f t="shared" si="42"/>
        <v>0</v>
      </c>
      <c r="Y77" s="5">
        <f t="shared" si="43"/>
        <v>3</v>
      </c>
      <c r="Z77" s="5">
        <f t="shared" si="44"/>
        <v>0</v>
      </c>
      <c r="AA77" s="5">
        <f t="shared" si="45"/>
        <v>1</v>
      </c>
      <c r="AB77" s="5">
        <f t="shared" si="46"/>
        <v>0</v>
      </c>
      <c r="AC77" s="5">
        <f t="shared" si="47"/>
        <v>0</v>
      </c>
      <c r="AD77" s="5">
        <f t="shared" si="48"/>
        <v>1</v>
      </c>
      <c r="AE77" s="5">
        <f t="shared" si="49"/>
        <v>1</v>
      </c>
      <c r="AF77" s="5">
        <f t="shared" si="50"/>
        <v>0</v>
      </c>
    </row>
    <row r="78" spans="1:32" ht="75.95" customHeight="1">
      <c r="A78" s="4" t="s">
        <v>572</v>
      </c>
      <c r="B78" s="5">
        <v>77</v>
      </c>
      <c r="C78" s="4" t="s">
        <v>41</v>
      </c>
      <c r="D78" s="4" t="s">
        <v>573</v>
      </c>
      <c r="E78" s="4" t="s">
        <v>20</v>
      </c>
      <c r="F78" s="4" t="s">
        <v>111</v>
      </c>
      <c r="G78" s="4" t="s">
        <v>21</v>
      </c>
      <c r="H78" s="4" t="s">
        <v>30</v>
      </c>
      <c r="I78" s="4" t="s">
        <v>574</v>
      </c>
      <c r="J78" s="4" t="s">
        <v>575</v>
      </c>
      <c r="K78" s="4" t="s">
        <v>576</v>
      </c>
      <c r="L78" s="4" t="s">
        <v>577</v>
      </c>
      <c r="M78" s="4"/>
      <c r="N78" s="4" t="s">
        <v>90</v>
      </c>
      <c r="O78" s="4" t="s">
        <v>91</v>
      </c>
      <c r="P78" s="5">
        <f t="shared" si="34"/>
        <v>3</v>
      </c>
      <c r="Q78" s="5">
        <f t="shared" si="35"/>
        <v>0</v>
      </c>
      <c r="R78" s="5">
        <f t="shared" si="36"/>
        <v>1</v>
      </c>
      <c r="S78" s="5">
        <f t="shared" si="37"/>
        <v>1</v>
      </c>
      <c r="T78" s="5">
        <f t="shared" si="38"/>
        <v>0</v>
      </c>
      <c r="U78" s="5">
        <f t="shared" si="39"/>
        <v>0</v>
      </c>
      <c r="V78" s="5">
        <f t="shared" si="40"/>
        <v>1</v>
      </c>
      <c r="W78" s="5">
        <f t="shared" si="41"/>
        <v>0</v>
      </c>
      <c r="X78" s="5">
        <f t="shared" si="42"/>
        <v>0</v>
      </c>
      <c r="Y78" s="5">
        <f t="shared" si="43"/>
        <v>1</v>
      </c>
      <c r="Z78" s="5">
        <f t="shared" si="44"/>
        <v>0</v>
      </c>
      <c r="AA78" s="5">
        <f t="shared" si="45"/>
        <v>0</v>
      </c>
      <c r="AB78" s="5">
        <f t="shared" si="46"/>
        <v>0</v>
      </c>
      <c r="AC78" s="5">
        <f t="shared" si="47"/>
        <v>0</v>
      </c>
      <c r="AD78" s="5">
        <f t="shared" si="48"/>
        <v>0</v>
      </c>
      <c r="AE78" s="5">
        <f t="shared" si="49"/>
        <v>1</v>
      </c>
      <c r="AF78" s="5">
        <f t="shared" si="50"/>
        <v>0</v>
      </c>
    </row>
    <row r="79" spans="1:32" ht="75.95" customHeight="1">
      <c r="A79" s="4" t="s">
        <v>578</v>
      </c>
      <c r="B79" s="5">
        <v>78</v>
      </c>
      <c r="C79" s="4" t="s">
        <v>41</v>
      </c>
      <c r="D79" s="4" t="s">
        <v>579</v>
      </c>
      <c r="E79" s="4" t="s">
        <v>29</v>
      </c>
      <c r="F79" s="4" t="s">
        <v>20</v>
      </c>
      <c r="G79" s="4" t="s">
        <v>21</v>
      </c>
      <c r="H79" s="4" t="s">
        <v>30</v>
      </c>
      <c r="I79" s="4" t="s">
        <v>580</v>
      </c>
      <c r="J79" s="4" t="s">
        <v>581</v>
      </c>
      <c r="K79" s="4" t="s">
        <v>582</v>
      </c>
      <c r="L79" s="4" t="s">
        <v>583</v>
      </c>
      <c r="M79" s="4"/>
      <c r="N79" s="4" t="s">
        <v>90</v>
      </c>
      <c r="O79" s="4" t="s">
        <v>91</v>
      </c>
      <c r="P79" s="5">
        <f t="shared" si="34"/>
        <v>2</v>
      </c>
      <c r="Q79" s="5">
        <f t="shared" si="35"/>
        <v>0</v>
      </c>
      <c r="R79" s="5">
        <f t="shared" si="36"/>
        <v>0</v>
      </c>
      <c r="S79" s="5">
        <f t="shared" si="37"/>
        <v>1</v>
      </c>
      <c r="T79" s="5">
        <f t="shared" si="38"/>
        <v>0</v>
      </c>
      <c r="U79" s="5">
        <f t="shared" si="39"/>
        <v>0</v>
      </c>
      <c r="V79" s="5">
        <f t="shared" si="40"/>
        <v>1</v>
      </c>
      <c r="W79" s="5">
        <f t="shared" si="41"/>
        <v>0</v>
      </c>
      <c r="X79" s="5">
        <f t="shared" si="42"/>
        <v>0</v>
      </c>
      <c r="Y79" s="5">
        <f t="shared" si="43"/>
        <v>1</v>
      </c>
      <c r="Z79" s="5">
        <f t="shared" si="44"/>
        <v>0</v>
      </c>
      <c r="AA79" s="5">
        <f t="shared" si="45"/>
        <v>0</v>
      </c>
      <c r="AB79" s="5">
        <f t="shared" si="46"/>
        <v>0</v>
      </c>
      <c r="AC79" s="5">
        <f t="shared" si="47"/>
        <v>0</v>
      </c>
      <c r="AD79" s="5">
        <f t="shared" si="48"/>
        <v>0</v>
      </c>
      <c r="AE79" s="5">
        <f t="shared" si="49"/>
        <v>1</v>
      </c>
      <c r="AF79" s="5">
        <f t="shared" si="50"/>
        <v>0</v>
      </c>
    </row>
    <row r="80" spans="1:32" ht="75.95" customHeight="1">
      <c r="A80" s="4" t="s">
        <v>584</v>
      </c>
      <c r="B80" s="5">
        <v>79</v>
      </c>
      <c r="C80" s="4" t="s">
        <v>41</v>
      </c>
      <c r="D80" s="4" t="s">
        <v>585</v>
      </c>
      <c r="E80" s="4" t="s">
        <v>23</v>
      </c>
      <c r="F80" s="4"/>
      <c r="G80" s="4" t="s">
        <v>24</v>
      </c>
      <c r="H80" s="4" t="s">
        <v>30</v>
      </c>
      <c r="I80" s="4" t="s">
        <v>586</v>
      </c>
      <c r="J80" s="4" t="s">
        <v>587</v>
      </c>
      <c r="K80" s="4" t="s">
        <v>588</v>
      </c>
      <c r="L80" s="4" t="s">
        <v>589</v>
      </c>
      <c r="M80" s="4"/>
      <c r="N80" s="4" t="s">
        <v>90</v>
      </c>
      <c r="O80" s="4" t="s">
        <v>91</v>
      </c>
      <c r="P80" s="5">
        <f t="shared" si="34"/>
        <v>1</v>
      </c>
      <c r="Q80" s="5">
        <f t="shared" si="35"/>
        <v>0</v>
      </c>
      <c r="R80" s="5">
        <f t="shared" si="36"/>
        <v>0</v>
      </c>
      <c r="S80" s="5">
        <f t="shared" si="37"/>
        <v>0</v>
      </c>
      <c r="T80" s="5">
        <f t="shared" si="38"/>
        <v>1</v>
      </c>
      <c r="U80" s="5">
        <f t="shared" si="39"/>
        <v>0</v>
      </c>
      <c r="V80" s="5">
        <f t="shared" si="40"/>
        <v>0</v>
      </c>
      <c r="W80" s="5">
        <f t="shared" si="41"/>
        <v>0</v>
      </c>
      <c r="X80" s="5">
        <f t="shared" si="42"/>
        <v>0</v>
      </c>
      <c r="Y80" s="5">
        <f t="shared" si="43"/>
        <v>1</v>
      </c>
      <c r="Z80" s="5">
        <f t="shared" si="44"/>
        <v>0</v>
      </c>
      <c r="AA80" s="5">
        <f t="shared" si="45"/>
        <v>0</v>
      </c>
      <c r="AB80" s="5">
        <f t="shared" si="46"/>
        <v>0</v>
      </c>
      <c r="AC80" s="5">
        <f t="shared" si="47"/>
        <v>0</v>
      </c>
      <c r="AD80" s="5">
        <f t="shared" si="48"/>
        <v>0</v>
      </c>
      <c r="AE80" s="5">
        <f t="shared" si="49"/>
        <v>1</v>
      </c>
      <c r="AF80" s="5">
        <f t="shared" si="50"/>
        <v>0</v>
      </c>
    </row>
    <row r="81" spans="1:32" ht="75.95" customHeight="1">
      <c r="A81" s="4" t="s">
        <v>590</v>
      </c>
      <c r="B81" s="5">
        <v>80</v>
      </c>
      <c r="C81" s="4" t="s">
        <v>41</v>
      </c>
      <c r="D81" s="4" t="s">
        <v>591</v>
      </c>
      <c r="E81" s="4" t="s">
        <v>17</v>
      </c>
      <c r="F81" s="4"/>
      <c r="G81" s="4" t="s">
        <v>18</v>
      </c>
      <c r="H81" s="4" t="s">
        <v>33</v>
      </c>
      <c r="I81" s="4" t="s">
        <v>592</v>
      </c>
      <c r="J81" s="4" t="s">
        <v>593</v>
      </c>
      <c r="K81" s="4" t="s">
        <v>594</v>
      </c>
      <c r="L81" s="4" t="s">
        <v>595</v>
      </c>
      <c r="M81" s="4"/>
      <c r="N81" s="4" t="s">
        <v>90</v>
      </c>
      <c r="O81" s="4" t="s">
        <v>91</v>
      </c>
      <c r="P81" s="5">
        <f t="shared" si="34"/>
        <v>1</v>
      </c>
      <c r="Q81" s="5">
        <f t="shared" si="35"/>
        <v>0</v>
      </c>
      <c r="R81" s="5">
        <f t="shared" si="36"/>
        <v>1</v>
      </c>
      <c r="S81" s="5">
        <f t="shared" si="37"/>
        <v>0</v>
      </c>
      <c r="T81" s="5">
        <f t="shared" si="38"/>
        <v>0</v>
      </c>
      <c r="U81" s="5">
        <f t="shared" si="39"/>
        <v>0</v>
      </c>
      <c r="V81" s="5">
        <f t="shared" si="40"/>
        <v>0</v>
      </c>
      <c r="W81" s="5">
        <f t="shared" si="41"/>
        <v>0</v>
      </c>
      <c r="X81" s="5">
        <f t="shared" si="42"/>
        <v>0</v>
      </c>
      <c r="Y81" s="5">
        <f t="shared" si="43"/>
        <v>0</v>
      </c>
      <c r="Z81" s="5">
        <f t="shared" si="44"/>
        <v>0</v>
      </c>
      <c r="AA81" s="5">
        <f t="shared" si="45"/>
        <v>0</v>
      </c>
      <c r="AB81" s="5">
        <f t="shared" si="46"/>
        <v>0</v>
      </c>
      <c r="AC81" s="5">
        <f t="shared" si="47"/>
        <v>0</v>
      </c>
      <c r="AD81" s="5">
        <f t="shared" si="48"/>
        <v>0</v>
      </c>
      <c r="AE81" s="5">
        <f t="shared" si="49"/>
        <v>0</v>
      </c>
      <c r="AF81" s="5">
        <f t="shared" si="50"/>
        <v>1</v>
      </c>
    </row>
    <row r="82" spans="1:32" ht="75.95" customHeight="1">
      <c r="A82" s="4" t="s">
        <v>596</v>
      </c>
      <c r="B82" s="5">
        <v>81</v>
      </c>
      <c r="C82" s="4" t="s">
        <v>41</v>
      </c>
      <c r="D82" s="4" t="s">
        <v>597</v>
      </c>
      <c r="E82" s="4" t="s">
        <v>23</v>
      </c>
      <c r="F82" s="4"/>
      <c r="G82" s="4" t="s">
        <v>24</v>
      </c>
      <c r="H82" s="4" t="s">
        <v>30</v>
      </c>
      <c r="I82" s="4" t="s">
        <v>598</v>
      </c>
      <c r="J82" s="4" t="s">
        <v>599</v>
      </c>
      <c r="K82" s="4" t="s">
        <v>600</v>
      </c>
      <c r="L82" s="4" t="s">
        <v>601</v>
      </c>
      <c r="M82" s="4"/>
      <c r="N82" s="4" t="s">
        <v>90</v>
      </c>
      <c r="O82" s="4" t="s">
        <v>91</v>
      </c>
      <c r="P82" s="5">
        <f t="shared" si="34"/>
        <v>1</v>
      </c>
      <c r="Q82" s="5">
        <f t="shared" si="35"/>
        <v>0</v>
      </c>
      <c r="R82" s="5">
        <f t="shared" si="36"/>
        <v>0</v>
      </c>
      <c r="S82" s="5">
        <f t="shared" si="37"/>
        <v>0</v>
      </c>
      <c r="T82" s="5">
        <f t="shared" si="38"/>
        <v>1</v>
      </c>
      <c r="U82" s="5">
        <f t="shared" si="39"/>
        <v>0</v>
      </c>
      <c r="V82" s="5">
        <f t="shared" si="40"/>
        <v>0</v>
      </c>
      <c r="W82" s="5">
        <f t="shared" si="41"/>
        <v>0</v>
      </c>
      <c r="X82" s="5">
        <f t="shared" si="42"/>
        <v>0</v>
      </c>
      <c r="Y82" s="5">
        <f t="shared" si="43"/>
        <v>1</v>
      </c>
      <c r="Z82" s="5">
        <f t="shared" si="44"/>
        <v>0</v>
      </c>
      <c r="AA82" s="5">
        <f t="shared" si="45"/>
        <v>0</v>
      </c>
      <c r="AB82" s="5">
        <f t="shared" si="46"/>
        <v>0</v>
      </c>
      <c r="AC82" s="5">
        <f t="shared" si="47"/>
        <v>0</v>
      </c>
      <c r="AD82" s="5">
        <f t="shared" si="48"/>
        <v>0</v>
      </c>
      <c r="AE82" s="5">
        <f t="shared" si="49"/>
        <v>1</v>
      </c>
      <c r="AF82" s="5">
        <f t="shared" si="50"/>
        <v>0</v>
      </c>
    </row>
    <row r="83" spans="1:32" ht="122.1" customHeight="1">
      <c r="A83" s="4" t="s">
        <v>602</v>
      </c>
      <c r="B83" s="5">
        <v>82</v>
      </c>
      <c r="C83" s="4" t="s">
        <v>41</v>
      </c>
      <c r="D83" s="4" t="s">
        <v>603</v>
      </c>
      <c r="E83" s="4" t="s">
        <v>17</v>
      </c>
      <c r="F83" s="4" t="s">
        <v>604</v>
      </c>
      <c r="G83" s="4" t="s">
        <v>18</v>
      </c>
      <c r="H83" s="4" t="s">
        <v>432</v>
      </c>
      <c r="I83" s="4" t="s">
        <v>605</v>
      </c>
      <c r="J83" s="4" t="s">
        <v>606</v>
      </c>
      <c r="K83" s="4" t="s">
        <v>607</v>
      </c>
      <c r="L83" s="4" t="s">
        <v>608</v>
      </c>
      <c r="M83" s="4" t="s">
        <v>340</v>
      </c>
      <c r="N83" s="4" t="s">
        <v>90</v>
      </c>
      <c r="O83" s="4" t="s">
        <v>91</v>
      </c>
      <c r="P83" s="5">
        <f t="shared" si="34"/>
        <v>3</v>
      </c>
      <c r="Q83" s="5">
        <f t="shared" si="35"/>
        <v>0</v>
      </c>
      <c r="R83" s="5">
        <f t="shared" si="36"/>
        <v>1</v>
      </c>
      <c r="S83" s="5">
        <f t="shared" si="37"/>
        <v>0</v>
      </c>
      <c r="T83" s="5">
        <f t="shared" si="38"/>
        <v>0</v>
      </c>
      <c r="U83" s="5">
        <f t="shared" si="39"/>
        <v>1</v>
      </c>
      <c r="V83" s="5">
        <f t="shared" si="40"/>
        <v>1</v>
      </c>
      <c r="W83" s="5">
        <f t="shared" si="41"/>
        <v>0</v>
      </c>
      <c r="X83" s="5">
        <f t="shared" si="42"/>
        <v>0</v>
      </c>
      <c r="Y83" s="5">
        <f t="shared" si="43"/>
        <v>2</v>
      </c>
      <c r="Z83" s="5">
        <f t="shared" si="44"/>
        <v>0</v>
      </c>
      <c r="AA83" s="5">
        <f t="shared" si="45"/>
        <v>0</v>
      </c>
      <c r="AB83" s="5">
        <f t="shared" si="46"/>
        <v>0</v>
      </c>
      <c r="AC83" s="5">
        <f t="shared" si="47"/>
        <v>0</v>
      </c>
      <c r="AD83" s="5">
        <f t="shared" si="48"/>
        <v>1</v>
      </c>
      <c r="AE83" s="5">
        <f t="shared" si="49"/>
        <v>1</v>
      </c>
      <c r="AF83" s="5">
        <f t="shared" si="50"/>
        <v>0</v>
      </c>
    </row>
    <row r="84" spans="1:32" ht="93.95" customHeight="1">
      <c r="A84" s="4" t="s">
        <v>609</v>
      </c>
      <c r="B84" s="5">
        <v>83</v>
      </c>
      <c r="C84" s="4" t="s">
        <v>42</v>
      </c>
      <c r="D84" s="4" t="s">
        <v>610</v>
      </c>
      <c r="E84" s="4" t="s">
        <v>17</v>
      </c>
      <c r="F84" s="4" t="s">
        <v>29</v>
      </c>
      <c r="G84" s="4" t="s">
        <v>18</v>
      </c>
      <c r="H84" s="4" t="s">
        <v>33</v>
      </c>
      <c r="I84" s="4" t="s">
        <v>611</v>
      </c>
      <c r="J84" s="4" t="s">
        <v>612</v>
      </c>
      <c r="K84" s="4" t="s">
        <v>613</v>
      </c>
      <c r="L84" s="4" t="s">
        <v>614</v>
      </c>
      <c r="M84" s="4"/>
      <c r="N84" s="4" t="s">
        <v>90</v>
      </c>
      <c r="O84" s="4" t="s">
        <v>91</v>
      </c>
      <c r="P84" s="5">
        <f t="shared" si="34"/>
        <v>2</v>
      </c>
      <c r="Q84" s="5">
        <f t="shared" si="35"/>
        <v>0</v>
      </c>
      <c r="R84" s="5">
        <f t="shared" si="36"/>
        <v>1</v>
      </c>
      <c r="S84" s="5">
        <f t="shared" si="37"/>
        <v>0</v>
      </c>
      <c r="T84" s="5">
        <f t="shared" si="38"/>
        <v>0</v>
      </c>
      <c r="U84" s="5">
        <f t="shared" si="39"/>
        <v>0</v>
      </c>
      <c r="V84" s="5">
        <f t="shared" si="40"/>
        <v>1</v>
      </c>
      <c r="W84" s="5">
        <f t="shared" si="41"/>
        <v>0</v>
      </c>
      <c r="X84" s="5">
        <f t="shared" si="42"/>
        <v>0</v>
      </c>
      <c r="Y84" s="5">
        <f t="shared" si="43"/>
        <v>0</v>
      </c>
      <c r="Z84" s="5">
        <f t="shared" si="44"/>
        <v>0</v>
      </c>
      <c r="AA84" s="5">
        <f t="shared" si="45"/>
        <v>0</v>
      </c>
      <c r="AB84" s="5">
        <f t="shared" si="46"/>
        <v>0</v>
      </c>
      <c r="AC84" s="5">
        <f t="shared" si="47"/>
        <v>0</v>
      </c>
      <c r="AD84" s="5">
        <f t="shared" si="48"/>
        <v>0</v>
      </c>
      <c r="AE84" s="5">
        <f t="shared" si="49"/>
        <v>0</v>
      </c>
      <c r="AF84" s="5">
        <f t="shared" si="50"/>
        <v>1</v>
      </c>
    </row>
    <row r="85" spans="1:32" ht="75.95" customHeight="1">
      <c r="A85" s="4" t="s">
        <v>615</v>
      </c>
      <c r="B85" s="5">
        <v>84</v>
      </c>
      <c r="C85" s="4" t="s">
        <v>42</v>
      </c>
      <c r="D85" s="4" t="s">
        <v>616</v>
      </c>
      <c r="E85" s="4" t="s">
        <v>17</v>
      </c>
      <c r="F85" s="4"/>
      <c r="G85" s="4" t="s">
        <v>18</v>
      </c>
      <c r="H85" s="4" t="s">
        <v>30</v>
      </c>
      <c r="I85" s="4" t="s">
        <v>617</v>
      </c>
      <c r="J85" s="4" t="s">
        <v>618</v>
      </c>
      <c r="K85" s="4" t="s">
        <v>619</v>
      </c>
      <c r="L85" s="4" t="s">
        <v>620</v>
      </c>
      <c r="M85" s="4"/>
      <c r="N85" s="4" t="s">
        <v>90</v>
      </c>
      <c r="O85" s="4" t="s">
        <v>467</v>
      </c>
      <c r="P85" s="5">
        <f t="shared" si="34"/>
        <v>1</v>
      </c>
      <c r="Q85" s="5">
        <f t="shared" si="35"/>
        <v>0</v>
      </c>
      <c r="R85" s="5">
        <f t="shared" si="36"/>
        <v>1</v>
      </c>
      <c r="S85" s="5">
        <f t="shared" si="37"/>
        <v>0</v>
      </c>
      <c r="T85" s="5">
        <f t="shared" si="38"/>
        <v>0</v>
      </c>
      <c r="U85" s="5">
        <f t="shared" si="39"/>
        <v>0</v>
      </c>
      <c r="V85" s="5">
        <f t="shared" si="40"/>
        <v>0</v>
      </c>
      <c r="W85" s="5">
        <f t="shared" si="41"/>
        <v>0</v>
      </c>
      <c r="X85" s="5">
        <f t="shared" si="42"/>
        <v>0</v>
      </c>
      <c r="Y85" s="5">
        <f t="shared" si="43"/>
        <v>1</v>
      </c>
      <c r="Z85" s="5">
        <f t="shared" si="44"/>
        <v>0</v>
      </c>
      <c r="AA85" s="5">
        <f t="shared" si="45"/>
        <v>0</v>
      </c>
      <c r="AB85" s="5">
        <f t="shared" si="46"/>
        <v>0</v>
      </c>
      <c r="AC85" s="5">
        <f t="shared" si="47"/>
        <v>0</v>
      </c>
      <c r="AD85" s="5">
        <f t="shared" si="48"/>
        <v>0</v>
      </c>
      <c r="AE85" s="5">
        <f t="shared" si="49"/>
        <v>1</v>
      </c>
      <c r="AF85" s="5">
        <f t="shared" si="50"/>
        <v>0</v>
      </c>
    </row>
    <row r="86" spans="1:32" ht="75.95" customHeight="1">
      <c r="A86" s="4" t="s">
        <v>621</v>
      </c>
      <c r="B86" s="5">
        <v>85</v>
      </c>
      <c r="C86" s="4" t="s">
        <v>42</v>
      </c>
      <c r="D86" s="4" t="s">
        <v>622</v>
      </c>
      <c r="E86" s="4" t="s">
        <v>20</v>
      </c>
      <c r="F86" s="4" t="s">
        <v>17</v>
      </c>
      <c r="G86" s="4" t="s">
        <v>21</v>
      </c>
      <c r="H86" s="4" t="s">
        <v>30</v>
      </c>
      <c r="I86" s="4" t="s">
        <v>623</v>
      </c>
      <c r="J86" s="4" t="s">
        <v>624</v>
      </c>
      <c r="K86" s="4" t="s">
        <v>625</v>
      </c>
      <c r="L86" s="4" t="s">
        <v>626</v>
      </c>
      <c r="M86" s="4"/>
      <c r="N86" s="4" t="s">
        <v>90</v>
      </c>
      <c r="O86" s="4" t="s">
        <v>91</v>
      </c>
      <c r="P86" s="5">
        <f t="shared" si="34"/>
        <v>2</v>
      </c>
      <c r="Q86" s="5">
        <f t="shared" si="35"/>
        <v>0</v>
      </c>
      <c r="R86" s="5">
        <f t="shared" si="36"/>
        <v>1</v>
      </c>
      <c r="S86" s="5">
        <f t="shared" si="37"/>
        <v>1</v>
      </c>
      <c r="T86" s="5">
        <f t="shared" si="38"/>
        <v>0</v>
      </c>
      <c r="U86" s="5">
        <f t="shared" si="39"/>
        <v>0</v>
      </c>
      <c r="V86" s="5">
        <f t="shared" si="40"/>
        <v>0</v>
      </c>
      <c r="W86" s="5">
        <f t="shared" si="41"/>
        <v>0</v>
      </c>
      <c r="X86" s="5">
        <f t="shared" si="42"/>
        <v>0</v>
      </c>
      <c r="Y86" s="5">
        <f t="shared" si="43"/>
        <v>1</v>
      </c>
      <c r="Z86" s="5">
        <f t="shared" si="44"/>
        <v>0</v>
      </c>
      <c r="AA86" s="5">
        <f t="shared" si="45"/>
        <v>0</v>
      </c>
      <c r="AB86" s="5">
        <f t="shared" si="46"/>
        <v>0</v>
      </c>
      <c r="AC86" s="5">
        <f t="shared" si="47"/>
        <v>0</v>
      </c>
      <c r="AD86" s="5">
        <f t="shared" si="48"/>
        <v>0</v>
      </c>
      <c r="AE86" s="5">
        <f t="shared" si="49"/>
        <v>1</v>
      </c>
      <c r="AF86" s="5">
        <f t="shared" si="50"/>
        <v>0</v>
      </c>
    </row>
    <row r="87" spans="1:32" ht="80.099999999999994" customHeight="1">
      <c r="A87" s="4" t="s">
        <v>627</v>
      </c>
      <c r="B87" s="5">
        <v>86</v>
      </c>
      <c r="C87" s="4" t="s">
        <v>42</v>
      </c>
      <c r="D87" s="4" t="s">
        <v>628</v>
      </c>
      <c r="E87" s="4" t="s">
        <v>23</v>
      </c>
      <c r="F87" s="4" t="s">
        <v>17</v>
      </c>
      <c r="G87" s="4" t="s">
        <v>24</v>
      </c>
      <c r="H87" s="4" t="s">
        <v>104</v>
      </c>
      <c r="I87" s="4" t="s">
        <v>629</v>
      </c>
      <c r="J87" s="4" t="s">
        <v>630</v>
      </c>
      <c r="K87" s="4" t="s">
        <v>631</v>
      </c>
      <c r="L87" s="4" t="s">
        <v>632</v>
      </c>
      <c r="M87" s="4"/>
      <c r="N87" s="4" t="s">
        <v>90</v>
      </c>
      <c r="O87" s="4" t="s">
        <v>91</v>
      </c>
      <c r="P87" s="5">
        <f t="shared" si="34"/>
        <v>2</v>
      </c>
      <c r="Q87" s="5">
        <f t="shared" si="35"/>
        <v>0</v>
      </c>
      <c r="R87" s="5">
        <f t="shared" si="36"/>
        <v>1</v>
      </c>
      <c r="S87" s="5">
        <f t="shared" si="37"/>
        <v>0</v>
      </c>
      <c r="T87" s="5">
        <f t="shared" si="38"/>
        <v>1</v>
      </c>
      <c r="U87" s="5">
        <f t="shared" si="39"/>
        <v>0</v>
      </c>
      <c r="V87" s="5">
        <f t="shared" si="40"/>
        <v>0</v>
      </c>
      <c r="W87" s="5">
        <f t="shared" si="41"/>
        <v>0</v>
      </c>
      <c r="X87" s="5">
        <f t="shared" si="42"/>
        <v>0</v>
      </c>
      <c r="Y87" s="5">
        <f t="shared" si="43"/>
        <v>2</v>
      </c>
      <c r="Z87" s="5">
        <f t="shared" si="44"/>
        <v>0</v>
      </c>
      <c r="AA87" s="5">
        <f t="shared" si="45"/>
        <v>0</v>
      </c>
      <c r="AB87" s="5">
        <f t="shared" si="46"/>
        <v>1</v>
      </c>
      <c r="AC87" s="5">
        <f t="shared" si="47"/>
        <v>0</v>
      </c>
      <c r="AD87" s="5">
        <f t="shared" si="48"/>
        <v>0</v>
      </c>
      <c r="AE87" s="5">
        <f t="shared" si="49"/>
        <v>1</v>
      </c>
      <c r="AF87" s="5">
        <f t="shared" si="50"/>
        <v>0</v>
      </c>
    </row>
    <row r="88" spans="1:32" ht="93.95" customHeight="1">
      <c r="A88" s="4" t="s">
        <v>633</v>
      </c>
      <c r="B88" s="5">
        <v>87</v>
      </c>
      <c r="C88" s="4" t="s">
        <v>42</v>
      </c>
      <c r="D88" s="4" t="s">
        <v>634</v>
      </c>
      <c r="E88" s="4" t="s">
        <v>17</v>
      </c>
      <c r="F88" s="4" t="s">
        <v>29</v>
      </c>
      <c r="G88" s="4" t="s">
        <v>18</v>
      </c>
      <c r="H88" s="4" t="s">
        <v>30</v>
      </c>
      <c r="I88" s="4" t="s">
        <v>635</v>
      </c>
      <c r="J88" s="4" t="s">
        <v>636</v>
      </c>
      <c r="K88" s="4" t="s">
        <v>637</v>
      </c>
      <c r="L88" s="4" t="s">
        <v>638</v>
      </c>
      <c r="M88" s="4" t="s">
        <v>100</v>
      </c>
      <c r="N88" s="4" t="s">
        <v>90</v>
      </c>
      <c r="O88" s="4" t="s">
        <v>91</v>
      </c>
      <c r="P88" s="5">
        <f t="shared" si="34"/>
        <v>2</v>
      </c>
      <c r="Q88" s="5">
        <f t="shared" si="35"/>
        <v>0</v>
      </c>
      <c r="R88" s="5">
        <f t="shared" si="36"/>
        <v>1</v>
      </c>
      <c r="S88" s="5">
        <f t="shared" si="37"/>
        <v>0</v>
      </c>
      <c r="T88" s="5">
        <f t="shared" si="38"/>
        <v>0</v>
      </c>
      <c r="U88" s="5">
        <f t="shared" si="39"/>
        <v>0</v>
      </c>
      <c r="V88" s="5">
        <f t="shared" si="40"/>
        <v>1</v>
      </c>
      <c r="W88" s="5">
        <f t="shared" si="41"/>
        <v>0</v>
      </c>
      <c r="X88" s="5">
        <f t="shared" si="42"/>
        <v>0</v>
      </c>
      <c r="Y88" s="5">
        <f t="shared" si="43"/>
        <v>1</v>
      </c>
      <c r="Z88" s="5">
        <f t="shared" si="44"/>
        <v>0</v>
      </c>
      <c r="AA88" s="5">
        <f t="shared" si="45"/>
        <v>0</v>
      </c>
      <c r="AB88" s="5">
        <f t="shared" si="46"/>
        <v>0</v>
      </c>
      <c r="AC88" s="5">
        <f t="shared" si="47"/>
        <v>0</v>
      </c>
      <c r="AD88" s="5">
        <f t="shared" si="48"/>
        <v>0</v>
      </c>
      <c r="AE88" s="5">
        <f t="shared" si="49"/>
        <v>1</v>
      </c>
      <c r="AF88" s="5">
        <f t="shared" si="50"/>
        <v>0</v>
      </c>
    </row>
    <row r="89" spans="1:32" ht="93.95" customHeight="1">
      <c r="A89" s="4" t="s">
        <v>639</v>
      </c>
      <c r="B89" s="5">
        <v>88</v>
      </c>
      <c r="C89" s="4" t="s">
        <v>42</v>
      </c>
      <c r="D89" s="4" t="s">
        <v>640</v>
      </c>
      <c r="E89" s="4" t="s">
        <v>17</v>
      </c>
      <c r="F89" s="4" t="s">
        <v>29</v>
      </c>
      <c r="G89" s="4" t="s">
        <v>18</v>
      </c>
      <c r="H89" s="4" t="s">
        <v>30</v>
      </c>
      <c r="I89" s="4" t="s">
        <v>641</v>
      </c>
      <c r="J89" s="4" t="s">
        <v>642</v>
      </c>
      <c r="K89" s="4" t="s">
        <v>643</v>
      </c>
      <c r="L89" s="4" t="s">
        <v>644</v>
      </c>
      <c r="M89" s="4"/>
      <c r="N89" s="4" t="s">
        <v>90</v>
      </c>
      <c r="O89" s="4" t="s">
        <v>91</v>
      </c>
      <c r="P89" s="5">
        <f t="shared" si="34"/>
        <v>2</v>
      </c>
      <c r="Q89" s="5">
        <f t="shared" si="35"/>
        <v>0</v>
      </c>
      <c r="R89" s="5">
        <f t="shared" si="36"/>
        <v>1</v>
      </c>
      <c r="S89" s="5">
        <f t="shared" si="37"/>
        <v>0</v>
      </c>
      <c r="T89" s="5">
        <f t="shared" si="38"/>
        <v>0</v>
      </c>
      <c r="U89" s="5">
        <f t="shared" si="39"/>
        <v>0</v>
      </c>
      <c r="V89" s="5">
        <f t="shared" si="40"/>
        <v>1</v>
      </c>
      <c r="W89" s="5">
        <f t="shared" si="41"/>
        <v>0</v>
      </c>
      <c r="X89" s="5">
        <f t="shared" si="42"/>
        <v>0</v>
      </c>
      <c r="Y89" s="5">
        <f t="shared" si="43"/>
        <v>1</v>
      </c>
      <c r="Z89" s="5">
        <f t="shared" si="44"/>
        <v>0</v>
      </c>
      <c r="AA89" s="5">
        <f t="shared" si="45"/>
        <v>0</v>
      </c>
      <c r="AB89" s="5">
        <f t="shared" si="46"/>
        <v>0</v>
      </c>
      <c r="AC89" s="5">
        <f t="shared" si="47"/>
        <v>0</v>
      </c>
      <c r="AD89" s="5">
        <f t="shared" si="48"/>
        <v>0</v>
      </c>
      <c r="AE89" s="5">
        <f t="shared" si="49"/>
        <v>1</v>
      </c>
      <c r="AF89" s="5">
        <f t="shared" si="50"/>
        <v>0</v>
      </c>
    </row>
    <row r="90" spans="1:32" ht="122.1" customHeight="1">
      <c r="A90" s="4" t="s">
        <v>645</v>
      </c>
      <c r="B90" s="5">
        <v>89</v>
      </c>
      <c r="C90" s="4" t="s">
        <v>42</v>
      </c>
      <c r="D90" s="4" t="s">
        <v>646</v>
      </c>
      <c r="E90" s="4" t="s">
        <v>29</v>
      </c>
      <c r="F90" s="4" t="s">
        <v>17</v>
      </c>
      <c r="G90" s="4" t="s">
        <v>18</v>
      </c>
      <c r="H90" s="4" t="s">
        <v>28</v>
      </c>
      <c r="I90" s="4" t="s">
        <v>647</v>
      </c>
      <c r="J90" s="4" t="s">
        <v>648</v>
      </c>
      <c r="K90" s="4" t="s">
        <v>649</v>
      </c>
      <c r="L90" s="4"/>
      <c r="M90" s="4"/>
      <c r="N90" s="4" t="s">
        <v>650</v>
      </c>
      <c r="O90" s="4" t="s">
        <v>467</v>
      </c>
      <c r="P90" s="5">
        <f t="shared" si="34"/>
        <v>2</v>
      </c>
      <c r="Q90" s="5">
        <f t="shared" si="35"/>
        <v>0</v>
      </c>
      <c r="R90" s="5">
        <f t="shared" si="36"/>
        <v>1</v>
      </c>
      <c r="S90" s="5">
        <f t="shared" si="37"/>
        <v>0</v>
      </c>
      <c r="T90" s="5">
        <f t="shared" si="38"/>
        <v>0</v>
      </c>
      <c r="U90" s="5">
        <f t="shared" si="39"/>
        <v>0</v>
      </c>
      <c r="V90" s="5">
        <f t="shared" si="40"/>
        <v>1</v>
      </c>
      <c r="W90" s="5">
        <f t="shared" si="41"/>
        <v>0</v>
      </c>
      <c r="X90" s="5">
        <f t="shared" si="42"/>
        <v>0</v>
      </c>
      <c r="Y90" s="5">
        <f t="shared" si="43"/>
        <v>1</v>
      </c>
      <c r="Z90" s="5">
        <f t="shared" si="44"/>
        <v>0</v>
      </c>
      <c r="AA90" s="5">
        <f t="shared" si="45"/>
        <v>0</v>
      </c>
      <c r="AB90" s="5">
        <f t="shared" si="46"/>
        <v>0</v>
      </c>
      <c r="AC90" s="5">
        <f t="shared" si="47"/>
        <v>0</v>
      </c>
      <c r="AD90" s="5">
        <f t="shared" si="48"/>
        <v>1</v>
      </c>
      <c r="AE90" s="5">
        <f t="shared" si="49"/>
        <v>0</v>
      </c>
      <c r="AF90" s="5">
        <f t="shared" si="50"/>
        <v>0</v>
      </c>
    </row>
    <row r="91" spans="1:32" ht="108" customHeight="1">
      <c r="A91" s="4" t="s">
        <v>651</v>
      </c>
      <c r="B91" s="5">
        <v>90</v>
      </c>
      <c r="C91" s="4" t="s">
        <v>42</v>
      </c>
      <c r="D91" s="4" t="s">
        <v>652</v>
      </c>
      <c r="E91" s="4" t="s">
        <v>26</v>
      </c>
      <c r="F91" s="4" t="s">
        <v>404</v>
      </c>
      <c r="G91" s="4" t="s">
        <v>18</v>
      </c>
      <c r="H91" s="4" t="s">
        <v>222</v>
      </c>
      <c r="I91" s="4" t="s">
        <v>653</v>
      </c>
      <c r="J91" s="4" t="s">
        <v>654</v>
      </c>
      <c r="K91" s="4" t="s">
        <v>655</v>
      </c>
      <c r="L91" s="4" t="s">
        <v>656</v>
      </c>
      <c r="M91" s="4"/>
      <c r="N91" s="4" t="s">
        <v>90</v>
      </c>
      <c r="O91" s="4" t="s">
        <v>91</v>
      </c>
      <c r="P91" s="5">
        <f t="shared" si="34"/>
        <v>3</v>
      </c>
      <c r="Q91" s="5">
        <f t="shared" si="35"/>
        <v>0</v>
      </c>
      <c r="R91" s="5">
        <f t="shared" si="36"/>
        <v>1</v>
      </c>
      <c r="S91" s="5">
        <f t="shared" si="37"/>
        <v>0</v>
      </c>
      <c r="T91" s="5">
        <f t="shared" si="38"/>
        <v>0</v>
      </c>
      <c r="U91" s="5">
        <f t="shared" si="39"/>
        <v>1</v>
      </c>
      <c r="V91" s="5">
        <f t="shared" si="40"/>
        <v>1</v>
      </c>
      <c r="W91" s="5">
        <f t="shared" si="41"/>
        <v>0</v>
      </c>
      <c r="X91" s="5">
        <f t="shared" si="42"/>
        <v>0</v>
      </c>
      <c r="Y91" s="5">
        <f t="shared" si="43"/>
        <v>2</v>
      </c>
      <c r="Z91" s="5">
        <f t="shared" si="44"/>
        <v>0</v>
      </c>
      <c r="AA91" s="5">
        <f t="shared" si="45"/>
        <v>1</v>
      </c>
      <c r="AB91" s="5">
        <f t="shared" si="46"/>
        <v>0</v>
      </c>
      <c r="AC91" s="5">
        <f t="shared" si="47"/>
        <v>0</v>
      </c>
      <c r="AD91" s="5">
        <f t="shared" si="48"/>
        <v>1</v>
      </c>
      <c r="AE91" s="5">
        <f t="shared" si="49"/>
        <v>0</v>
      </c>
      <c r="AF91" s="5">
        <f t="shared" si="50"/>
        <v>0</v>
      </c>
    </row>
    <row r="92" spans="1:32" ht="75.95" customHeight="1">
      <c r="A92" s="4" t="s">
        <v>657</v>
      </c>
      <c r="B92" s="5">
        <v>91</v>
      </c>
      <c r="C92" s="4" t="s">
        <v>42</v>
      </c>
      <c r="D92" s="4" t="s">
        <v>658</v>
      </c>
      <c r="E92" s="4" t="s">
        <v>31</v>
      </c>
      <c r="F92" s="4" t="s">
        <v>17</v>
      </c>
      <c r="G92" s="4" t="s">
        <v>18</v>
      </c>
      <c r="H92" s="4" t="s">
        <v>30</v>
      </c>
      <c r="I92" s="4" t="s">
        <v>659</v>
      </c>
      <c r="J92" s="4" t="s">
        <v>660</v>
      </c>
      <c r="K92" s="4" t="s">
        <v>661</v>
      </c>
      <c r="L92" s="4" t="s">
        <v>662</v>
      </c>
      <c r="M92" s="4"/>
      <c r="N92" s="4" t="s">
        <v>90</v>
      </c>
      <c r="O92" s="4" t="s">
        <v>91</v>
      </c>
      <c r="P92" s="5">
        <f t="shared" si="34"/>
        <v>2</v>
      </c>
      <c r="Q92" s="5">
        <f t="shared" si="35"/>
        <v>0</v>
      </c>
      <c r="R92" s="5">
        <f t="shared" si="36"/>
        <v>1</v>
      </c>
      <c r="S92" s="5">
        <f t="shared" si="37"/>
        <v>0</v>
      </c>
      <c r="T92" s="5">
        <f t="shared" si="38"/>
        <v>0</v>
      </c>
      <c r="U92" s="5">
        <f t="shared" si="39"/>
        <v>0</v>
      </c>
      <c r="V92" s="5">
        <f t="shared" si="40"/>
        <v>0</v>
      </c>
      <c r="W92" s="5">
        <f t="shared" si="41"/>
        <v>1</v>
      </c>
      <c r="X92" s="5">
        <f t="shared" si="42"/>
        <v>0</v>
      </c>
      <c r="Y92" s="5">
        <f t="shared" si="43"/>
        <v>1</v>
      </c>
      <c r="Z92" s="5">
        <f t="shared" si="44"/>
        <v>0</v>
      </c>
      <c r="AA92" s="5">
        <f t="shared" si="45"/>
        <v>0</v>
      </c>
      <c r="AB92" s="5">
        <f t="shared" si="46"/>
        <v>0</v>
      </c>
      <c r="AC92" s="5">
        <f t="shared" si="47"/>
        <v>0</v>
      </c>
      <c r="AD92" s="5">
        <f t="shared" si="48"/>
        <v>0</v>
      </c>
      <c r="AE92" s="5">
        <f t="shared" si="49"/>
        <v>1</v>
      </c>
      <c r="AF92" s="5">
        <f t="shared" si="50"/>
        <v>0</v>
      </c>
    </row>
    <row r="93" spans="1:32" ht="93.95" customHeight="1">
      <c r="A93" s="4" t="s">
        <v>663</v>
      </c>
      <c r="B93" s="5">
        <v>92</v>
      </c>
      <c r="C93" s="4" t="s">
        <v>42</v>
      </c>
      <c r="D93" s="4" t="s">
        <v>664</v>
      </c>
      <c r="E93" s="4" t="s">
        <v>29</v>
      </c>
      <c r="F93" s="4"/>
      <c r="G93" s="4" t="s">
        <v>18</v>
      </c>
      <c r="H93" s="4" t="s">
        <v>33</v>
      </c>
      <c r="I93" s="4" t="s">
        <v>665</v>
      </c>
      <c r="J93" s="4" t="s">
        <v>666</v>
      </c>
      <c r="K93" s="4" t="s">
        <v>667</v>
      </c>
      <c r="L93" s="4" t="s">
        <v>668</v>
      </c>
      <c r="M93" s="4"/>
      <c r="N93" s="4" t="s">
        <v>90</v>
      </c>
      <c r="O93" s="4" t="s">
        <v>467</v>
      </c>
      <c r="P93" s="5">
        <f t="shared" si="34"/>
        <v>1</v>
      </c>
      <c r="Q93" s="5">
        <f t="shared" si="35"/>
        <v>0</v>
      </c>
      <c r="R93" s="5">
        <f t="shared" si="36"/>
        <v>0</v>
      </c>
      <c r="S93" s="5">
        <f t="shared" si="37"/>
        <v>0</v>
      </c>
      <c r="T93" s="5">
        <f t="shared" si="38"/>
        <v>0</v>
      </c>
      <c r="U93" s="5">
        <f t="shared" si="39"/>
        <v>0</v>
      </c>
      <c r="V93" s="5">
        <f t="shared" si="40"/>
        <v>1</v>
      </c>
      <c r="W93" s="5">
        <f t="shared" si="41"/>
        <v>0</v>
      </c>
      <c r="X93" s="5">
        <f t="shared" si="42"/>
        <v>0</v>
      </c>
      <c r="Y93" s="5">
        <f t="shared" si="43"/>
        <v>0</v>
      </c>
      <c r="Z93" s="5">
        <f t="shared" si="44"/>
        <v>0</v>
      </c>
      <c r="AA93" s="5">
        <f t="shared" si="45"/>
        <v>0</v>
      </c>
      <c r="AB93" s="5">
        <f t="shared" si="46"/>
        <v>0</v>
      </c>
      <c r="AC93" s="5">
        <f t="shared" si="47"/>
        <v>0</v>
      </c>
      <c r="AD93" s="5">
        <f t="shared" si="48"/>
        <v>0</v>
      </c>
      <c r="AE93" s="5">
        <f t="shared" si="49"/>
        <v>0</v>
      </c>
      <c r="AF93" s="5">
        <f t="shared" si="50"/>
        <v>1</v>
      </c>
    </row>
    <row r="94" spans="1:32" ht="122.1" customHeight="1">
      <c r="A94" s="4" t="s">
        <v>669</v>
      </c>
      <c r="B94" s="5">
        <v>93</v>
      </c>
      <c r="C94" s="4" t="s">
        <v>42</v>
      </c>
      <c r="D94" s="4" t="s">
        <v>670</v>
      </c>
      <c r="E94" s="4" t="s">
        <v>29</v>
      </c>
      <c r="F94" s="4" t="s">
        <v>272</v>
      </c>
      <c r="G94" s="4" t="s">
        <v>18</v>
      </c>
      <c r="H94" s="4" t="s">
        <v>191</v>
      </c>
      <c r="I94" s="4" t="s">
        <v>671</v>
      </c>
      <c r="J94" s="4" t="s">
        <v>672</v>
      </c>
      <c r="K94" s="4" t="s">
        <v>673</v>
      </c>
      <c r="L94" s="4" t="s">
        <v>674</v>
      </c>
      <c r="M94" s="4"/>
      <c r="N94" s="4" t="s">
        <v>90</v>
      </c>
      <c r="O94" s="4" t="s">
        <v>91</v>
      </c>
      <c r="P94" s="5">
        <f t="shared" si="34"/>
        <v>3</v>
      </c>
      <c r="Q94" s="5">
        <f t="shared" si="35"/>
        <v>0</v>
      </c>
      <c r="R94" s="5">
        <f t="shared" si="36"/>
        <v>1</v>
      </c>
      <c r="S94" s="5">
        <f t="shared" si="37"/>
        <v>0</v>
      </c>
      <c r="T94" s="5">
        <f t="shared" si="38"/>
        <v>0</v>
      </c>
      <c r="U94" s="5">
        <f t="shared" si="39"/>
        <v>1</v>
      </c>
      <c r="V94" s="5">
        <f t="shared" si="40"/>
        <v>1</v>
      </c>
      <c r="W94" s="5">
        <f t="shared" si="41"/>
        <v>0</v>
      </c>
      <c r="X94" s="5">
        <f t="shared" si="42"/>
        <v>0</v>
      </c>
      <c r="Y94" s="5">
        <f t="shared" si="43"/>
        <v>3</v>
      </c>
      <c r="Z94" s="5">
        <f t="shared" si="44"/>
        <v>1</v>
      </c>
      <c r="AA94" s="5">
        <f t="shared" si="45"/>
        <v>1</v>
      </c>
      <c r="AB94" s="5">
        <f t="shared" si="46"/>
        <v>0</v>
      </c>
      <c r="AC94" s="5">
        <f t="shared" si="47"/>
        <v>0</v>
      </c>
      <c r="AD94" s="5">
        <f t="shared" si="48"/>
        <v>1</v>
      </c>
      <c r="AE94" s="5">
        <f t="shared" si="49"/>
        <v>0</v>
      </c>
      <c r="AF94" s="5">
        <f t="shared" si="50"/>
        <v>0</v>
      </c>
    </row>
    <row r="95" spans="1:32" ht="122.1" customHeight="1">
      <c r="A95" s="4" t="s">
        <v>675</v>
      </c>
      <c r="B95" s="5">
        <v>94</v>
      </c>
      <c r="C95" s="4" t="s">
        <v>42</v>
      </c>
      <c r="D95" s="4" t="s">
        <v>676</v>
      </c>
      <c r="E95" s="4" t="s">
        <v>17</v>
      </c>
      <c r="F95" s="4" t="s">
        <v>29</v>
      </c>
      <c r="G95" s="4" t="s">
        <v>18</v>
      </c>
      <c r="H95" s="4" t="s">
        <v>30</v>
      </c>
      <c r="I95" s="4" t="s">
        <v>677</v>
      </c>
      <c r="J95" s="4" t="s">
        <v>678</v>
      </c>
      <c r="K95" s="4" t="s">
        <v>679</v>
      </c>
      <c r="L95" s="4" t="s">
        <v>680</v>
      </c>
      <c r="M95" s="4" t="s">
        <v>340</v>
      </c>
      <c r="N95" s="4" t="s">
        <v>90</v>
      </c>
      <c r="O95" s="4" t="s">
        <v>91</v>
      </c>
      <c r="P95" s="5">
        <f t="shared" si="34"/>
        <v>2</v>
      </c>
      <c r="Q95" s="5">
        <f t="shared" si="35"/>
        <v>0</v>
      </c>
      <c r="R95" s="5">
        <f t="shared" si="36"/>
        <v>1</v>
      </c>
      <c r="S95" s="5">
        <f t="shared" si="37"/>
        <v>0</v>
      </c>
      <c r="T95" s="5">
        <f t="shared" si="38"/>
        <v>0</v>
      </c>
      <c r="U95" s="5">
        <f t="shared" si="39"/>
        <v>0</v>
      </c>
      <c r="V95" s="5">
        <f t="shared" si="40"/>
        <v>1</v>
      </c>
      <c r="W95" s="5">
        <f t="shared" si="41"/>
        <v>0</v>
      </c>
      <c r="X95" s="5">
        <f t="shared" si="42"/>
        <v>0</v>
      </c>
      <c r="Y95" s="5">
        <f t="shared" si="43"/>
        <v>1</v>
      </c>
      <c r="Z95" s="5">
        <f t="shared" si="44"/>
        <v>0</v>
      </c>
      <c r="AA95" s="5">
        <f t="shared" si="45"/>
        <v>0</v>
      </c>
      <c r="AB95" s="5">
        <f t="shared" si="46"/>
        <v>0</v>
      </c>
      <c r="AC95" s="5">
        <f t="shared" si="47"/>
        <v>0</v>
      </c>
      <c r="AD95" s="5">
        <f t="shared" si="48"/>
        <v>0</v>
      </c>
      <c r="AE95" s="5">
        <f t="shared" si="49"/>
        <v>1</v>
      </c>
      <c r="AF95" s="5">
        <f t="shared" si="50"/>
        <v>0</v>
      </c>
    </row>
    <row r="96" spans="1:32" ht="122.1" customHeight="1">
      <c r="A96" s="4" t="s">
        <v>681</v>
      </c>
      <c r="B96" s="5">
        <v>95</v>
      </c>
      <c r="C96" s="4" t="s">
        <v>42</v>
      </c>
      <c r="D96" s="4" t="s">
        <v>682</v>
      </c>
      <c r="E96" s="4" t="s">
        <v>17</v>
      </c>
      <c r="F96" s="4" t="s">
        <v>29</v>
      </c>
      <c r="G96" s="4" t="s">
        <v>18</v>
      </c>
      <c r="H96" s="4" t="s">
        <v>30</v>
      </c>
      <c r="I96" s="4" t="s">
        <v>683</v>
      </c>
      <c r="J96" s="4" t="s">
        <v>684</v>
      </c>
      <c r="K96" s="4" t="s">
        <v>685</v>
      </c>
      <c r="L96" s="4" t="s">
        <v>686</v>
      </c>
      <c r="M96" s="4" t="s">
        <v>340</v>
      </c>
      <c r="N96" s="4" t="s">
        <v>90</v>
      </c>
      <c r="O96" s="4" t="s">
        <v>91</v>
      </c>
      <c r="P96" s="5">
        <f t="shared" si="34"/>
        <v>2</v>
      </c>
      <c r="Q96" s="5">
        <f t="shared" si="35"/>
        <v>0</v>
      </c>
      <c r="R96" s="5">
        <f t="shared" si="36"/>
        <v>1</v>
      </c>
      <c r="S96" s="5">
        <f t="shared" si="37"/>
        <v>0</v>
      </c>
      <c r="T96" s="5">
        <f t="shared" si="38"/>
        <v>0</v>
      </c>
      <c r="U96" s="5">
        <f t="shared" si="39"/>
        <v>0</v>
      </c>
      <c r="V96" s="5">
        <f t="shared" si="40"/>
        <v>1</v>
      </c>
      <c r="W96" s="5">
        <f t="shared" si="41"/>
        <v>0</v>
      </c>
      <c r="X96" s="5">
        <f t="shared" si="42"/>
        <v>0</v>
      </c>
      <c r="Y96" s="5">
        <f t="shared" si="43"/>
        <v>1</v>
      </c>
      <c r="Z96" s="5">
        <f t="shared" si="44"/>
        <v>0</v>
      </c>
      <c r="AA96" s="5">
        <f t="shared" si="45"/>
        <v>0</v>
      </c>
      <c r="AB96" s="5">
        <f t="shared" si="46"/>
        <v>0</v>
      </c>
      <c r="AC96" s="5">
        <f t="shared" si="47"/>
        <v>0</v>
      </c>
      <c r="AD96" s="5">
        <f t="shared" si="48"/>
        <v>0</v>
      </c>
      <c r="AE96" s="5">
        <f t="shared" si="49"/>
        <v>1</v>
      </c>
      <c r="AF96" s="5">
        <f t="shared" si="50"/>
        <v>0</v>
      </c>
    </row>
    <row r="97" spans="1:32" ht="75.95" customHeight="1">
      <c r="A97" s="4" t="s">
        <v>687</v>
      </c>
      <c r="B97" s="5">
        <v>96</v>
      </c>
      <c r="C97" s="4" t="s">
        <v>42</v>
      </c>
      <c r="D97" s="4" t="s">
        <v>688</v>
      </c>
      <c r="E97" s="4" t="s">
        <v>20</v>
      </c>
      <c r="F97" s="4"/>
      <c r="G97" s="4" t="s">
        <v>21</v>
      </c>
      <c r="H97" s="4" t="s">
        <v>178</v>
      </c>
      <c r="I97" s="4" t="s">
        <v>689</v>
      </c>
      <c r="J97" s="4" t="s">
        <v>690</v>
      </c>
      <c r="K97" s="4" t="s">
        <v>691</v>
      </c>
      <c r="L97" s="4" t="s">
        <v>692</v>
      </c>
      <c r="M97" s="4"/>
      <c r="N97" s="4" t="s">
        <v>90</v>
      </c>
      <c r="O97" s="4" t="s">
        <v>91</v>
      </c>
      <c r="P97" s="5">
        <f t="shared" si="34"/>
        <v>1</v>
      </c>
      <c r="Q97" s="5">
        <f t="shared" si="35"/>
        <v>0</v>
      </c>
      <c r="R97" s="5">
        <f t="shared" si="36"/>
        <v>0</v>
      </c>
      <c r="S97" s="5">
        <f t="shared" si="37"/>
        <v>1</v>
      </c>
      <c r="T97" s="5">
        <f t="shared" si="38"/>
        <v>0</v>
      </c>
      <c r="U97" s="5">
        <f t="shared" si="39"/>
        <v>0</v>
      </c>
      <c r="V97" s="5">
        <f t="shared" si="40"/>
        <v>0</v>
      </c>
      <c r="W97" s="5">
        <f t="shared" si="41"/>
        <v>0</v>
      </c>
      <c r="X97" s="5">
        <f t="shared" si="42"/>
        <v>0</v>
      </c>
      <c r="Y97" s="5">
        <f t="shared" si="43"/>
        <v>2</v>
      </c>
      <c r="Z97" s="5">
        <f t="shared" si="44"/>
        <v>0</v>
      </c>
      <c r="AA97" s="5">
        <f t="shared" si="45"/>
        <v>1</v>
      </c>
      <c r="AB97" s="5">
        <f t="shared" si="46"/>
        <v>0</v>
      </c>
      <c r="AC97" s="5">
        <f t="shared" si="47"/>
        <v>0</v>
      </c>
      <c r="AD97" s="5">
        <f t="shared" si="48"/>
        <v>0</v>
      </c>
      <c r="AE97" s="5">
        <f t="shared" si="49"/>
        <v>1</v>
      </c>
      <c r="AF97" s="5">
        <f t="shared" si="50"/>
        <v>0</v>
      </c>
    </row>
    <row r="98" spans="1:32" ht="93.95" customHeight="1">
      <c r="A98" s="4" t="s">
        <v>693</v>
      </c>
      <c r="B98" s="5">
        <v>97</v>
      </c>
      <c r="C98" s="4" t="s">
        <v>42</v>
      </c>
      <c r="D98" s="4" t="s">
        <v>694</v>
      </c>
      <c r="E98" s="4" t="s">
        <v>34</v>
      </c>
      <c r="F98" s="4" t="s">
        <v>26</v>
      </c>
      <c r="G98" s="4" t="s">
        <v>27</v>
      </c>
      <c r="H98" s="4" t="s">
        <v>127</v>
      </c>
      <c r="I98" s="4" t="s">
        <v>695</v>
      </c>
      <c r="J98" s="4" t="s">
        <v>696</v>
      </c>
      <c r="K98" s="4" t="s">
        <v>697</v>
      </c>
      <c r="L98" s="4" t="s">
        <v>698</v>
      </c>
      <c r="M98" s="4"/>
      <c r="N98" s="4" t="s">
        <v>90</v>
      </c>
      <c r="O98" s="4" t="s">
        <v>91</v>
      </c>
      <c r="P98" s="5">
        <f t="shared" ref="P98:P129" si="51">SUM(Q98:X98)</f>
        <v>2</v>
      </c>
      <c r="Q98" s="5">
        <f t="shared" ref="Q98:Q120" si="52">IF(OR(E98="Delegation",ISNUMBER(SEARCH("; Delegation; ","; "&amp;F98&amp;"; "))),1,0)</f>
        <v>0</v>
      </c>
      <c r="R98" s="5">
        <f t="shared" ref="R98:R120" si="53">IF(OR(E98="Directed delegation",ISNUMBER(SEARCH("; Directed delegation; ","; "&amp;F98&amp;"; "))),1,0)</f>
        <v>0</v>
      </c>
      <c r="S98" s="5">
        <f t="shared" ref="S98:S120" si="54">IF(OR(E98="Evaluation",ISNUMBER(SEARCH("; Evaluation; ","; "&amp;F98&amp;"; "))),1,0)</f>
        <v>0</v>
      </c>
      <c r="T98" s="5">
        <f t="shared" ref="T98:T120" si="55">IF(OR(E98="Correction/Challenge",ISNUMBER(SEARCH("; Correction/Challenge; ","; "&amp;F98&amp;"; "))),1,0)</f>
        <v>0</v>
      </c>
      <c r="U98" s="5">
        <f t="shared" ref="U98:U120" si="56">IF(OR(E98="Redirection",ISNUMBER(SEARCH("; Redirection; ","; "&amp;F98&amp;"; "))),1,0)</f>
        <v>1</v>
      </c>
      <c r="V98" s="5">
        <f t="shared" ref="V98:V120" si="57">IF(OR(E98="Knowledge injection",ISNUMBER(SEARCH("; Knowledge injection; ","; "&amp;F98&amp;"; "))),1,0)</f>
        <v>0</v>
      </c>
      <c r="W98" s="5">
        <f t="shared" ref="W98:W120" si="58">IF(OR(E98="Selection/Rejection",ISNUMBER(SEARCH("; Selection/Rejection; ","; "&amp;F98&amp;"; "))),1,0)</f>
        <v>0</v>
      </c>
      <c r="X98" s="5">
        <f t="shared" ref="X98:X120" si="59">IF(OR(E98="Deliberation",ISNUMBER(SEARCH("; Deliberation; ","; "&amp;F98&amp;"; "))),1,0)</f>
        <v>1</v>
      </c>
      <c r="Y98" s="5">
        <f t="shared" ref="Y98:Y129" si="60">SUM(Z98:AE98)</f>
        <v>2</v>
      </c>
      <c r="Z98" s="5">
        <f t="shared" ref="Z98:Z120" si="61">IF(ISNUMBER(SEARCH("; domain correction; ","; "&amp;H98&amp;"; ")),1,0)</f>
        <v>0</v>
      </c>
      <c r="AA98" s="5">
        <f t="shared" ref="AA98:AA120" si="62">IF(ISNUMBER(SEARCH("; conceptual discrimination; ","; "&amp;H98&amp;"; ")),1,0)</f>
        <v>0</v>
      </c>
      <c r="AB98" s="5">
        <f t="shared" ref="AB98:AB120" si="63">IF(ISNUMBER(SEARCH("; evidence judgment; ","; "&amp;H98&amp;"; ")),1,0)</f>
        <v>0</v>
      </c>
      <c r="AC98" s="5">
        <f t="shared" ref="AC98:AC120" si="64">IF(ISNUMBER(SEARCH("; methodological judgment; ","; "&amp;H98&amp;"; ")),1,0)</f>
        <v>1</v>
      </c>
      <c r="AD98" s="5">
        <f t="shared" ref="AD98:AD120" si="65">IF(ISNUMBER(SEARCH("; argumentative judgment; ","; "&amp;H98&amp;"; ")),1,0)</f>
        <v>0</v>
      </c>
      <c r="AE98" s="5">
        <f t="shared" ref="AE98:AE120" si="66">IF(ISNUMBER(SEARCH("; genre/writing expertise; ","; "&amp;H98&amp;"; ")),1,0)</f>
        <v>1</v>
      </c>
      <c r="AF98" s="5">
        <f t="shared" ref="AF98:AF120" si="67">IF(ISNUMBER(SEARCH("; none; ","; "&amp;H98&amp;"; ")),1,0)</f>
        <v>0</v>
      </c>
    </row>
    <row r="99" spans="1:32" ht="122.1" customHeight="1">
      <c r="A99" s="4" t="s">
        <v>699</v>
      </c>
      <c r="B99" s="5">
        <v>98</v>
      </c>
      <c r="C99" s="4" t="s">
        <v>42</v>
      </c>
      <c r="D99" s="4" t="s">
        <v>700</v>
      </c>
      <c r="E99" s="4" t="s">
        <v>26</v>
      </c>
      <c r="F99" s="4" t="s">
        <v>17</v>
      </c>
      <c r="G99" s="4" t="s">
        <v>18</v>
      </c>
      <c r="H99" s="4" t="s">
        <v>30</v>
      </c>
      <c r="I99" s="4" t="s">
        <v>701</v>
      </c>
      <c r="J99" s="4" t="s">
        <v>702</v>
      </c>
      <c r="K99" s="4" t="s">
        <v>703</v>
      </c>
      <c r="L99" s="4" t="s">
        <v>704</v>
      </c>
      <c r="M99" s="4"/>
      <c r="N99" s="4" t="s">
        <v>90</v>
      </c>
      <c r="O99" s="4" t="s">
        <v>91</v>
      </c>
      <c r="P99" s="5">
        <f t="shared" si="51"/>
        <v>2</v>
      </c>
      <c r="Q99" s="5">
        <f t="shared" si="52"/>
        <v>0</v>
      </c>
      <c r="R99" s="5">
        <f t="shared" si="53"/>
        <v>1</v>
      </c>
      <c r="S99" s="5">
        <f t="shared" si="54"/>
        <v>0</v>
      </c>
      <c r="T99" s="5">
        <f t="shared" si="55"/>
        <v>0</v>
      </c>
      <c r="U99" s="5">
        <f t="shared" si="56"/>
        <v>1</v>
      </c>
      <c r="V99" s="5">
        <f t="shared" si="57"/>
        <v>0</v>
      </c>
      <c r="W99" s="5">
        <f t="shared" si="58"/>
        <v>0</v>
      </c>
      <c r="X99" s="5">
        <f t="shared" si="59"/>
        <v>0</v>
      </c>
      <c r="Y99" s="5">
        <f t="shared" si="60"/>
        <v>1</v>
      </c>
      <c r="Z99" s="5">
        <f t="shared" si="61"/>
        <v>0</v>
      </c>
      <c r="AA99" s="5">
        <f t="shared" si="62"/>
        <v>0</v>
      </c>
      <c r="AB99" s="5">
        <f t="shared" si="63"/>
        <v>0</v>
      </c>
      <c r="AC99" s="5">
        <f t="shared" si="64"/>
        <v>0</v>
      </c>
      <c r="AD99" s="5">
        <f t="shared" si="65"/>
        <v>0</v>
      </c>
      <c r="AE99" s="5">
        <f t="shared" si="66"/>
        <v>1</v>
      </c>
      <c r="AF99" s="5">
        <f t="shared" si="67"/>
        <v>0</v>
      </c>
    </row>
    <row r="100" spans="1:32" ht="122.1" customHeight="1">
      <c r="A100" s="4" t="s">
        <v>705</v>
      </c>
      <c r="B100" s="5">
        <v>99</v>
      </c>
      <c r="C100" s="4" t="s">
        <v>42</v>
      </c>
      <c r="D100" s="4" t="s">
        <v>706</v>
      </c>
      <c r="E100" s="4" t="s">
        <v>23</v>
      </c>
      <c r="F100" s="4" t="s">
        <v>17</v>
      </c>
      <c r="G100" s="4" t="s">
        <v>24</v>
      </c>
      <c r="H100" s="4" t="s">
        <v>707</v>
      </c>
      <c r="I100" s="4" t="s">
        <v>708</v>
      </c>
      <c r="J100" s="4" t="s">
        <v>709</v>
      </c>
      <c r="K100" s="4" t="s">
        <v>710</v>
      </c>
      <c r="L100" s="4" t="s">
        <v>711</v>
      </c>
      <c r="M100" s="4"/>
      <c r="N100" s="4" t="s">
        <v>90</v>
      </c>
      <c r="O100" s="4" t="s">
        <v>91</v>
      </c>
      <c r="P100" s="5">
        <f t="shared" si="51"/>
        <v>2</v>
      </c>
      <c r="Q100" s="5">
        <f t="shared" si="52"/>
        <v>0</v>
      </c>
      <c r="R100" s="5">
        <f t="shared" si="53"/>
        <v>1</v>
      </c>
      <c r="S100" s="5">
        <f t="shared" si="54"/>
        <v>0</v>
      </c>
      <c r="T100" s="5">
        <f t="shared" si="55"/>
        <v>1</v>
      </c>
      <c r="U100" s="5">
        <f t="shared" si="56"/>
        <v>0</v>
      </c>
      <c r="V100" s="5">
        <f t="shared" si="57"/>
        <v>0</v>
      </c>
      <c r="W100" s="5">
        <f t="shared" si="58"/>
        <v>0</v>
      </c>
      <c r="X100" s="5">
        <f t="shared" si="59"/>
        <v>0</v>
      </c>
      <c r="Y100" s="5">
        <f t="shared" si="60"/>
        <v>2</v>
      </c>
      <c r="Z100" s="5">
        <f t="shared" si="61"/>
        <v>0</v>
      </c>
      <c r="AA100" s="5">
        <f t="shared" si="62"/>
        <v>0</v>
      </c>
      <c r="AB100" s="5">
        <f t="shared" si="63"/>
        <v>1</v>
      </c>
      <c r="AC100" s="5">
        <f t="shared" si="64"/>
        <v>0</v>
      </c>
      <c r="AD100" s="5">
        <f t="shared" si="65"/>
        <v>1</v>
      </c>
      <c r="AE100" s="5">
        <f t="shared" si="66"/>
        <v>0</v>
      </c>
      <c r="AF100" s="5">
        <f t="shared" si="67"/>
        <v>0</v>
      </c>
    </row>
    <row r="101" spans="1:32" ht="93.95" customHeight="1">
      <c r="A101" s="4" t="s">
        <v>712</v>
      </c>
      <c r="B101" s="5">
        <v>100</v>
      </c>
      <c r="C101" s="4" t="s">
        <v>42</v>
      </c>
      <c r="D101" s="4" t="s">
        <v>713</v>
      </c>
      <c r="E101" s="4" t="s">
        <v>34</v>
      </c>
      <c r="F101" s="4" t="s">
        <v>714</v>
      </c>
      <c r="G101" s="4" t="s">
        <v>27</v>
      </c>
      <c r="H101" s="4" t="s">
        <v>707</v>
      </c>
      <c r="I101" s="4" t="s">
        <v>715</v>
      </c>
      <c r="J101" s="4" t="s">
        <v>716</v>
      </c>
      <c r="K101" s="4" t="s">
        <v>717</v>
      </c>
      <c r="L101" s="4" t="s">
        <v>718</v>
      </c>
      <c r="M101" s="4"/>
      <c r="N101" s="4" t="s">
        <v>90</v>
      </c>
      <c r="O101" s="4" t="s">
        <v>91</v>
      </c>
      <c r="P101" s="5">
        <f t="shared" si="51"/>
        <v>3</v>
      </c>
      <c r="Q101" s="5">
        <f t="shared" si="52"/>
        <v>0</v>
      </c>
      <c r="R101" s="5">
        <f t="shared" si="53"/>
        <v>0</v>
      </c>
      <c r="S101" s="5">
        <f t="shared" si="54"/>
        <v>1</v>
      </c>
      <c r="T101" s="5">
        <f t="shared" si="55"/>
        <v>0</v>
      </c>
      <c r="U101" s="5">
        <f t="shared" si="56"/>
        <v>0</v>
      </c>
      <c r="V101" s="5">
        <f t="shared" si="57"/>
        <v>1</v>
      </c>
      <c r="W101" s="5">
        <f t="shared" si="58"/>
        <v>0</v>
      </c>
      <c r="X101" s="5">
        <f t="shared" si="59"/>
        <v>1</v>
      </c>
      <c r="Y101" s="5">
        <f t="shared" si="60"/>
        <v>2</v>
      </c>
      <c r="Z101" s="5">
        <f t="shared" si="61"/>
        <v>0</v>
      </c>
      <c r="AA101" s="5">
        <f t="shared" si="62"/>
        <v>0</v>
      </c>
      <c r="AB101" s="5">
        <f t="shared" si="63"/>
        <v>1</v>
      </c>
      <c r="AC101" s="5">
        <f t="shared" si="64"/>
        <v>0</v>
      </c>
      <c r="AD101" s="5">
        <f t="shared" si="65"/>
        <v>1</v>
      </c>
      <c r="AE101" s="5">
        <f t="shared" si="66"/>
        <v>0</v>
      </c>
      <c r="AF101" s="5">
        <f t="shared" si="67"/>
        <v>0</v>
      </c>
    </row>
    <row r="102" spans="1:32" ht="75.95" customHeight="1">
      <c r="A102" s="4" t="s">
        <v>719</v>
      </c>
      <c r="B102" s="5">
        <v>101</v>
      </c>
      <c r="C102" s="4" t="s">
        <v>42</v>
      </c>
      <c r="D102" s="4" t="s">
        <v>720</v>
      </c>
      <c r="E102" s="4" t="s">
        <v>31</v>
      </c>
      <c r="F102" s="4" t="s">
        <v>404</v>
      </c>
      <c r="G102" s="4" t="s">
        <v>18</v>
      </c>
      <c r="H102" s="4" t="s">
        <v>22</v>
      </c>
      <c r="I102" s="4" t="s">
        <v>721</v>
      </c>
      <c r="J102" s="4" t="s">
        <v>722</v>
      </c>
      <c r="K102" s="4" t="s">
        <v>723</v>
      </c>
      <c r="L102" s="4" t="s">
        <v>724</v>
      </c>
      <c r="M102" s="4"/>
      <c r="N102" s="4" t="s">
        <v>90</v>
      </c>
      <c r="O102" s="4" t="s">
        <v>91</v>
      </c>
      <c r="P102" s="5">
        <f t="shared" si="51"/>
        <v>3</v>
      </c>
      <c r="Q102" s="5">
        <f t="shared" si="52"/>
        <v>0</v>
      </c>
      <c r="R102" s="5">
        <f t="shared" si="53"/>
        <v>1</v>
      </c>
      <c r="S102" s="5">
        <f t="shared" si="54"/>
        <v>0</v>
      </c>
      <c r="T102" s="5">
        <f t="shared" si="55"/>
        <v>0</v>
      </c>
      <c r="U102" s="5">
        <f t="shared" si="56"/>
        <v>0</v>
      </c>
      <c r="V102" s="5">
        <f t="shared" si="57"/>
        <v>1</v>
      </c>
      <c r="W102" s="5">
        <f t="shared" si="58"/>
        <v>1</v>
      </c>
      <c r="X102" s="5">
        <f t="shared" si="59"/>
        <v>0</v>
      </c>
      <c r="Y102" s="5">
        <f t="shared" si="60"/>
        <v>1</v>
      </c>
      <c r="Z102" s="5">
        <f t="shared" si="61"/>
        <v>0</v>
      </c>
      <c r="AA102" s="5">
        <f t="shared" si="62"/>
        <v>0</v>
      </c>
      <c r="AB102" s="5">
        <f t="shared" si="63"/>
        <v>1</v>
      </c>
      <c r="AC102" s="5">
        <f t="shared" si="64"/>
        <v>0</v>
      </c>
      <c r="AD102" s="5">
        <f t="shared" si="65"/>
        <v>0</v>
      </c>
      <c r="AE102" s="5">
        <f t="shared" si="66"/>
        <v>0</v>
      </c>
      <c r="AF102" s="5">
        <f t="shared" si="67"/>
        <v>0</v>
      </c>
    </row>
    <row r="103" spans="1:32" ht="122.1" customHeight="1">
      <c r="A103" s="4" t="s">
        <v>725</v>
      </c>
      <c r="B103" s="5">
        <v>102</v>
      </c>
      <c r="C103" s="4" t="s">
        <v>42</v>
      </c>
      <c r="D103" s="4" t="s">
        <v>726</v>
      </c>
      <c r="E103" s="4" t="s">
        <v>29</v>
      </c>
      <c r="F103" s="4" t="s">
        <v>17</v>
      </c>
      <c r="G103" s="4" t="s">
        <v>18</v>
      </c>
      <c r="H103" s="4" t="s">
        <v>22</v>
      </c>
      <c r="I103" s="4" t="s">
        <v>727</v>
      </c>
      <c r="J103" s="4" t="s">
        <v>728</v>
      </c>
      <c r="K103" s="4" t="s">
        <v>729</v>
      </c>
      <c r="L103" s="4" t="s">
        <v>730</v>
      </c>
      <c r="M103" s="4" t="s">
        <v>731</v>
      </c>
      <c r="N103" s="4" t="s">
        <v>90</v>
      </c>
      <c r="O103" s="4" t="s">
        <v>91</v>
      </c>
      <c r="P103" s="5">
        <f t="shared" si="51"/>
        <v>2</v>
      </c>
      <c r="Q103" s="5">
        <f t="shared" si="52"/>
        <v>0</v>
      </c>
      <c r="R103" s="5">
        <f t="shared" si="53"/>
        <v>1</v>
      </c>
      <c r="S103" s="5">
        <f t="shared" si="54"/>
        <v>0</v>
      </c>
      <c r="T103" s="5">
        <f t="shared" si="55"/>
        <v>0</v>
      </c>
      <c r="U103" s="5">
        <f t="shared" si="56"/>
        <v>0</v>
      </c>
      <c r="V103" s="5">
        <f t="shared" si="57"/>
        <v>1</v>
      </c>
      <c r="W103" s="5">
        <f t="shared" si="58"/>
        <v>0</v>
      </c>
      <c r="X103" s="5">
        <f t="shared" si="59"/>
        <v>0</v>
      </c>
      <c r="Y103" s="5">
        <f t="shared" si="60"/>
        <v>1</v>
      </c>
      <c r="Z103" s="5">
        <f t="shared" si="61"/>
        <v>0</v>
      </c>
      <c r="AA103" s="5">
        <f t="shared" si="62"/>
        <v>0</v>
      </c>
      <c r="AB103" s="5">
        <f t="shared" si="63"/>
        <v>1</v>
      </c>
      <c r="AC103" s="5">
        <f t="shared" si="64"/>
        <v>0</v>
      </c>
      <c r="AD103" s="5">
        <f t="shared" si="65"/>
        <v>0</v>
      </c>
      <c r="AE103" s="5">
        <f t="shared" si="66"/>
        <v>0</v>
      </c>
      <c r="AF103" s="5">
        <f t="shared" si="67"/>
        <v>0</v>
      </c>
    </row>
    <row r="104" spans="1:32" ht="108" customHeight="1">
      <c r="A104" s="4" t="s">
        <v>732</v>
      </c>
      <c r="B104" s="5">
        <v>103</v>
      </c>
      <c r="C104" s="4" t="s">
        <v>42</v>
      </c>
      <c r="D104" s="4" t="s">
        <v>733</v>
      </c>
      <c r="E104" s="4" t="s">
        <v>26</v>
      </c>
      <c r="F104" s="4" t="s">
        <v>17</v>
      </c>
      <c r="G104" s="4" t="s">
        <v>18</v>
      </c>
      <c r="H104" s="4" t="s">
        <v>734</v>
      </c>
      <c r="I104" s="4" t="s">
        <v>735</v>
      </c>
      <c r="J104" s="4" t="s">
        <v>736</v>
      </c>
      <c r="K104" s="4" t="s">
        <v>737</v>
      </c>
      <c r="L104" s="4" t="s">
        <v>738</v>
      </c>
      <c r="M104" s="4"/>
      <c r="N104" s="4" t="s">
        <v>90</v>
      </c>
      <c r="O104" s="4" t="s">
        <v>91</v>
      </c>
      <c r="P104" s="5">
        <f t="shared" si="51"/>
        <v>2</v>
      </c>
      <c r="Q104" s="5">
        <f t="shared" si="52"/>
        <v>0</v>
      </c>
      <c r="R104" s="5">
        <f t="shared" si="53"/>
        <v>1</v>
      </c>
      <c r="S104" s="5">
        <f t="shared" si="54"/>
        <v>0</v>
      </c>
      <c r="T104" s="5">
        <f t="shared" si="55"/>
        <v>0</v>
      </c>
      <c r="U104" s="5">
        <f t="shared" si="56"/>
        <v>1</v>
      </c>
      <c r="V104" s="5">
        <f t="shared" si="57"/>
        <v>0</v>
      </c>
      <c r="W104" s="5">
        <f t="shared" si="58"/>
        <v>0</v>
      </c>
      <c r="X104" s="5">
        <f t="shared" si="59"/>
        <v>0</v>
      </c>
      <c r="Y104" s="5">
        <f t="shared" si="60"/>
        <v>2</v>
      </c>
      <c r="Z104" s="5">
        <f t="shared" si="61"/>
        <v>1</v>
      </c>
      <c r="AA104" s="5">
        <f t="shared" si="62"/>
        <v>0</v>
      </c>
      <c r="AB104" s="5">
        <f t="shared" si="63"/>
        <v>0</v>
      </c>
      <c r="AC104" s="5">
        <f t="shared" si="64"/>
        <v>0</v>
      </c>
      <c r="AD104" s="5">
        <f t="shared" si="65"/>
        <v>1</v>
      </c>
      <c r="AE104" s="5">
        <f t="shared" si="66"/>
        <v>0</v>
      </c>
      <c r="AF104" s="5">
        <f t="shared" si="67"/>
        <v>0</v>
      </c>
    </row>
    <row r="105" spans="1:32" ht="80.099999999999994" customHeight="1">
      <c r="A105" s="4" t="s">
        <v>739</v>
      </c>
      <c r="B105" s="5">
        <v>104</v>
      </c>
      <c r="C105" s="4" t="s">
        <v>42</v>
      </c>
      <c r="D105" s="4" t="s">
        <v>740</v>
      </c>
      <c r="E105" s="4" t="s">
        <v>23</v>
      </c>
      <c r="F105" s="4" t="s">
        <v>272</v>
      </c>
      <c r="G105" s="4" t="s">
        <v>24</v>
      </c>
      <c r="H105" s="4" t="s">
        <v>707</v>
      </c>
      <c r="I105" s="4" t="s">
        <v>741</v>
      </c>
      <c r="J105" s="4" t="s">
        <v>742</v>
      </c>
      <c r="K105" s="4" t="s">
        <v>743</v>
      </c>
      <c r="L105" s="4" t="s">
        <v>744</v>
      </c>
      <c r="M105" s="4"/>
      <c r="N105" s="4" t="s">
        <v>90</v>
      </c>
      <c r="O105" s="4" t="s">
        <v>91</v>
      </c>
      <c r="P105" s="5">
        <f t="shared" si="51"/>
        <v>3</v>
      </c>
      <c r="Q105" s="5">
        <f t="shared" si="52"/>
        <v>0</v>
      </c>
      <c r="R105" s="5">
        <f t="shared" si="53"/>
        <v>1</v>
      </c>
      <c r="S105" s="5">
        <f t="shared" si="54"/>
        <v>0</v>
      </c>
      <c r="T105" s="5">
        <f t="shared" si="55"/>
        <v>1</v>
      </c>
      <c r="U105" s="5">
        <f t="shared" si="56"/>
        <v>1</v>
      </c>
      <c r="V105" s="5">
        <f t="shared" si="57"/>
        <v>0</v>
      </c>
      <c r="W105" s="5">
        <f t="shared" si="58"/>
        <v>0</v>
      </c>
      <c r="X105" s="5">
        <f t="shared" si="59"/>
        <v>0</v>
      </c>
      <c r="Y105" s="5">
        <f t="shared" si="60"/>
        <v>2</v>
      </c>
      <c r="Z105" s="5">
        <f t="shared" si="61"/>
        <v>0</v>
      </c>
      <c r="AA105" s="5">
        <f t="shared" si="62"/>
        <v>0</v>
      </c>
      <c r="AB105" s="5">
        <f t="shared" si="63"/>
        <v>1</v>
      </c>
      <c r="AC105" s="5">
        <f t="shared" si="64"/>
        <v>0</v>
      </c>
      <c r="AD105" s="5">
        <f t="shared" si="65"/>
        <v>1</v>
      </c>
      <c r="AE105" s="5">
        <f t="shared" si="66"/>
        <v>0</v>
      </c>
      <c r="AF105" s="5">
        <f t="shared" si="67"/>
        <v>0</v>
      </c>
    </row>
    <row r="106" spans="1:32" ht="122.1" customHeight="1">
      <c r="A106" s="4" t="s">
        <v>745</v>
      </c>
      <c r="B106" s="5">
        <v>105</v>
      </c>
      <c r="C106" s="4" t="s">
        <v>42</v>
      </c>
      <c r="D106" s="4" t="s">
        <v>746</v>
      </c>
      <c r="E106" s="4" t="s">
        <v>20</v>
      </c>
      <c r="F106" s="4"/>
      <c r="G106" s="4" t="s">
        <v>21</v>
      </c>
      <c r="H106" s="4" t="s">
        <v>747</v>
      </c>
      <c r="I106" s="4" t="s">
        <v>748</v>
      </c>
      <c r="J106" s="4" t="s">
        <v>749</v>
      </c>
      <c r="K106" s="4" t="s">
        <v>750</v>
      </c>
      <c r="L106" s="4" t="s">
        <v>751</v>
      </c>
      <c r="M106" s="4"/>
      <c r="N106" s="4" t="s">
        <v>90</v>
      </c>
      <c r="O106" s="4" t="s">
        <v>91</v>
      </c>
      <c r="P106" s="5">
        <f t="shared" si="51"/>
        <v>1</v>
      </c>
      <c r="Q106" s="5">
        <f t="shared" si="52"/>
        <v>0</v>
      </c>
      <c r="R106" s="5">
        <f t="shared" si="53"/>
        <v>0</v>
      </c>
      <c r="S106" s="5">
        <f t="shared" si="54"/>
        <v>1</v>
      </c>
      <c r="T106" s="5">
        <f t="shared" si="55"/>
        <v>0</v>
      </c>
      <c r="U106" s="5">
        <f t="shared" si="56"/>
        <v>0</v>
      </c>
      <c r="V106" s="5">
        <f t="shared" si="57"/>
        <v>0</v>
      </c>
      <c r="W106" s="5">
        <f t="shared" si="58"/>
        <v>0</v>
      </c>
      <c r="X106" s="5">
        <f t="shared" si="59"/>
        <v>0</v>
      </c>
      <c r="Y106" s="5">
        <f t="shared" si="60"/>
        <v>2</v>
      </c>
      <c r="Z106" s="5">
        <f t="shared" si="61"/>
        <v>0</v>
      </c>
      <c r="AA106" s="5">
        <f t="shared" si="62"/>
        <v>1</v>
      </c>
      <c r="AB106" s="5">
        <f t="shared" si="63"/>
        <v>1</v>
      </c>
      <c r="AC106" s="5">
        <f t="shared" si="64"/>
        <v>0</v>
      </c>
      <c r="AD106" s="5">
        <f t="shared" si="65"/>
        <v>0</v>
      </c>
      <c r="AE106" s="5">
        <f t="shared" si="66"/>
        <v>0</v>
      </c>
      <c r="AF106" s="5">
        <f t="shared" si="67"/>
        <v>0</v>
      </c>
    </row>
    <row r="107" spans="1:32" ht="75.95" customHeight="1">
      <c r="A107" s="4" t="s">
        <v>752</v>
      </c>
      <c r="B107" s="5">
        <v>106</v>
      </c>
      <c r="C107" s="4" t="s">
        <v>42</v>
      </c>
      <c r="D107" s="4" t="s">
        <v>753</v>
      </c>
      <c r="E107" s="4" t="s">
        <v>20</v>
      </c>
      <c r="F107" s="4"/>
      <c r="G107" s="4" t="s">
        <v>21</v>
      </c>
      <c r="H107" s="4" t="s">
        <v>30</v>
      </c>
      <c r="I107" s="4" t="s">
        <v>754</v>
      </c>
      <c r="J107" s="4" t="s">
        <v>755</v>
      </c>
      <c r="K107" s="4" t="s">
        <v>756</v>
      </c>
      <c r="L107" s="4" t="s">
        <v>757</v>
      </c>
      <c r="M107" s="4"/>
      <c r="N107" s="4" t="s">
        <v>90</v>
      </c>
      <c r="O107" s="4" t="s">
        <v>91</v>
      </c>
      <c r="P107" s="5">
        <f t="shared" si="51"/>
        <v>1</v>
      </c>
      <c r="Q107" s="5">
        <f t="shared" si="52"/>
        <v>0</v>
      </c>
      <c r="R107" s="5">
        <f t="shared" si="53"/>
        <v>0</v>
      </c>
      <c r="S107" s="5">
        <f t="shared" si="54"/>
        <v>1</v>
      </c>
      <c r="T107" s="5">
        <f t="shared" si="55"/>
        <v>0</v>
      </c>
      <c r="U107" s="5">
        <f t="shared" si="56"/>
        <v>0</v>
      </c>
      <c r="V107" s="5">
        <f t="shared" si="57"/>
        <v>0</v>
      </c>
      <c r="W107" s="5">
        <f t="shared" si="58"/>
        <v>0</v>
      </c>
      <c r="X107" s="5">
        <f t="shared" si="59"/>
        <v>0</v>
      </c>
      <c r="Y107" s="5">
        <f t="shared" si="60"/>
        <v>1</v>
      </c>
      <c r="Z107" s="5">
        <f t="shared" si="61"/>
        <v>0</v>
      </c>
      <c r="AA107" s="5">
        <f t="shared" si="62"/>
        <v>0</v>
      </c>
      <c r="AB107" s="5">
        <f t="shared" si="63"/>
        <v>0</v>
      </c>
      <c r="AC107" s="5">
        <f t="shared" si="64"/>
        <v>0</v>
      </c>
      <c r="AD107" s="5">
        <f t="shared" si="65"/>
        <v>0</v>
      </c>
      <c r="AE107" s="5">
        <f t="shared" si="66"/>
        <v>1</v>
      </c>
      <c r="AF107" s="5">
        <f t="shared" si="67"/>
        <v>0</v>
      </c>
    </row>
    <row r="108" spans="1:32" ht="122.1" customHeight="1">
      <c r="A108" s="4" t="s">
        <v>758</v>
      </c>
      <c r="B108" s="5">
        <v>107</v>
      </c>
      <c r="C108" s="4" t="s">
        <v>42</v>
      </c>
      <c r="D108" s="4" t="s">
        <v>759</v>
      </c>
      <c r="E108" s="4" t="s">
        <v>23</v>
      </c>
      <c r="F108" s="4" t="s">
        <v>760</v>
      </c>
      <c r="G108" s="4" t="s">
        <v>24</v>
      </c>
      <c r="H108" s="4" t="s">
        <v>761</v>
      </c>
      <c r="I108" s="4" t="s">
        <v>762</v>
      </c>
      <c r="J108" s="4" t="s">
        <v>763</v>
      </c>
      <c r="K108" s="4" t="s">
        <v>764</v>
      </c>
      <c r="L108" s="4" t="s">
        <v>765</v>
      </c>
      <c r="M108" s="4"/>
      <c r="N108" s="4" t="s">
        <v>90</v>
      </c>
      <c r="O108" s="4" t="s">
        <v>91</v>
      </c>
      <c r="P108" s="5">
        <f t="shared" si="51"/>
        <v>4</v>
      </c>
      <c r="Q108" s="5">
        <f t="shared" si="52"/>
        <v>0</v>
      </c>
      <c r="R108" s="5">
        <f t="shared" si="53"/>
        <v>1</v>
      </c>
      <c r="S108" s="5">
        <f t="shared" si="54"/>
        <v>0</v>
      </c>
      <c r="T108" s="5">
        <f t="shared" si="55"/>
        <v>1</v>
      </c>
      <c r="U108" s="5">
        <f t="shared" si="56"/>
        <v>1</v>
      </c>
      <c r="V108" s="5">
        <f t="shared" si="57"/>
        <v>1</v>
      </c>
      <c r="W108" s="5">
        <f t="shared" si="58"/>
        <v>0</v>
      </c>
      <c r="X108" s="5">
        <f t="shared" si="59"/>
        <v>0</v>
      </c>
      <c r="Y108" s="5">
        <f t="shared" si="60"/>
        <v>3</v>
      </c>
      <c r="Z108" s="5">
        <f t="shared" si="61"/>
        <v>0</v>
      </c>
      <c r="AA108" s="5">
        <f t="shared" si="62"/>
        <v>1</v>
      </c>
      <c r="AB108" s="5">
        <f t="shared" si="63"/>
        <v>1</v>
      </c>
      <c r="AC108" s="5">
        <f t="shared" si="64"/>
        <v>0</v>
      </c>
      <c r="AD108" s="5">
        <f t="shared" si="65"/>
        <v>1</v>
      </c>
      <c r="AE108" s="5">
        <f t="shared" si="66"/>
        <v>0</v>
      </c>
      <c r="AF108" s="5">
        <f t="shared" si="67"/>
        <v>0</v>
      </c>
    </row>
    <row r="109" spans="1:32" ht="75.95" customHeight="1">
      <c r="A109" s="4" t="s">
        <v>766</v>
      </c>
      <c r="B109" s="5">
        <v>108</v>
      </c>
      <c r="C109" s="4" t="s">
        <v>42</v>
      </c>
      <c r="D109" s="4" t="s">
        <v>767</v>
      </c>
      <c r="E109" s="4" t="s">
        <v>17</v>
      </c>
      <c r="F109" s="4" t="s">
        <v>29</v>
      </c>
      <c r="G109" s="4" t="s">
        <v>18</v>
      </c>
      <c r="H109" s="4" t="s">
        <v>432</v>
      </c>
      <c r="I109" s="4" t="s">
        <v>768</v>
      </c>
      <c r="J109" s="4" t="s">
        <v>769</v>
      </c>
      <c r="K109" s="4" t="s">
        <v>770</v>
      </c>
      <c r="L109" s="4" t="s">
        <v>771</v>
      </c>
      <c r="M109" s="4"/>
      <c r="N109" s="4" t="s">
        <v>90</v>
      </c>
      <c r="O109" s="4" t="s">
        <v>91</v>
      </c>
      <c r="P109" s="5">
        <f t="shared" si="51"/>
        <v>2</v>
      </c>
      <c r="Q109" s="5">
        <f t="shared" si="52"/>
        <v>0</v>
      </c>
      <c r="R109" s="5">
        <f t="shared" si="53"/>
        <v>1</v>
      </c>
      <c r="S109" s="5">
        <f t="shared" si="54"/>
        <v>0</v>
      </c>
      <c r="T109" s="5">
        <f t="shared" si="55"/>
        <v>0</v>
      </c>
      <c r="U109" s="5">
        <f t="shared" si="56"/>
        <v>0</v>
      </c>
      <c r="V109" s="5">
        <f t="shared" si="57"/>
        <v>1</v>
      </c>
      <c r="W109" s="5">
        <f t="shared" si="58"/>
        <v>0</v>
      </c>
      <c r="X109" s="5">
        <f t="shared" si="59"/>
        <v>0</v>
      </c>
      <c r="Y109" s="5">
        <f t="shared" si="60"/>
        <v>2</v>
      </c>
      <c r="Z109" s="5">
        <f t="shared" si="61"/>
        <v>0</v>
      </c>
      <c r="AA109" s="5">
        <f t="shared" si="62"/>
        <v>0</v>
      </c>
      <c r="AB109" s="5">
        <f t="shared" si="63"/>
        <v>0</v>
      </c>
      <c r="AC109" s="5">
        <f t="shared" si="64"/>
        <v>0</v>
      </c>
      <c r="AD109" s="5">
        <f t="shared" si="65"/>
        <v>1</v>
      </c>
      <c r="AE109" s="5">
        <f t="shared" si="66"/>
        <v>1</v>
      </c>
      <c r="AF109" s="5">
        <f t="shared" si="67"/>
        <v>0</v>
      </c>
    </row>
    <row r="110" spans="1:32" ht="122.1" customHeight="1">
      <c r="A110" s="4" t="s">
        <v>772</v>
      </c>
      <c r="B110" s="5">
        <v>109</v>
      </c>
      <c r="C110" s="4" t="s">
        <v>42</v>
      </c>
      <c r="D110" s="4" t="s">
        <v>773</v>
      </c>
      <c r="E110" s="4" t="s">
        <v>34</v>
      </c>
      <c r="F110" s="4" t="s">
        <v>20</v>
      </c>
      <c r="G110" s="4" t="s">
        <v>27</v>
      </c>
      <c r="H110" s="4" t="s">
        <v>19</v>
      </c>
      <c r="I110" s="4" t="s">
        <v>774</v>
      </c>
      <c r="J110" s="4" t="s">
        <v>775</v>
      </c>
      <c r="K110" s="4" t="s">
        <v>776</v>
      </c>
      <c r="L110" s="4" t="s">
        <v>777</v>
      </c>
      <c r="M110" s="4"/>
      <c r="N110" s="4" t="s">
        <v>90</v>
      </c>
      <c r="O110" s="4" t="s">
        <v>91</v>
      </c>
      <c r="P110" s="5">
        <f t="shared" si="51"/>
        <v>2</v>
      </c>
      <c r="Q110" s="5">
        <f t="shared" si="52"/>
        <v>0</v>
      </c>
      <c r="R110" s="5">
        <f t="shared" si="53"/>
        <v>0</v>
      </c>
      <c r="S110" s="5">
        <f t="shared" si="54"/>
        <v>1</v>
      </c>
      <c r="T110" s="5">
        <f t="shared" si="55"/>
        <v>0</v>
      </c>
      <c r="U110" s="5">
        <f t="shared" si="56"/>
        <v>0</v>
      </c>
      <c r="V110" s="5">
        <f t="shared" si="57"/>
        <v>0</v>
      </c>
      <c r="W110" s="5">
        <f t="shared" si="58"/>
        <v>0</v>
      </c>
      <c r="X110" s="5">
        <f t="shared" si="59"/>
        <v>1</v>
      </c>
      <c r="Y110" s="5">
        <f t="shared" si="60"/>
        <v>1</v>
      </c>
      <c r="Z110" s="5">
        <f t="shared" si="61"/>
        <v>0</v>
      </c>
      <c r="AA110" s="5">
        <f t="shared" si="62"/>
        <v>1</v>
      </c>
      <c r="AB110" s="5">
        <f t="shared" si="63"/>
        <v>0</v>
      </c>
      <c r="AC110" s="5">
        <f t="shared" si="64"/>
        <v>0</v>
      </c>
      <c r="AD110" s="5">
        <f t="shared" si="65"/>
        <v>0</v>
      </c>
      <c r="AE110" s="5">
        <f t="shared" si="66"/>
        <v>0</v>
      </c>
      <c r="AF110" s="5">
        <f t="shared" si="67"/>
        <v>0</v>
      </c>
    </row>
    <row r="111" spans="1:32" ht="75.95" customHeight="1">
      <c r="A111" s="4" t="s">
        <v>778</v>
      </c>
      <c r="B111" s="5">
        <v>110</v>
      </c>
      <c r="C111" s="4" t="s">
        <v>42</v>
      </c>
      <c r="D111" s="4" t="s">
        <v>779</v>
      </c>
      <c r="E111" s="4" t="s">
        <v>17</v>
      </c>
      <c r="F111" s="4"/>
      <c r="G111" s="4" t="s">
        <v>18</v>
      </c>
      <c r="H111" s="4" t="s">
        <v>104</v>
      </c>
      <c r="I111" s="4" t="s">
        <v>780</v>
      </c>
      <c r="J111" s="4" t="s">
        <v>781</v>
      </c>
      <c r="K111" s="4" t="s">
        <v>782</v>
      </c>
      <c r="L111" s="4" t="s">
        <v>783</v>
      </c>
      <c r="M111" s="4"/>
      <c r="N111" s="4" t="s">
        <v>90</v>
      </c>
      <c r="O111" s="4" t="s">
        <v>91</v>
      </c>
      <c r="P111" s="5">
        <f t="shared" si="51"/>
        <v>1</v>
      </c>
      <c r="Q111" s="5">
        <f t="shared" si="52"/>
        <v>0</v>
      </c>
      <c r="R111" s="5">
        <f t="shared" si="53"/>
        <v>1</v>
      </c>
      <c r="S111" s="5">
        <f t="shared" si="54"/>
        <v>0</v>
      </c>
      <c r="T111" s="5">
        <f t="shared" si="55"/>
        <v>0</v>
      </c>
      <c r="U111" s="5">
        <f t="shared" si="56"/>
        <v>0</v>
      </c>
      <c r="V111" s="5">
        <f t="shared" si="57"/>
        <v>0</v>
      </c>
      <c r="W111" s="5">
        <f t="shared" si="58"/>
        <v>0</v>
      </c>
      <c r="X111" s="5">
        <f t="shared" si="59"/>
        <v>0</v>
      </c>
      <c r="Y111" s="5">
        <f t="shared" si="60"/>
        <v>2</v>
      </c>
      <c r="Z111" s="5">
        <f t="shared" si="61"/>
        <v>0</v>
      </c>
      <c r="AA111" s="5">
        <f t="shared" si="62"/>
        <v>0</v>
      </c>
      <c r="AB111" s="5">
        <f t="shared" si="63"/>
        <v>1</v>
      </c>
      <c r="AC111" s="5">
        <f t="shared" si="64"/>
        <v>0</v>
      </c>
      <c r="AD111" s="5">
        <f t="shared" si="65"/>
        <v>0</v>
      </c>
      <c r="AE111" s="5">
        <f t="shared" si="66"/>
        <v>1</v>
      </c>
      <c r="AF111" s="5">
        <f t="shared" si="67"/>
        <v>0</v>
      </c>
    </row>
    <row r="112" spans="1:32" ht="80.099999999999994" customHeight="1">
      <c r="A112" s="4" t="s">
        <v>784</v>
      </c>
      <c r="B112" s="5">
        <v>111</v>
      </c>
      <c r="C112" s="4" t="s">
        <v>42</v>
      </c>
      <c r="D112" s="4" t="s">
        <v>785</v>
      </c>
      <c r="E112" s="4" t="s">
        <v>23</v>
      </c>
      <c r="F112" s="4" t="s">
        <v>17</v>
      </c>
      <c r="G112" s="4" t="s">
        <v>24</v>
      </c>
      <c r="H112" s="4" t="s">
        <v>30</v>
      </c>
      <c r="I112" s="4" t="s">
        <v>786</v>
      </c>
      <c r="J112" s="4" t="s">
        <v>787</v>
      </c>
      <c r="K112" s="4" t="s">
        <v>788</v>
      </c>
      <c r="L112" s="4" t="s">
        <v>789</v>
      </c>
      <c r="M112" s="4"/>
      <c r="N112" s="4" t="s">
        <v>90</v>
      </c>
      <c r="O112" s="4" t="s">
        <v>91</v>
      </c>
      <c r="P112" s="5">
        <f t="shared" si="51"/>
        <v>2</v>
      </c>
      <c r="Q112" s="5">
        <f t="shared" si="52"/>
        <v>0</v>
      </c>
      <c r="R112" s="5">
        <f t="shared" si="53"/>
        <v>1</v>
      </c>
      <c r="S112" s="5">
        <f t="shared" si="54"/>
        <v>0</v>
      </c>
      <c r="T112" s="5">
        <f t="shared" si="55"/>
        <v>1</v>
      </c>
      <c r="U112" s="5">
        <f t="shared" si="56"/>
        <v>0</v>
      </c>
      <c r="V112" s="5">
        <f t="shared" si="57"/>
        <v>0</v>
      </c>
      <c r="W112" s="5">
        <f t="shared" si="58"/>
        <v>0</v>
      </c>
      <c r="X112" s="5">
        <f t="shared" si="59"/>
        <v>0</v>
      </c>
      <c r="Y112" s="5">
        <f t="shared" si="60"/>
        <v>1</v>
      </c>
      <c r="Z112" s="5">
        <f t="shared" si="61"/>
        <v>0</v>
      </c>
      <c r="AA112" s="5">
        <f t="shared" si="62"/>
        <v>0</v>
      </c>
      <c r="AB112" s="5">
        <f t="shared" si="63"/>
        <v>0</v>
      </c>
      <c r="AC112" s="5">
        <f t="shared" si="64"/>
        <v>0</v>
      </c>
      <c r="AD112" s="5">
        <f t="shared" si="65"/>
        <v>0</v>
      </c>
      <c r="AE112" s="5">
        <f t="shared" si="66"/>
        <v>1</v>
      </c>
      <c r="AF112" s="5">
        <f t="shared" si="67"/>
        <v>0</v>
      </c>
    </row>
    <row r="113" spans="1:32" ht="75.95" customHeight="1">
      <c r="A113" s="4" t="s">
        <v>790</v>
      </c>
      <c r="B113" s="5">
        <v>112</v>
      </c>
      <c r="C113" s="4" t="s">
        <v>42</v>
      </c>
      <c r="D113" s="4" t="s">
        <v>791</v>
      </c>
      <c r="E113" s="4" t="s">
        <v>23</v>
      </c>
      <c r="F113" s="4" t="s">
        <v>17</v>
      </c>
      <c r="G113" s="4" t="s">
        <v>24</v>
      </c>
      <c r="H113" s="4" t="s">
        <v>22</v>
      </c>
      <c r="I113" s="4" t="s">
        <v>792</v>
      </c>
      <c r="J113" s="4" t="s">
        <v>793</v>
      </c>
      <c r="K113" s="4" t="s">
        <v>794</v>
      </c>
      <c r="L113" s="4" t="s">
        <v>795</v>
      </c>
      <c r="M113" s="4"/>
      <c r="N113" s="4" t="s">
        <v>90</v>
      </c>
      <c r="O113" s="4" t="s">
        <v>91</v>
      </c>
      <c r="P113" s="5">
        <f t="shared" si="51"/>
        <v>2</v>
      </c>
      <c r="Q113" s="5">
        <f t="shared" si="52"/>
        <v>0</v>
      </c>
      <c r="R113" s="5">
        <f t="shared" si="53"/>
        <v>1</v>
      </c>
      <c r="S113" s="5">
        <f t="shared" si="54"/>
        <v>0</v>
      </c>
      <c r="T113" s="5">
        <f t="shared" si="55"/>
        <v>1</v>
      </c>
      <c r="U113" s="5">
        <f t="shared" si="56"/>
        <v>0</v>
      </c>
      <c r="V113" s="5">
        <f t="shared" si="57"/>
        <v>0</v>
      </c>
      <c r="W113" s="5">
        <f t="shared" si="58"/>
        <v>0</v>
      </c>
      <c r="X113" s="5">
        <f t="shared" si="59"/>
        <v>0</v>
      </c>
      <c r="Y113" s="5">
        <f t="shared" si="60"/>
        <v>1</v>
      </c>
      <c r="Z113" s="5">
        <f t="shared" si="61"/>
        <v>0</v>
      </c>
      <c r="AA113" s="5">
        <f t="shared" si="62"/>
        <v>0</v>
      </c>
      <c r="AB113" s="5">
        <f t="shared" si="63"/>
        <v>1</v>
      </c>
      <c r="AC113" s="5">
        <f t="shared" si="64"/>
        <v>0</v>
      </c>
      <c r="AD113" s="5">
        <f t="shared" si="65"/>
        <v>0</v>
      </c>
      <c r="AE113" s="5">
        <f t="shared" si="66"/>
        <v>0</v>
      </c>
      <c r="AF113" s="5">
        <f t="shared" si="67"/>
        <v>0</v>
      </c>
    </row>
    <row r="114" spans="1:32" ht="122.1" customHeight="1">
      <c r="A114" s="4" t="s">
        <v>796</v>
      </c>
      <c r="B114" s="5">
        <v>113</v>
      </c>
      <c r="C114" s="4" t="s">
        <v>42</v>
      </c>
      <c r="D114" s="4" t="s">
        <v>797</v>
      </c>
      <c r="E114" s="4" t="s">
        <v>23</v>
      </c>
      <c r="F114" s="4" t="s">
        <v>404</v>
      </c>
      <c r="G114" s="4" t="s">
        <v>24</v>
      </c>
      <c r="H114" s="4" t="s">
        <v>537</v>
      </c>
      <c r="I114" s="4" t="s">
        <v>798</v>
      </c>
      <c r="J114" s="4" t="s">
        <v>799</v>
      </c>
      <c r="K114" s="4" t="s">
        <v>800</v>
      </c>
      <c r="L114" s="4" t="s">
        <v>801</v>
      </c>
      <c r="M114" s="4" t="s">
        <v>340</v>
      </c>
      <c r="N114" s="4" t="s">
        <v>90</v>
      </c>
      <c r="O114" s="4" t="s">
        <v>91</v>
      </c>
      <c r="P114" s="5">
        <f t="shared" si="51"/>
        <v>3</v>
      </c>
      <c r="Q114" s="5">
        <f t="shared" si="52"/>
        <v>0</v>
      </c>
      <c r="R114" s="5">
        <f t="shared" si="53"/>
        <v>1</v>
      </c>
      <c r="S114" s="5">
        <f t="shared" si="54"/>
        <v>0</v>
      </c>
      <c r="T114" s="5">
        <f t="shared" si="55"/>
        <v>1</v>
      </c>
      <c r="U114" s="5">
        <f t="shared" si="56"/>
        <v>0</v>
      </c>
      <c r="V114" s="5">
        <f t="shared" si="57"/>
        <v>1</v>
      </c>
      <c r="W114" s="5">
        <f t="shared" si="58"/>
        <v>0</v>
      </c>
      <c r="X114" s="5">
        <f t="shared" si="59"/>
        <v>0</v>
      </c>
      <c r="Y114" s="5">
        <f t="shared" si="60"/>
        <v>3</v>
      </c>
      <c r="Z114" s="5">
        <f t="shared" si="61"/>
        <v>0</v>
      </c>
      <c r="AA114" s="5">
        <f t="shared" si="62"/>
        <v>1</v>
      </c>
      <c r="AB114" s="5">
        <f t="shared" si="63"/>
        <v>0</v>
      </c>
      <c r="AC114" s="5">
        <f t="shared" si="64"/>
        <v>0</v>
      </c>
      <c r="AD114" s="5">
        <f t="shared" si="65"/>
        <v>1</v>
      </c>
      <c r="AE114" s="5">
        <f t="shared" si="66"/>
        <v>1</v>
      </c>
      <c r="AF114" s="5">
        <f t="shared" si="67"/>
        <v>0</v>
      </c>
    </row>
    <row r="115" spans="1:32" ht="75.95" customHeight="1">
      <c r="A115" s="4" t="s">
        <v>802</v>
      </c>
      <c r="B115" s="5">
        <v>114</v>
      </c>
      <c r="C115" s="4" t="s">
        <v>42</v>
      </c>
      <c r="D115" s="4" t="s">
        <v>803</v>
      </c>
      <c r="E115" s="4" t="s">
        <v>20</v>
      </c>
      <c r="F115" s="4"/>
      <c r="G115" s="4" t="s">
        <v>21</v>
      </c>
      <c r="H115" s="4" t="s">
        <v>30</v>
      </c>
      <c r="I115" s="4" t="s">
        <v>804</v>
      </c>
      <c r="J115" s="4" t="s">
        <v>805</v>
      </c>
      <c r="K115" s="4" t="s">
        <v>806</v>
      </c>
      <c r="L115" s="4" t="s">
        <v>807</v>
      </c>
      <c r="M115" s="4"/>
      <c r="N115" s="4" t="s">
        <v>90</v>
      </c>
      <c r="O115" s="4" t="s">
        <v>91</v>
      </c>
      <c r="P115" s="5">
        <f t="shared" si="51"/>
        <v>1</v>
      </c>
      <c r="Q115" s="5">
        <f t="shared" si="52"/>
        <v>0</v>
      </c>
      <c r="R115" s="5">
        <f t="shared" si="53"/>
        <v>0</v>
      </c>
      <c r="S115" s="5">
        <f t="shared" si="54"/>
        <v>1</v>
      </c>
      <c r="T115" s="5">
        <f t="shared" si="55"/>
        <v>0</v>
      </c>
      <c r="U115" s="5">
        <f t="shared" si="56"/>
        <v>0</v>
      </c>
      <c r="V115" s="5">
        <f t="shared" si="57"/>
        <v>0</v>
      </c>
      <c r="W115" s="5">
        <f t="shared" si="58"/>
        <v>0</v>
      </c>
      <c r="X115" s="5">
        <f t="shared" si="59"/>
        <v>0</v>
      </c>
      <c r="Y115" s="5">
        <f t="shared" si="60"/>
        <v>1</v>
      </c>
      <c r="Z115" s="5">
        <f t="shared" si="61"/>
        <v>0</v>
      </c>
      <c r="AA115" s="5">
        <f t="shared" si="62"/>
        <v>0</v>
      </c>
      <c r="AB115" s="5">
        <f t="shared" si="63"/>
        <v>0</v>
      </c>
      <c r="AC115" s="5">
        <f t="shared" si="64"/>
        <v>0</v>
      </c>
      <c r="AD115" s="5">
        <f t="shared" si="65"/>
        <v>0</v>
      </c>
      <c r="AE115" s="5">
        <f t="shared" si="66"/>
        <v>1</v>
      </c>
      <c r="AF115" s="5">
        <f t="shared" si="67"/>
        <v>0</v>
      </c>
    </row>
    <row r="116" spans="1:32" ht="122.1" customHeight="1">
      <c r="A116" s="4" t="s">
        <v>808</v>
      </c>
      <c r="B116" s="5">
        <v>115</v>
      </c>
      <c r="C116" s="4" t="s">
        <v>42</v>
      </c>
      <c r="D116" s="4" t="s">
        <v>809</v>
      </c>
      <c r="E116" s="4" t="s">
        <v>17</v>
      </c>
      <c r="F116" s="4" t="s">
        <v>29</v>
      </c>
      <c r="G116" s="4" t="s">
        <v>18</v>
      </c>
      <c r="H116" s="4" t="s">
        <v>30</v>
      </c>
      <c r="I116" s="4" t="s">
        <v>810</v>
      </c>
      <c r="J116" s="4" t="s">
        <v>799</v>
      </c>
      <c r="K116" s="4" t="s">
        <v>811</v>
      </c>
      <c r="L116" s="4" t="s">
        <v>812</v>
      </c>
      <c r="M116" s="4"/>
      <c r="N116" s="4" t="s">
        <v>90</v>
      </c>
      <c r="O116" s="4" t="s">
        <v>91</v>
      </c>
      <c r="P116" s="5">
        <f t="shared" si="51"/>
        <v>2</v>
      </c>
      <c r="Q116" s="5">
        <f t="shared" si="52"/>
        <v>0</v>
      </c>
      <c r="R116" s="5">
        <f t="shared" si="53"/>
        <v>1</v>
      </c>
      <c r="S116" s="5">
        <f t="shared" si="54"/>
        <v>0</v>
      </c>
      <c r="T116" s="5">
        <f t="shared" si="55"/>
        <v>0</v>
      </c>
      <c r="U116" s="5">
        <f t="shared" si="56"/>
        <v>0</v>
      </c>
      <c r="V116" s="5">
        <f t="shared" si="57"/>
        <v>1</v>
      </c>
      <c r="W116" s="5">
        <f t="shared" si="58"/>
        <v>0</v>
      </c>
      <c r="X116" s="5">
        <f t="shared" si="59"/>
        <v>0</v>
      </c>
      <c r="Y116" s="5">
        <f t="shared" si="60"/>
        <v>1</v>
      </c>
      <c r="Z116" s="5">
        <f t="shared" si="61"/>
        <v>0</v>
      </c>
      <c r="AA116" s="5">
        <f t="shared" si="62"/>
        <v>0</v>
      </c>
      <c r="AB116" s="5">
        <f t="shared" si="63"/>
        <v>0</v>
      </c>
      <c r="AC116" s="5">
        <f t="shared" si="64"/>
        <v>0</v>
      </c>
      <c r="AD116" s="5">
        <f t="shared" si="65"/>
        <v>0</v>
      </c>
      <c r="AE116" s="5">
        <f t="shared" si="66"/>
        <v>1</v>
      </c>
      <c r="AF116" s="5">
        <f t="shared" si="67"/>
        <v>0</v>
      </c>
    </row>
    <row r="117" spans="1:32" ht="122.1" customHeight="1">
      <c r="A117" s="4" t="s">
        <v>813</v>
      </c>
      <c r="B117" s="5">
        <v>116</v>
      </c>
      <c r="C117" s="4" t="s">
        <v>42</v>
      </c>
      <c r="D117" s="4" t="s">
        <v>814</v>
      </c>
      <c r="E117" s="4" t="s">
        <v>29</v>
      </c>
      <c r="F117" s="4" t="s">
        <v>17</v>
      </c>
      <c r="G117" s="4" t="s">
        <v>18</v>
      </c>
      <c r="H117" s="4" t="s">
        <v>815</v>
      </c>
      <c r="I117" s="4" t="s">
        <v>816</v>
      </c>
      <c r="J117" s="4" t="s">
        <v>817</v>
      </c>
      <c r="K117" s="4" t="s">
        <v>818</v>
      </c>
      <c r="L117" s="4" t="s">
        <v>819</v>
      </c>
      <c r="M117" s="4"/>
      <c r="N117" s="4" t="s">
        <v>90</v>
      </c>
      <c r="O117" s="4" t="s">
        <v>91</v>
      </c>
      <c r="P117" s="5">
        <f t="shared" si="51"/>
        <v>2</v>
      </c>
      <c r="Q117" s="5">
        <f t="shared" si="52"/>
        <v>0</v>
      </c>
      <c r="R117" s="5">
        <f t="shared" si="53"/>
        <v>1</v>
      </c>
      <c r="S117" s="5">
        <f t="shared" si="54"/>
        <v>0</v>
      </c>
      <c r="T117" s="5">
        <f t="shared" si="55"/>
        <v>0</v>
      </c>
      <c r="U117" s="5">
        <f t="shared" si="56"/>
        <v>0</v>
      </c>
      <c r="V117" s="5">
        <f t="shared" si="57"/>
        <v>1</v>
      </c>
      <c r="W117" s="5">
        <f t="shared" si="58"/>
        <v>0</v>
      </c>
      <c r="X117" s="5">
        <f t="shared" si="59"/>
        <v>0</v>
      </c>
      <c r="Y117" s="5">
        <f t="shared" si="60"/>
        <v>3</v>
      </c>
      <c r="Z117" s="5">
        <f t="shared" si="61"/>
        <v>0</v>
      </c>
      <c r="AA117" s="5">
        <f t="shared" si="62"/>
        <v>1</v>
      </c>
      <c r="AB117" s="5">
        <f t="shared" si="63"/>
        <v>0</v>
      </c>
      <c r="AC117" s="5">
        <f t="shared" si="64"/>
        <v>1</v>
      </c>
      <c r="AD117" s="5">
        <f t="shared" si="65"/>
        <v>0</v>
      </c>
      <c r="AE117" s="5">
        <f t="shared" si="66"/>
        <v>1</v>
      </c>
      <c r="AF117" s="5">
        <f t="shared" si="67"/>
        <v>0</v>
      </c>
    </row>
    <row r="118" spans="1:32" ht="75.95" customHeight="1">
      <c r="A118" s="4" t="s">
        <v>820</v>
      </c>
      <c r="B118" s="5">
        <v>117</v>
      </c>
      <c r="C118" s="4" t="s">
        <v>42</v>
      </c>
      <c r="D118" s="4" t="s">
        <v>821</v>
      </c>
      <c r="E118" s="4" t="s">
        <v>17</v>
      </c>
      <c r="F118" s="4" t="s">
        <v>29</v>
      </c>
      <c r="G118" s="4" t="s">
        <v>18</v>
      </c>
      <c r="H118" s="4" t="s">
        <v>178</v>
      </c>
      <c r="I118" s="4" t="s">
        <v>822</v>
      </c>
      <c r="J118" s="4" t="s">
        <v>823</v>
      </c>
      <c r="K118" s="4" t="s">
        <v>824</v>
      </c>
      <c r="L118" s="4" t="s">
        <v>825</v>
      </c>
      <c r="M118" s="4"/>
      <c r="N118" s="4" t="s">
        <v>90</v>
      </c>
      <c r="O118" s="4" t="s">
        <v>91</v>
      </c>
      <c r="P118" s="5">
        <f t="shared" si="51"/>
        <v>2</v>
      </c>
      <c r="Q118" s="5">
        <f t="shared" si="52"/>
        <v>0</v>
      </c>
      <c r="R118" s="5">
        <f t="shared" si="53"/>
        <v>1</v>
      </c>
      <c r="S118" s="5">
        <f t="shared" si="54"/>
        <v>0</v>
      </c>
      <c r="T118" s="5">
        <f t="shared" si="55"/>
        <v>0</v>
      </c>
      <c r="U118" s="5">
        <f t="shared" si="56"/>
        <v>0</v>
      </c>
      <c r="V118" s="5">
        <f t="shared" si="57"/>
        <v>1</v>
      </c>
      <c r="W118" s="5">
        <f t="shared" si="58"/>
        <v>0</v>
      </c>
      <c r="X118" s="5">
        <f t="shared" si="59"/>
        <v>0</v>
      </c>
      <c r="Y118" s="5">
        <f t="shared" si="60"/>
        <v>2</v>
      </c>
      <c r="Z118" s="5">
        <f t="shared" si="61"/>
        <v>0</v>
      </c>
      <c r="AA118" s="5">
        <f t="shared" si="62"/>
        <v>1</v>
      </c>
      <c r="AB118" s="5">
        <f t="shared" si="63"/>
        <v>0</v>
      </c>
      <c r="AC118" s="5">
        <f t="shared" si="64"/>
        <v>0</v>
      </c>
      <c r="AD118" s="5">
        <f t="shared" si="65"/>
        <v>0</v>
      </c>
      <c r="AE118" s="5">
        <f t="shared" si="66"/>
        <v>1</v>
      </c>
      <c r="AF118" s="5">
        <f t="shared" si="67"/>
        <v>0</v>
      </c>
    </row>
    <row r="119" spans="1:32" ht="122.1" customHeight="1">
      <c r="A119" s="4" t="s">
        <v>826</v>
      </c>
      <c r="B119" s="5">
        <v>118</v>
      </c>
      <c r="C119" s="4" t="s">
        <v>43</v>
      </c>
      <c r="D119" s="4" t="s">
        <v>827</v>
      </c>
      <c r="E119" s="4" t="s">
        <v>26</v>
      </c>
      <c r="F119" s="4" t="s">
        <v>404</v>
      </c>
      <c r="G119" s="4" t="s">
        <v>18</v>
      </c>
      <c r="H119" s="4" t="s">
        <v>152</v>
      </c>
      <c r="I119" s="4" t="s">
        <v>828</v>
      </c>
      <c r="J119" s="4" t="s">
        <v>829</v>
      </c>
      <c r="K119" s="4" t="s">
        <v>830</v>
      </c>
      <c r="L119" s="4" t="s">
        <v>831</v>
      </c>
      <c r="M119" s="4"/>
      <c r="N119" s="4" t="s">
        <v>90</v>
      </c>
      <c r="O119" s="4" t="s">
        <v>91</v>
      </c>
      <c r="P119" s="5">
        <f t="shared" si="51"/>
        <v>3</v>
      </c>
      <c r="Q119" s="5">
        <f t="shared" si="52"/>
        <v>0</v>
      </c>
      <c r="R119" s="5">
        <f t="shared" si="53"/>
        <v>1</v>
      </c>
      <c r="S119" s="5">
        <f t="shared" si="54"/>
        <v>0</v>
      </c>
      <c r="T119" s="5">
        <f t="shared" si="55"/>
        <v>0</v>
      </c>
      <c r="U119" s="5">
        <f t="shared" si="56"/>
        <v>1</v>
      </c>
      <c r="V119" s="5">
        <f t="shared" si="57"/>
        <v>1</v>
      </c>
      <c r="W119" s="5">
        <f t="shared" si="58"/>
        <v>0</v>
      </c>
      <c r="X119" s="5">
        <f t="shared" si="59"/>
        <v>0</v>
      </c>
      <c r="Y119" s="5">
        <f t="shared" si="60"/>
        <v>3</v>
      </c>
      <c r="Z119" s="5">
        <f t="shared" si="61"/>
        <v>0</v>
      </c>
      <c r="AA119" s="5">
        <f t="shared" si="62"/>
        <v>1</v>
      </c>
      <c r="AB119" s="5">
        <f t="shared" si="63"/>
        <v>0</v>
      </c>
      <c r="AC119" s="5">
        <f t="shared" si="64"/>
        <v>1</v>
      </c>
      <c r="AD119" s="5">
        <f t="shared" si="65"/>
        <v>1</v>
      </c>
      <c r="AE119" s="5">
        <f t="shared" si="66"/>
        <v>0</v>
      </c>
      <c r="AF119" s="5">
        <f t="shared" si="67"/>
        <v>0</v>
      </c>
    </row>
    <row r="120" spans="1:32" ht="108" customHeight="1">
      <c r="A120" s="4" t="s">
        <v>832</v>
      </c>
      <c r="B120" s="5">
        <v>119</v>
      </c>
      <c r="C120" s="4" t="s">
        <v>43</v>
      </c>
      <c r="D120" s="4" t="s">
        <v>833</v>
      </c>
      <c r="E120" s="4" t="s">
        <v>23</v>
      </c>
      <c r="F120" s="4" t="s">
        <v>83</v>
      </c>
      <c r="G120" s="4" t="s">
        <v>24</v>
      </c>
      <c r="H120" s="4" t="s">
        <v>834</v>
      </c>
      <c r="I120" s="4" t="s">
        <v>835</v>
      </c>
      <c r="J120" s="4" t="s">
        <v>836</v>
      </c>
      <c r="K120" s="4" t="s">
        <v>837</v>
      </c>
      <c r="L120" s="4" t="s">
        <v>838</v>
      </c>
      <c r="M120" s="4"/>
      <c r="N120" s="4" t="s">
        <v>90</v>
      </c>
      <c r="O120" s="4" t="s">
        <v>91</v>
      </c>
      <c r="P120" s="5">
        <f t="shared" si="51"/>
        <v>3</v>
      </c>
      <c r="Q120" s="5">
        <f t="shared" si="52"/>
        <v>0</v>
      </c>
      <c r="R120" s="5">
        <f t="shared" si="53"/>
        <v>0</v>
      </c>
      <c r="S120" s="5">
        <f t="shared" si="54"/>
        <v>1</v>
      </c>
      <c r="T120" s="5">
        <f t="shared" si="55"/>
        <v>1</v>
      </c>
      <c r="U120" s="5">
        <f t="shared" si="56"/>
        <v>0</v>
      </c>
      <c r="V120" s="5">
        <f t="shared" si="57"/>
        <v>1</v>
      </c>
      <c r="W120" s="5">
        <f t="shared" si="58"/>
        <v>0</v>
      </c>
      <c r="X120" s="5">
        <f t="shared" si="59"/>
        <v>0</v>
      </c>
      <c r="Y120" s="5">
        <f t="shared" si="60"/>
        <v>4</v>
      </c>
      <c r="Z120" s="5">
        <f t="shared" si="61"/>
        <v>1</v>
      </c>
      <c r="AA120" s="5">
        <f t="shared" si="62"/>
        <v>1</v>
      </c>
      <c r="AB120" s="5">
        <f t="shared" si="63"/>
        <v>0</v>
      </c>
      <c r="AC120" s="5">
        <f t="shared" si="64"/>
        <v>1</v>
      </c>
      <c r="AD120" s="5">
        <f t="shared" si="65"/>
        <v>0</v>
      </c>
      <c r="AE120" s="5">
        <f t="shared" si="66"/>
        <v>1</v>
      </c>
      <c r="AF120" s="5">
        <f t="shared" si="67"/>
        <v>0</v>
      </c>
    </row>
  </sheetData>
  <conditionalFormatting sqref="N2:N120">
    <cfRule type="containsText" dxfId="0" priority="1" operator="containsText" text="No intervening"/>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20"/>
  <sheetViews>
    <sheetView showGridLines="0" workbookViewId="0">
      <pane xSplit="2" ySplit="1" topLeftCell="C2" activePane="bottomRight" state="frozen"/>
      <selection pane="topRight"/>
      <selection pane="bottomLeft"/>
      <selection pane="bottomRight" activeCell="C2" sqref="C2"/>
    </sheetView>
  </sheetViews>
  <sheetFormatPr defaultRowHeight="14.25"/>
  <cols>
    <col min="1" max="1" width="17" customWidth="1"/>
    <col min="2" max="2" width="9" customWidth="1"/>
    <col min="3" max="3" width="33" customWidth="1"/>
    <col min="4" max="4" width="50" customWidth="1"/>
    <col min="5" max="6" width="150" customWidth="1"/>
  </cols>
  <sheetData>
    <row r="1" spans="1:6" ht="45.95" customHeight="1">
      <c r="A1" s="2" t="s">
        <v>52</v>
      </c>
      <c r="B1" s="2" t="s">
        <v>53</v>
      </c>
      <c r="C1" s="2" t="s">
        <v>59</v>
      </c>
      <c r="D1" s="2" t="s">
        <v>61</v>
      </c>
      <c r="E1" s="2" t="s">
        <v>839</v>
      </c>
      <c r="F1" s="2" t="s">
        <v>840</v>
      </c>
    </row>
    <row r="2" spans="1:6" ht="243" customHeight="1">
      <c r="A2" s="4" t="s">
        <v>81</v>
      </c>
      <c r="B2" s="5">
        <v>1</v>
      </c>
      <c r="C2" s="4" t="s">
        <v>87</v>
      </c>
      <c r="D2" s="4" t="s">
        <v>89</v>
      </c>
      <c r="E2" s="4" t="s">
        <v>841</v>
      </c>
      <c r="F2" s="4" t="s">
        <v>842</v>
      </c>
    </row>
    <row r="3" spans="1:6" ht="60.95" customHeight="1">
      <c r="A3" s="4" t="s">
        <v>92</v>
      </c>
      <c r="B3" s="5">
        <v>2</v>
      </c>
      <c r="C3" s="4" t="s">
        <v>98</v>
      </c>
      <c r="D3" s="4" t="s">
        <v>100</v>
      </c>
      <c r="E3" s="4" t="s">
        <v>93</v>
      </c>
      <c r="F3" s="4"/>
    </row>
    <row r="4" spans="1:6" ht="74.099999999999994" customHeight="1">
      <c r="A4" s="4" t="s">
        <v>101</v>
      </c>
      <c r="B4" s="5">
        <v>3</v>
      </c>
      <c r="C4" s="4" t="s">
        <v>107</v>
      </c>
      <c r="D4" s="4"/>
      <c r="E4" s="4" t="s">
        <v>843</v>
      </c>
      <c r="F4" s="4"/>
    </row>
    <row r="5" spans="1:6" ht="99.95" customHeight="1">
      <c r="A5" s="4" t="s">
        <v>109</v>
      </c>
      <c r="B5" s="5">
        <v>4</v>
      </c>
      <c r="C5" s="4" t="s">
        <v>115</v>
      </c>
      <c r="D5" s="4"/>
      <c r="E5" s="4" t="s">
        <v>844</v>
      </c>
      <c r="F5" s="4"/>
    </row>
    <row r="6" spans="1:6" ht="152.1" customHeight="1">
      <c r="A6" s="4" t="s">
        <v>117</v>
      </c>
      <c r="B6" s="5">
        <v>5</v>
      </c>
      <c r="C6" s="4" t="s">
        <v>123</v>
      </c>
      <c r="D6" s="4"/>
      <c r="E6" s="4" t="s">
        <v>845</v>
      </c>
      <c r="F6" s="4"/>
    </row>
    <row r="7" spans="1:6" ht="74.099999999999994" customHeight="1">
      <c r="A7" s="4" t="s">
        <v>125</v>
      </c>
      <c r="B7" s="5">
        <v>6</v>
      </c>
      <c r="C7" s="4" t="s">
        <v>130</v>
      </c>
      <c r="D7" s="4"/>
      <c r="E7" s="4" t="s">
        <v>846</v>
      </c>
      <c r="F7" s="4"/>
    </row>
    <row r="8" spans="1:6" ht="60" customHeight="1">
      <c r="A8" s="4" t="s">
        <v>132</v>
      </c>
      <c r="B8" s="5">
        <v>7</v>
      </c>
      <c r="C8" s="4" t="s">
        <v>136</v>
      </c>
      <c r="D8" s="4"/>
      <c r="E8" s="4" t="s">
        <v>133</v>
      </c>
      <c r="F8" s="4"/>
    </row>
    <row r="9" spans="1:6" ht="60" customHeight="1">
      <c r="A9" s="4" t="s">
        <v>138</v>
      </c>
      <c r="B9" s="5">
        <v>8</v>
      </c>
      <c r="C9" s="4" t="s">
        <v>142</v>
      </c>
      <c r="D9" s="4"/>
      <c r="E9" s="4" t="s">
        <v>139</v>
      </c>
      <c r="F9" s="4"/>
    </row>
    <row r="10" spans="1:6" ht="60" customHeight="1">
      <c r="A10" s="4" t="s">
        <v>144</v>
      </c>
      <c r="B10" s="5">
        <v>9</v>
      </c>
      <c r="C10" s="4" t="s">
        <v>148</v>
      </c>
      <c r="D10" s="4"/>
      <c r="E10" s="4" t="s">
        <v>145</v>
      </c>
      <c r="F10" s="4"/>
    </row>
    <row r="11" spans="1:6" ht="165" customHeight="1">
      <c r="A11" s="4" t="s">
        <v>150</v>
      </c>
      <c r="B11" s="5">
        <v>10</v>
      </c>
      <c r="C11" s="4" t="s">
        <v>155</v>
      </c>
      <c r="D11" s="4"/>
      <c r="E11" s="4" t="s">
        <v>847</v>
      </c>
      <c r="F11" s="4"/>
    </row>
    <row r="12" spans="1:6" ht="60" customHeight="1">
      <c r="A12" s="4" t="s">
        <v>157</v>
      </c>
      <c r="B12" s="5">
        <v>11</v>
      </c>
      <c r="C12" s="4" t="s">
        <v>161</v>
      </c>
      <c r="D12" s="4"/>
      <c r="E12" s="4" t="s">
        <v>158</v>
      </c>
      <c r="F12" s="4"/>
    </row>
    <row r="13" spans="1:6" ht="60" customHeight="1">
      <c r="A13" s="4" t="s">
        <v>163</v>
      </c>
      <c r="B13" s="5">
        <v>12</v>
      </c>
      <c r="C13" s="4" t="s">
        <v>168</v>
      </c>
      <c r="D13" s="4"/>
      <c r="E13" s="4" t="s">
        <v>164</v>
      </c>
      <c r="F13" s="4"/>
    </row>
    <row r="14" spans="1:6" ht="60" customHeight="1">
      <c r="A14" s="4" t="s">
        <v>170</v>
      </c>
      <c r="B14" s="5">
        <v>13</v>
      </c>
      <c r="C14" s="4" t="s">
        <v>174</v>
      </c>
      <c r="D14" s="4"/>
      <c r="E14" s="4" t="s">
        <v>171</v>
      </c>
      <c r="F14" s="4"/>
    </row>
    <row r="15" spans="1:6" ht="60" customHeight="1">
      <c r="A15" s="4" t="s">
        <v>176</v>
      </c>
      <c r="B15" s="5">
        <v>14</v>
      </c>
      <c r="C15" s="4" t="s">
        <v>181</v>
      </c>
      <c r="D15" s="4"/>
      <c r="E15" s="4" t="s">
        <v>177</v>
      </c>
      <c r="F15" s="4"/>
    </row>
    <row r="16" spans="1:6" ht="60" customHeight="1">
      <c r="A16" s="4" t="s">
        <v>183</v>
      </c>
      <c r="B16" s="5">
        <v>15</v>
      </c>
      <c r="C16" s="4" t="s">
        <v>187</v>
      </c>
      <c r="D16" s="4"/>
      <c r="E16" s="4" t="s">
        <v>184</v>
      </c>
      <c r="F16" s="4"/>
    </row>
    <row r="17" spans="1:6" ht="60.95" customHeight="1">
      <c r="A17" s="4" t="s">
        <v>189</v>
      </c>
      <c r="B17" s="5">
        <v>16</v>
      </c>
      <c r="C17" s="4" t="s">
        <v>194</v>
      </c>
      <c r="D17" s="4"/>
      <c r="E17" s="4" t="s">
        <v>190</v>
      </c>
      <c r="F17" s="4"/>
    </row>
    <row r="18" spans="1:6" ht="60" customHeight="1">
      <c r="A18" s="4" t="s">
        <v>196</v>
      </c>
      <c r="B18" s="5">
        <v>17</v>
      </c>
      <c r="C18" s="4" t="s">
        <v>200</v>
      </c>
      <c r="D18" s="4"/>
      <c r="E18" s="4" t="s">
        <v>197</v>
      </c>
      <c r="F18" s="4"/>
    </row>
    <row r="19" spans="1:6" ht="60" customHeight="1">
      <c r="A19" s="4" t="s">
        <v>202</v>
      </c>
      <c r="B19" s="5">
        <v>18</v>
      </c>
      <c r="C19" s="4" t="s">
        <v>206</v>
      </c>
      <c r="D19" s="4"/>
      <c r="E19" s="4" t="s">
        <v>203</v>
      </c>
      <c r="F19" s="4"/>
    </row>
    <row r="20" spans="1:6" ht="60" customHeight="1">
      <c r="A20" s="4" t="s">
        <v>208</v>
      </c>
      <c r="B20" s="5">
        <v>19</v>
      </c>
      <c r="C20" s="4" t="s">
        <v>212</v>
      </c>
      <c r="D20" s="4"/>
      <c r="E20" s="4" t="s">
        <v>209</v>
      </c>
      <c r="F20" s="4"/>
    </row>
    <row r="21" spans="1:6" ht="60" customHeight="1">
      <c r="A21" s="4" t="s">
        <v>214</v>
      </c>
      <c r="B21" s="5">
        <v>20</v>
      </c>
      <c r="C21" s="4" t="s">
        <v>218</v>
      </c>
      <c r="D21" s="4"/>
      <c r="E21" s="4" t="s">
        <v>215</v>
      </c>
      <c r="F21" s="4"/>
    </row>
    <row r="22" spans="1:6" ht="60" customHeight="1">
      <c r="A22" s="4" t="s">
        <v>220</v>
      </c>
      <c r="B22" s="5">
        <v>21</v>
      </c>
      <c r="C22" s="4" t="s">
        <v>225</v>
      </c>
      <c r="D22" s="4"/>
      <c r="E22" s="4" t="s">
        <v>221</v>
      </c>
      <c r="F22" s="4"/>
    </row>
    <row r="23" spans="1:6" ht="60" customHeight="1">
      <c r="A23" s="4" t="s">
        <v>227</v>
      </c>
      <c r="B23" s="5">
        <v>22</v>
      </c>
      <c r="C23" s="4" t="s">
        <v>231</v>
      </c>
      <c r="D23" s="4"/>
      <c r="E23" s="4" t="s">
        <v>228</v>
      </c>
      <c r="F23" s="4"/>
    </row>
    <row r="24" spans="1:6" ht="60" customHeight="1">
      <c r="A24" s="4" t="s">
        <v>233</v>
      </c>
      <c r="B24" s="5">
        <v>23</v>
      </c>
      <c r="C24" s="4" t="s">
        <v>237</v>
      </c>
      <c r="D24" s="4"/>
      <c r="E24" s="4" t="s">
        <v>234</v>
      </c>
      <c r="F24" s="4"/>
    </row>
    <row r="25" spans="1:6" ht="60" customHeight="1">
      <c r="A25" s="4" t="s">
        <v>239</v>
      </c>
      <c r="B25" s="5">
        <v>24</v>
      </c>
      <c r="C25" s="4" t="s">
        <v>243</v>
      </c>
      <c r="D25" s="4"/>
      <c r="E25" s="4" t="s">
        <v>240</v>
      </c>
      <c r="F25" s="4"/>
    </row>
    <row r="26" spans="1:6" ht="60" customHeight="1">
      <c r="A26" s="4" t="s">
        <v>245</v>
      </c>
      <c r="B26" s="5">
        <v>25</v>
      </c>
      <c r="C26" s="4" t="s">
        <v>250</v>
      </c>
      <c r="D26" s="4"/>
      <c r="E26" s="4" t="s">
        <v>246</v>
      </c>
      <c r="F26" s="4"/>
    </row>
    <row r="27" spans="1:6" ht="60" customHeight="1">
      <c r="A27" s="4" t="s">
        <v>252</v>
      </c>
      <c r="B27" s="5">
        <v>26</v>
      </c>
      <c r="C27" s="4" t="s">
        <v>256</v>
      </c>
      <c r="D27" s="4"/>
      <c r="E27" s="4" t="s">
        <v>253</v>
      </c>
      <c r="F27" s="4"/>
    </row>
    <row r="28" spans="1:6" ht="74.099999999999994" customHeight="1">
      <c r="A28" s="4" t="s">
        <v>258</v>
      </c>
      <c r="B28" s="5">
        <v>27</v>
      </c>
      <c r="C28" s="4" t="s">
        <v>262</v>
      </c>
      <c r="D28" s="4"/>
      <c r="E28" s="4" t="s">
        <v>848</v>
      </c>
      <c r="F28" s="4"/>
    </row>
    <row r="29" spans="1:6" ht="60.95" customHeight="1">
      <c r="A29" s="4" t="s">
        <v>264</v>
      </c>
      <c r="B29" s="5">
        <v>28</v>
      </c>
      <c r="C29" s="4" t="s">
        <v>268</v>
      </c>
      <c r="D29" s="4"/>
      <c r="E29" s="4" t="s">
        <v>265</v>
      </c>
      <c r="F29" s="4"/>
    </row>
    <row r="30" spans="1:6" ht="60.95" customHeight="1">
      <c r="A30" s="4" t="s">
        <v>270</v>
      </c>
      <c r="B30" s="5">
        <v>29</v>
      </c>
      <c r="C30" s="4" t="s">
        <v>276</v>
      </c>
      <c r="D30" s="4"/>
      <c r="E30" s="4" t="s">
        <v>271</v>
      </c>
      <c r="F30" s="4"/>
    </row>
    <row r="31" spans="1:6" ht="60" customHeight="1">
      <c r="A31" s="4" t="s">
        <v>278</v>
      </c>
      <c r="B31" s="5">
        <v>30</v>
      </c>
      <c r="C31" s="4" t="s">
        <v>282</v>
      </c>
      <c r="D31" s="4"/>
      <c r="E31" s="4" t="s">
        <v>279</v>
      </c>
      <c r="F31" s="4"/>
    </row>
    <row r="32" spans="1:6" ht="60" customHeight="1">
      <c r="A32" s="4" t="s">
        <v>284</v>
      </c>
      <c r="B32" s="5">
        <v>31</v>
      </c>
      <c r="C32" s="4" t="s">
        <v>288</v>
      </c>
      <c r="D32" s="4"/>
      <c r="E32" s="4" t="s">
        <v>285</v>
      </c>
      <c r="F32" s="4"/>
    </row>
    <row r="33" spans="1:6" ht="74.099999999999994" customHeight="1">
      <c r="A33" s="4" t="s">
        <v>290</v>
      </c>
      <c r="B33" s="5">
        <v>32</v>
      </c>
      <c r="C33" s="4" t="s">
        <v>295</v>
      </c>
      <c r="D33" s="4"/>
      <c r="E33" s="4" t="s">
        <v>849</v>
      </c>
      <c r="F33" s="4"/>
    </row>
    <row r="34" spans="1:6" ht="113.1" customHeight="1">
      <c r="A34" s="4" t="s">
        <v>297</v>
      </c>
      <c r="B34" s="5">
        <v>33</v>
      </c>
      <c r="C34" s="4" t="s">
        <v>301</v>
      </c>
      <c r="D34" s="4"/>
      <c r="E34" s="4" t="s">
        <v>850</v>
      </c>
      <c r="F34" s="4"/>
    </row>
    <row r="35" spans="1:6" ht="60" customHeight="1">
      <c r="A35" s="4" t="s">
        <v>303</v>
      </c>
      <c r="B35" s="5">
        <v>34</v>
      </c>
      <c r="C35" s="4" t="s">
        <v>307</v>
      </c>
      <c r="D35" s="4"/>
      <c r="E35" s="4" t="s">
        <v>304</v>
      </c>
      <c r="F35" s="4"/>
    </row>
    <row r="36" spans="1:6" ht="113.1" customHeight="1">
      <c r="A36" s="4" t="s">
        <v>310</v>
      </c>
      <c r="B36" s="5">
        <v>35</v>
      </c>
      <c r="C36" s="4" t="s">
        <v>313</v>
      </c>
      <c r="D36" s="4"/>
      <c r="E36" s="4" t="s">
        <v>851</v>
      </c>
      <c r="F36" s="4"/>
    </row>
    <row r="37" spans="1:6" ht="60" customHeight="1">
      <c r="A37" s="4" t="s">
        <v>315</v>
      </c>
      <c r="B37" s="5">
        <v>36</v>
      </c>
      <c r="C37" s="4" t="s">
        <v>319</v>
      </c>
      <c r="D37" s="4"/>
      <c r="E37" s="4" t="s">
        <v>316</v>
      </c>
      <c r="F37" s="4"/>
    </row>
    <row r="38" spans="1:6" ht="99.95" customHeight="1">
      <c r="A38" s="4" t="s">
        <v>321</v>
      </c>
      <c r="B38" s="5">
        <v>37</v>
      </c>
      <c r="C38" s="4" t="s">
        <v>325</v>
      </c>
      <c r="D38" s="4"/>
      <c r="E38" s="4" t="s">
        <v>852</v>
      </c>
      <c r="F38" s="4"/>
    </row>
    <row r="39" spans="1:6" ht="60" customHeight="1">
      <c r="A39" s="4" t="s">
        <v>327</v>
      </c>
      <c r="B39" s="5">
        <v>38</v>
      </c>
      <c r="C39" s="4" t="s">
        <v>331</v>
      </c>
      <c r="D39" s="4"/>
      <c r="E39" s="4" t="s">
        <v>328</v>
      </c>
      <c r="F39" s="4"/>
    </row>
    <row r="40" spans="1:6" ht="191.1" customHeight="1">
      <c r="A40" s="4" t="s">
        <v>333</v>
      </c>
      <c r="B40" s="5">
        <v>39</v>
      </c>
      <c r="C40" s="4" t="s">
        <v>338</v>
      </c>
      <c r="D40" s="4" t="s">
        <v>340</v>
      </c>
      <c r="E40" s="4" t="s">
        <v>853</v>
      </c>
      <c r="F40" s="4"/>
    </row>
    <row r="41" spans="1:6" ht="60" customHeight="1">
      <c r="A41" s="4" t="s">
        <v>341</v>
      </c>
      <c r="B41" s="5">
        <v>40</v>
      </c>
      <c r="C41" s="4" t="s">
        <v>345</v>
      </c>
      <c r="D41" s="4"/>
      <c r="E41" s="4" t="s">
        <v>342</v>
      </c>
      <c r="F41" s="4"/>
    </row>
    <row r="42" spans="1:6" ht="60" customHeight="1">
      <c r="A42" s="4" t="s">
        <v>347</v>
      </c>
      <c r="B42" s="5">
        <v>41</v>
      </c>
      <c r="C42" s="4" t="s">
        <v>351</v>
      </c>
      <c r="D42" s="4"/>
      <c r="E42" s="4" t="s">
        <v>348</v>
      </c>
      <c r="F42" s="4"/>
    </row>
    <row r="43" spans="1:6" ht="60" customHeight="1">
      <c r="A43" s="4" t="s">
        <v>353</v>
      </c>
      <c r="B43" s="5">
        <v>42</v>
      </c>
      <c r="C43" s="4" t="s">
        <v>357</v>
      </c>
      <c r="D43" s="4"/>
      <c r="E43" s="4" t="s">
        <v>354</v>
      </c>
      <c r="F43" s="4"/>
    </row>
    <row r="44" spans="1:6" ht="216.95" customHeight="1">
      <c r="A44" s="4" t="s">
        <v>359</v>
      </c>
      <c r="B44" s="5">
        <v>43</v>
      </c>
      <c r="C44" s="4" t="s">
        <v>363</v>
      </c>
      <c r="D44" s="4" t="s">
        <v>365</v>
      </c>
      <c r="E44" s="4" t="s">
        <v>854</v>
      </c>
      <c r="F44" s="4" t="s">
        <v>855</v>
      </c>
    </row>
    <row r="45" spans="1:6" ht="191.1" customHeight="1">
      <c r="A45" s="4" t="s">
        <v>366</v>
      </c>
      <c r="B45" s="5">
        <v>44</v>
      </c>
      <c r="C45" s="4" t="s">
        <v>370</v>
      </c>
      <c r="D45" s="4" t="s">
        <v>365</v>
      </c>
      <c r="E45" s="4" t="s">
        <v>856</v>
      </c>
      <c r="F45" s="4"/>
    </row>
    <row r="46" spans="1:6" ht="60" customHeight="1">
      <c r="A46" s="4" t="s">
        <v>372</v>
      </c>
      <c r="B46" s="5">
        <v>45</v>
      </c>
      <c r="C46" s="4" t="s">
        <v>376</v>
      </c>
      <c r="D46" s="4"/>
      <c r="E46" s="4" t="s">
        <v>373</v>
      </c>
      <c r="F46" s="4"/>
    </row>
    <row r="47" spans="1:6" ht="204" customHeight="1">
      <c r="A47" s="4" t="s">
        <v>378</v>
      </c>
      <c r="B47" s="5">
        <v>46</v>
      </c>
      <c r="C47" s="4" t="s">
        <v>382</v>
      </c>
      <c r="D47" s="4" t="s">
        <v>340</v>
      </c>
      <c r="E47" s="4" t="s">
        <v>857</v>
      </c>
      <c r="F47" s="4" t="s">
        <v>858</v>
      </c>
    </row>
    <row r="48" spans="1:6" ht="60" customHeight="1">
      <c r="A48" s="4" t="s">
        <v>384</v>
      </c>
      <c r="B48" s="5">
        <v>47</v>
      </c>
      <c r="C48" s="4" t="s">
        <v>388</v>
      </c>
      <c r="D48" s="4"/>
      <c r="E48" s="4" t="s">
        <v>385</v>
      </c>
      <c r="F48" s="4"/>
    </row>
    <row r="49" spans="1:6" ht="60" customHeight="1">
      <c r="A49" s="4" t="s">
        <v>390</v>
      </c>
      <c r="B49" s="5">
        <v>48</v>
      </c>
      <c r="C49" s="4" t="s">
        <v>394</v>
      </c>
      <c r="D49" s="4"/>
      <c r="E49" s="4" t="s">
        <v>391</v>
      </c>
      <c r="F49" s="4"/>
    </row>
    <row r="50" spans="1:6" ht="60" customHeight="1">
      <c r="A50" s="4" t="s">
        <v>396</v>
      </c>
      <c r="B50" s="5">
        <v>49</v>
      </c>
      <c r="C50" s="4" t="s">
        <v>400</v>
      </c>
      <c r="D50" s="4"/>
      <c r="E50" s="4" t="s">
        <v>397</v>
      </c>
      <c r="F50" s="4"/>
    </row>
    <row r="51" spans="1:6" ht="60" customHeight="1">
      <c r="A51" s="4" t="s">
        <v>402</v>
      </c>
      <c r="B51" s="5">
        <v>50</v>
      </c>
      <c r="C51" s="4" t="s">
        <v>408</v>
      </c>
      <c r="D51" s="4"/>
      <c r="E51" s="4" t="s">
        <v>403</v>
      </c>
      <c r="F51" s="4"/>
    </row>
    <row r="52" spans="1:6" ht="216.95" customHeight="1">
      <c r="A52" s="4" t="s">
        <v>410</v>
      </c>
      <c r="B52" s="5">
        <v>51</v>
      </c>
      <c r="C52" s="4" t="s">
        <v>414</v>
      </c>
      <c r="D52" s="4" t="s">
        <v>416</v>
      </c>
      <c r="E52" s="4" t="s">
        <v>859</v>
      </c>
      <c r="F52" s="4" t="s">
        <v>860</v>
      </c>
    </row>
    <row r="53" spans="1:6" ht="60" customHeight="1">
      <c r="A53" s="4" t="s">
        <v>417</v>
      </c>
      <c r="B53" s="5">
        <v>52</v>
      </c>
      <c r="C53" s="4" t="s">
        <v>421</v>
      </c>
      <c r="D53" s="4"/>
      <c r="E53" s="4" t="s">
        <v>418</v>
      </c>
      <c r="F53" s="4"/>
    </row>
    <row r="54" spans="1:6" ht="230.1" customHeight="1">
      <c r="A54" s="4" t="s">
        <v>423</v>
      </c>
      <c r="B54" s="5">
        <v>53</v>
      </c>
      <c r="C54" s="4" t="s">
        <v>428</v>
      </c>
      <c r="D54" s="4" t="s">
        <v>340</v>
      </c>
      <c r="E54" s="4" t="s">
        <v>861</v>
      </c>
      <c r="F54" s="4" t="s">
        <v>862</v>
      </c>
    </row>
    <row r="55" spans="1:6" ht="60" customHeight="1">
      <c r="A55" s="4" t="s">
        <v>430</v>
      </c>
      <c r="B55" s="5">
        <v>54</v>
      </c>
      <c r="C55" s="4" t="s">
        <v>435</v>
      </c>
      <c r="D55" s="4"/>
      <c r="E55" s="4" t="s">
        <v>431</v>
      </c>
      <c r="F55" s="4"/>
    </row>
    <row r="56" spans="1:6" ht="230.1" customHeight="1">
      <c r="A56" s="4" t="s">
        <v>437</v>
      </c>
      <c r="B56" s="5">
        <v>55</v>
      </c>
      <c r="C56" s="4" t="s">
        <v>441</v>
      </c>
      <c r="D56" s="4" t="s">
        <v>365</v>
      </c>
      <c r="E56" s="4" t="s">
        <v>863</v>
      </c>
      <c r="F56" s="4" t="s">
        <v>864</v>
      </c>
    </row>
    <row r="57" spans="1:6" ht="60" customHeight="1">
      <c r="A57" s="4" t="s">
        <v>443</v>
      </c>
      <c r="B57" s="5">
        <v>56</v>
      </c>
      <c r="C57" s="4" t="s">
        <v>447</v>
      </c>
      <c r="D57" s="4"/>
      <c r="E57" s="4" t="s">
        <v>444</v>
      </c>
      <c r="F57" s="4"/>
    </row>
    <row r="58" spans="1:6" ht="60" customHeight="1">
      <c r="A58" s="4" t="s">
        <v>449</v>
      </c>
      <c r="B58" s="5">
        <v>57</v>
      </c>
      <c r="C58" s="4" t="s">
        <v>453</v>
      </c>
      <c r="D58" s="4"/>
      <c r="E58" s="4" t="s">
        <v>450</v>
      </c>
      <c r="F58" s="4"/>
    </row>
    <row r="59" spans="1:6" ht="60" customHeight="1">
      <c r="A59" s="4" t="s">
        <v>455</v>
      </c>
      <c r="B59" s="5">
        <v>58</v>
      </c>
      <c r="C59" s="4" t="s">
        <v>459</v>
      </c>
      <c r="D59" s="4"/>
      <c r="E59" s="4" t="s">
        <v>456</v>
      </c>
      <c r="F59" s="4"/>
    </row>
    <row r="60" spans="1:6" ht="60" customHeight="1">
      <c r="A60" s="4" t="s">
        <v>461</v>
      </c>
      <c r="B60" s="5">
        <v>59</v>
      </c>
      <c r="C60" s="4" t="s">
        <v>465</v>
      </c>
      <c r="D60" s="4"/>
      <c r="E60" s="4" t="s">
        <v>462</v>
      </c>
      <c r="F60" s="4"/>
    </row>
    <row r="61" spans="1:6" ht="138.94999999999999" customHeight="1">
      <c r="A61" s="4" t="s">
        <v>468</v>
      </c>
      <c r="B61" s="5">
        <v>60</v>
      </c>
      <c r="C61" s="4" t="s">
        <v>473</v>
      </c>
      <c r="D61" s="4"/>
      <c r="E61" s="4" t="s">
        <v>865</v>
      </c>
      <c r="F61" s="4"/>
    </row>
    <row r="62" spans="1:6" ht="113.1" customHeight="1">
      <c r="A62" s="4" t="s">
        <v>475</v>
      </c>
      <c r="B62" s="5">
        <v>61</v>
      </c>
      <c r="C62" s="4" t="s">
        <v>480</v>
      </c>
      <c r="D62" s="4" t="s">
        <v>100</v>
      </c>
      <c r="E62" s="4" t="s">
        <v>866</v>
      </c>
      <c r="F62" s="4"/>
    </row>
    <row r="63" spans="1:6" ht="60" customHeight="1">
      <c r="A63" s="4" t="s">
        <v>482</v>
      </c>
      <c r="B63" s="5">
        <v>62</v>
      </c>
      <c r="C63" s="4" t="s">
        <v>486</v>
      </c>
      <c r="D63" s="4"/>
      <c r="E63" s="4" t="s">
        <v>483</v>
      </c>
      <c r="F63" s="4"/>
    </row>
    <row r="64" spans="1:6" ht="60" customHeight="1">
      <c r="A64" s="4" t="s">
        <v>488</v>
      </c>
      <c r="B64" s="5">
        <v>63</v>
      </c>
      <c r="C64" s="4" t="s">
        <v>492</v>
      </c>
      <c r="D64" s="4"/>
      <c r="E64" s="4" t="s">
        <v>489</v>
      </c>
      <c r="F64" s="4"/>
    </row>
    <row r="65" spans="1:6" ht="60" customHeight="1">
      <c r="A65" s="4" t="s">
        <v>494</v>
      </c>
      <c r="B65" s="5">
        <v>64</v>
      </c>
      <c r="C65" s="4" t="s">
        <v>498</v>
      </c>
      <c r="D65" s="4"/>
      <c r="E65" s="4" t="s">
        <v>495</v>
      </c>
      <c r="F65" s="4"/>
    </row>
    <row r="66" spans="1:6" ht="60" customHeight="1">
      <c r="A66" s="4" t="s">
        <v>500</v>
      </c>
      <c r="B66" s="5">
        <v>65</v>
      </c>
      <c r="C66" s="4" t="s">
        <v>504</v>
      </c>
      <c r="D66" s="4"/>
      <c r="E66" s="4" t="s">
        <v>501</v>
      </c>
      <c r="F66" s="4"/>
    </row>
    <row r="67" spans="1:6" ht="87" customHeight="1">
      <c r="A67" s="4" t="s">
        <v>506</v>
      </c>
      <c r="B67" s="5">
        <v>66</v>
      </c>
      <c r="C67" s="4" t="s">
        <v>510</v>
      </c>
      <c r="D67" s="4"/>
      <c r="E67" s="4" t="s">
        <v>867</v>
      </c>
      <c r="F67" s="4"/>
    </row>
    <row r="68" spans="1:6" ht="60" customHeight="1">
      <c r="A68" s="4" t="s">
        <v>512</v>
      </c>
      <c r="B68" s="5">
        <v>67</v>
      </c>
      <c r="C68" s="4" t="s">
        <v>515</v>
      </c>
      <c r="D68" s="4"/>
      <c r="E68" s="4" t="s">
        <v>513</v>
      </c>
      <c r="F68" s="4"/>
    </row>
    <row r="69" spans="1:6" ht="60" customHeight="1">
      <c r="A69" s="4" t="s">
        <v>517</v>
      </c>
      <c r="B69" s="5">
        <v>68</v>
      </c>
      <c r="C69" s="4" t="s">
        <v>521</v>
      </c>
      <c r="D69" s="4"/>
      <c r="E69" s="4" t="s">
        <v>518</v>
      </c>
      <c r="F69" s="4"/>
    </row>
    <row r="70" spans="1:6" ht="60" customHeight="1">
      <c r="A70" s="4" t="s">
        <v>523</v>
      </c>
      <c r="B70" s="5">
        <v>69</v>
      </c>
      <c r="C70" s="4" t="s">
        <v>527</v>
      </c>
      <c r="D70" s="4"/>
      <c r="E70" s="4" t="s">
        <v>524</v>
      </c>
      <c r="F70" s="4"/>
    </row>
    <row r="71" spans="1:6" ht="60" customHeight="1">
      <c r="A71" s="4" t="s">
        <v>529</v>
      </c>
      <c r="B71" s="5">
        <v>70</v>
      </c>
      <c r="C71" s="4" t="s">
        <v>533</v>
      </c>
      <c r="D71" s="4"/>
      <c r="E71" s="4" t="s">
        <v>530</v>
      </c>
      <c r="F71" s="4"/>
    </row>
    <row r="72" spans="1:6" ht="204" customHeight="1">
      <c r="A72" s="4" t="s">
        <v>535</v>
      </c>
      <c r="B72" s="5">
        <v>71</v>
      </c>
      <c r="C72" s="4" t="s">
        <v>540</v>
      </c>
      <c r="D72" s="4" t="s">
        <v>340</v>
      </c>
      <c r="E72" s="4" t="s">
        <v>868</v>
      </c>
      <c r="F72" s="4" t="s">
        <v>869</v>
      </c>
    </row>
    <row r="73" spans="1:6" ht="60" customHeight="1">
      <c r="A73" s="4" t="s">
        <v>542</v>
      </c>
      <c r="B73" s="5">
        <v>72</v>
      </c>
      <c r="C73" s="4" t="s">
        <v>546</v>
      </c>
      <c r="D73" s="4"/>
      <c r="E73" s="4" t="s">
        <v>543</v>
      </c>
      <c r="F73" s="4"/>
    </row>
    <row r="74" spans="1:6" ht="216.95" customHeight="1">
      <c r="A74" s="4" t="s">
        <v>548</v>
      </c>
      <c r="B74" s="5">
        <v>73</v>
      </c>
      <c r="C74" s="4" t="s">
        <v>552</v>
      </c>
      <c r="D74" s="4" t="s">
        <v>89</v>
      </c>
      <c r="E74" s="4" t="s">
        <v>870</v>
      </c>
      <c r="F74" s="4" t="s">
        <v>871</v>
      </c>
    </row>
    <row r="75" spans="1:6" ht="60.95" customHeight="1">
      <c r="A75" s="4" t="s">
        <v>554</v>
      </c>
      <c r="B75" s="5">
        <v>74</v>
      </c>
      <c r="C75" s="4" t="s">
        <v>558</v>
      </c>
      <c r="D75" s="4"/>
      <c r="E75" s="4" t="s">
        <v>555</v>
      </c>
      <c r="F75" s="4"/>
    </row>
    <row r="76" spans="1:6" ht="60" customHeight="1">
      <c r="A76" s="4" t="s">
        <v>560</v>
      </c>
      <c r="B76" s="5">
        <v>75</v>
      </c>
      <c r="C76" s="4" t="s">
        <v>564</v>
      </c>
      <c r="D76" s="4"/>
      <c r="E76" s="4" t="s">
        <v>561</v>
      </c>
      <c r="F76" s="4"/>
    </row>
    <row r="77" spans="1:6" ht="216.95" customHeight="1">
      <c r="A77" s="4" t="s">
        <v>566</v>
      </c>
      <c r="B77" s="5">
        <v>76</v>
      </c>
      <c r="C77" s="4" t="s">
        <v>570</v>
      </c>
      <c r="D77" s="4" t="s">
        <v>365</v>
      </c>
      <c r="E77" s="4" t="s">
        <v>872</v>
      </c>
      <c r="F77" s="4" t="s">
        <v>873</v>
      </c>
    </row>
    <row r="78" spans="1:6" ht="60" customHeight="1">
      <c r="A78" s="4" t="s">
        <v>572</v>
      </c>
      <c r="B78" s="5">
        <v>77</v>
      </c>
      <c r="C78" s="4" t="s">
        <v>576</v>
      </c>
      <c r="D78" s="4"/>
      <c r="E78" s="4" t="s">
        <v>573</v>
      </c>
      <c r="F78" s="4"/>
    </row>
    <row r="79" spans="1:6" ht="60" customHeight="1">
      <c r="A79" s="4" t="s">
        <v>578</v>
      </c>
      <c r="B79" s="5">
        <v>78</v>
      </c>
      <c r="C79" s="4" t="s">
        <v>582</v>
      </c>
      <c r="D79" s="4"/>
      <c r="E79" s="4" t="s">
        <v>579</v>
      </c>
      <c r="F79" s="4"/>
    </row>
    <row r="80" spans="1:6" ht="60" customHeight="1">
      <c r="A80" s="4" t="s">
        <v>584</v>
      </c>
      <c r="B80" s="5">
        <v>79</v>
      </c>
      <c r="C80" s="4" t="s">
        <v>588</v>
      </c>
      <c r="D80" s="4"/>
      <c r="E80" s="4" t="s">
        <v>585</v>
      </c>
      <c r="F80" s="4"/>
    </row>
    <row r="81" spans="1:6" ht="60" customHeight="1">
      <c r="A81" s="4" t="s">
        <v>590</v>
      </c>
      <c r="B81" s="5">
        <v>80</v>
      </c>
      <c r="C81" s="4" t="s">
        <v>594</v>
      </c>
      <c r="D81" s="4"/>
      <c r="E81" s="4" t="s">
        <v>591</v>
      </c>
      <c r="F81" s="4"/>
    </row>
    <row r="82" spans="1:6" ht="60" customHeight="1">
      <c r="A82" s="4" t="s">
        <v>596</v>
      </c>
      <c r="B82" s="5">
        <v>81</v>
      </c>
      <c r="C82" s="4" t="s">
        <v>600</v>
      </c>
      <c r="D82" s="4"/>
      <c r="E82" s="4" t="s">
        <v>597</v>
      </c>
      <c r="F82" s="4"/>
    </row>
    <row r="83" spans="1:6" ht="177.95" customHeight="1">
      <c r="A83" s="4" t="s">
        <v>602</v>
      </c>
      <c r="B83" s="5">
        <v>82</v>
      </c>
      <c r="C83" s="4" t="s">
        <v>607</v>
      </c>
      <c r="D83" s="4" t="s">
        <v>340</v>
      </c>
      <c r="E83" s="4" t="s">
        <v>874</v>
      </c>
      <c r="F83" s="4"/>
    </row>
    <row r="84" spans="1:6" ht="60" customHeight="1">
      <c r="A84" s="4" t="s">
        <v>609</v>
      </c>
      <c r="B84" s="5">
        <v>83</v>
      </c>
      <c r="C84" s="4" t="s">
        <v>613</v>
      </c>
      <c r="D84" s="4"/>
      <c r="E84" s="4" t="s">
        <v>610</v>
      </c>
      <c r="F84" s="4"/>
    </row>
    <row r="85" spans="1:6" ht="60" customHeight="1">
      <c r="A85" s="4" t="s">
        <v>615</v>
      </c>
      <c r="B85" s="5">
        <v>84</v>
      </c>
      <c r="C85" s="4" t="s">
        <v>619</v>
      </c>
      <c r="D85" s="4"/>
      <c r="E85" s="4" t="s">
        <v>616</v>
      </c>
      <c r="F85" s="4"/>
    </row>
    <row r="86" spans="1:6" ht="60" customHeight="1">
      <c r="A86" s="4" t="s">
        <v>621</v>
      </c>
      <c r="B86" s="5">
        <v>85</v>
      </c>
      <c r="C86" s="4" t="s">
        <v>625</v>
      </c>
      <c r="D86" s="4"/>
      <c r="E86" s="4" t="s">
        <v>622</v>
      </c>
      <c r="F86" s="4"/>
    </row>
    <row r="87" spans="1:6" ht="60" customHeight="1">
      <c r="A87" s="4" t="s">
        <v>627</v>
      </c>
      <c r="B87" s="5">
        <v>86</v>
      </c>
      <c r="C87" s="4" t="s">
        <v>631</v>
      </c>
      <c r="D87" s="4"/>
      <c r="E87" s="4" t="s">
        <v>628</v>
      </c>
      <c r="F87" s="4"/>
    </row>
    <row r="88" spans="1:6" ht="60" customHeight="1">
      <c r="A88" s="4" t="s">
        <v>633</v>
      </c>
      <c r="B88" s="5">
        <v>87</v>
      </c>
      <c r="C88" s="4" t="s">
        <v>637</v>
      </c>
      <c r="D88" s="4" t="s">
        <v>100</v>
      </c>
      <c r="E88" s="4" t="s">
        <v>634</v>
      </c>
      <c r="F88" s="4"/>
    </row>
    <row r="89" spans="1:6" ht="60.95" customHeight="1">
      <c r="A89" s="4" t="s">
        <v>639</v>
      </c>
      <c r="B89" s="5">
        <v>88</v>
      </c>
      <c r="C89" s="4" t="s">
        <v>643</v>
      </c>
      <c r="D89" s="4"/>
      <c r="E89" s="4" t="s">
        <v>640</v>
      </c>
      <c r="F89" s="4"/>
    </row>
    <row r="90" spans="1:6" ht="60.95" customHeight="1">
      <c r="A90" s="4" t="s">
        <v>645</v>
      </c>
      <c r="B90" s="5">
        <v>89</v>
      </c>
      <c r="C90" s="4" t="s">
        <v>649</v>
      </c>
      <c r="D90" s="4"/>
      <c r="E90" s="4" t="s">
        <v>646</v>
      </c>
      <c r="F90" s="4"/>
    </row>
    <row r="91" spans="1:6" ht="60.95" customHeight="1">
      <c r="A91" s="4" t="s">
        <v>651</v>
      </c>
      <c r="B91" s="5">
        <v>90</v>
      </c>
      <c r="C91" s="4" t="s">
        <v>655</v>
      </c>
      <c r="D91" s="4"/>
      <c r="E91" s="4" t="s">
        <v>652</v>
      </c>
      <c r="F91" s="4"/>
    </row>
    <row r="92" spans="1:6" ht="60" customHeight="1">
      <c r="A92" s="4" t="s">
        <v>657</v>
      </c>
      <c r="B92" s="5">
        <v>91</v>
      </c>
      <c r="C92" s="4" t="s">
        <v>661</v>
      </c>
      <c r="D92" s="4"/>
      <c r="E92" s="4" t="s">
        <v>658</v>
      </c>
      <c r="F92" s="4"/>
    </row>
    <row r="93" spans="1:6" ht="60.95" customHeight="1">
      <c r="A93" s="4" t="s">
        <v>663</v>
      </c>
      <c r="B93" s="5">
        <v>92</v>
      </c>
      <c r="C93" s="4" t="s">
        <v>667</v>
      </c>
      <c r="D93" s="4"/>
      <c r="E93" s="4" t="s">
        <v>664</v>
      </c>
      <c r="F93" s="4"/>
    </row>
    <row r="94" spans="1:6" ht="87" customHeight="1">
      <c r="A94" s="4" t="s">
        <v>669</v>
      </c>
      <c r="B94" s="5">
        <v>93</v>
      </c>
      <c r="C94" s="4" t="s">
        <v>673</v>
      </c>
      <c r="D94" s="4"/>
      <c r="E94" s="4" t="s">
        <v>875</v>
      </c>
      <c r="F94" s="4"/>
    </row>
    <row r="95" spans="1:6" ht="216.95" customHeight="1">
      <c r="A95" s="4" t="s">
        <v>675</v>
      </c>
      <c r="B95" s="5">
        <v>94</v>
      </c>
      <c r="C95" s="4" t="s">
        <v>679</v>
      </c>
      <c r="D95" s="4" t="s">
        <v>340</v>
      </c>
      <c r="E95" s="4" t="s">
        <v>876</v>
      </c>
      <c r="F95" s="4" t="s">
        <v>877</v>
      </c>
    </row>
    <row r="96" spans="1:6" ht="216.95" customHeight="1">
      <c r="A96" s="4" t="s">
        <v>681</v>
      </c>
      <c r="B96" s="5">
        <v>95</v>
      </c>
      <c r="C96" s="4" t="s">
        <v>685</v>
      </c>
      <c r="D96" s="4" t="s">
        <v>340</v>
      </c>
      <c r="E96" s="4" t="s">
        <v>878</v>
      </c>
      <c r="F96" s="4" t="s">
        <v>879</v>
      </c>
    </row>
    <row r="97" spans="1:6" ht="60" customHeight="1">
      <c r="A97" s="4" t="s">
        <v>687</v>
      </c>
      <c r="B97" s="5">
        <v>96</v>
      </c>
      <c r="C97" s="4" t="s">
        <v>691</v>
      </c>
      <c r="D97" s="4"/>
      <c r="E97" s="4" t="s">
        <v>688</v>
      </c>
      <c r="F97" s="4"/>
    </row>
    <row r="98" spans="1:6" ht="60" customHeight="1">
      <c r="A98" s="4" t="s">
        <v>693</v>
      </c>
      <c r="B98" s="5">
        <v>97</v>
      </c>
      <c r="C98" s="4" t="s">
        <v>697</v>
      </c>
      <c r="D98" s="4"/>
      <c r="E98" s="4" t="s">
        <v>694</v>
      </c>
      <c r="F98" s="4"/>
    </row>
    <row r="99" spans="1:6" ht="60.95" customHeight="1">
      <c r="A99" s="4" t="s">
        <v>699</v>
      </c>
      <c r="B99" s="5">
        <v>98</v>
      </c>
      <c r="C99" s="4" t="s">
        <v>703</v>
      </c>
      <c r="D99" s="4"/>
      <c r="E99" s="4" t="s">
        <v>700</v>
      </c>
      <c r="F99" s="4"/>
    </row>
    <row r="100" spans="1:6" ht="74.099999999999994" customHeight="1">
      <c r="A100" s="4" t="s">
        <v>705</v>
      </c>
      <c r="B100" s="5">
        <v>99</v>
      </c>
      <c r="C100" s="4" t="s">
        <v>710</v>
      </c>
      <c r="D100" s="4"/>
      <c r="E100" s="4" t="s">
        <v>880</v>
      </c>
      <c r="F100" s="4"/>
    </row>
    <row r="101" spans="1:6" ht="60.95" customHeight="1">
      <c r="A101" s="4" t="s">
        <v>712</v>
      </c>
      <c r="B101" s="5">
        <v>100</v>
      </c>
      <c r="C101" s="4" t="s">
        <v>717</v>
      </c>
      <c r="D101" s="4"/>
      <c r="E101" s="4" t="s">
        <v>713</v>
      </c>
      <c r="F101" s="4"/>
    </row>
    <row r="102" spans="1:6" ht="60" customHeight="1">
      <c r="A102" s="4" t="s">
        <v>719</v>
      </c>
      <c r="B102" s="5">
        <v>101</v>
      </c>
      <c r="C102" s="4" t="s">
        <v>723</v>
      </c>
      <c r="D102" s="4"/>
      <c r="E102" s="4" t="s">
        <v>720</v>
      </c>
      <c r="F102" s="4"/>
    </row>
    <row r="103" spans="1:6" ht="74.099999999999994" customHeight="1">
      <c r="A103" s="4" t="s">
        <v>725</v>
      </c>
      <c r="B103" s="5">
        <v>102</v>
      </c>
      <c r="C103" s="4" t="s">
        <v>729</v>
      </c>
      <c r="D103" s="4" t="s">
        <v>731</v>
      </c>
      <c r="E103" s="4" t="s">
        <v>881</v>
      </c>
      <c r="F103" s="4"/>
    </row>
    <row r="104" spans="1:6" ht="60.95" customHeight="1">
      <c r="A104" s="4" t="s">
        <v>732</v>
      </c>
      <c r="B104" s="5">
        <v>103</v>
      </c>
      <c r="C104" s="4" t="s">
        <v>737</v>
      </c>
      <c r="D104" s="4"/>
      <c r="E104" s="4" t="s">
        <v>733</v>
      </c>
      <c r="F104" s="4"/>
    </row>
    <row r="105" spans="1:6" ht="60" customHeight="1">
      <c r="A105" s="4" t="s">
        <v>739</v>
      </c>
      <c r="B105" s="5">
        <v>104</v>
      </c>
      <c r="C105" s="4" t="s">
        <v>743</v>
      </c>
      <c r="D105" s="4"/>
      <c r="E105" s="4" t="s">
        <v>740</v>
      </c>
      <c r="F105" s="4"/>
    </row>
    <row r="106" spans="1:6" ht="60.95" customHeight="1">
      <c r="A106" s="4" t="s">
        <v>745</v>
      </c>
      <c r="B106" s="5">
        <v>105</v>
      </c>
      <c r="C106" s="4" t="s">
        <v>750</v>
      </c>
      <c r="D106" s="4"/>
      <c r="E106" s="4" t="s">
        <v>746</v>
      </c>
      <c r="F106" s="4"/>
    </row>
    <row r="107" spans="1:6" ht="60" customHeight="1">
      <c r="A107" s="4" t="s">
        <v>752</v>
      </c>
      <c r="B107" s="5">
        <v>106</v>
      </c>
      <c r="C107" s="4" t="s">
        <v>756</v>
      </c>
      <c r="D107" s="4"/>
      <c r="E107" s="4" t="s">
        <v>753</v>
      </c>
      <c r="F107" s="4"/>
    </row>
    <row r="108" spans="1:6" ht="165" customHeight="1">
      <c r="A108" s="4" t="s">
        <v>758</v>
      </c>
      <c r="B108" s="5">
        <v>107</v>
      </c>
      <c r="C108" s="4" t="s">
        <v>764</v>
      </c>
      <c r="D108" s="4"/>
      <c r="E108" s="4" t="s">
        <v>882</v>
      </c>
      <c r="F108" s="4"/>
    </row>
    <row r="109" spans="1:6" ht="60" customHeight="1">
      <c r="A109" s="4" t="s">
        <v>766</v>
      </c>
      <c r="B109" s="5">
        <v>108</v>
      </c>
      <c r="C109" s="4" t="s">
        <v>770</v>
      </c>
      <c r="D109" s="4"/>
      <c r="E109" s="4" t="s">
        <v>767</v>
      </c>
      <c r="F109" s="4"/>
    </row>
    <row r="110" spans="1:6" ht="74.099999999999994" customHeight="1">
      <c r="A110" s="4" t="s">
        <v>772</v>
      </c>
      <c r="B110" s="5">
        <v>109</v>
      </c>
      <c r="C110" s="4" t="s">
        <v>776</v>
      </c>
      <c r="D110" s="4"/>
      <c r="E110" s="4" t="s">
        <v>883</v>
      </c>
      <c r="F110" s="4"/>
    </row>
    <row r="111" spans="1:6" ht="60" customHeight="1">
      <c r="A111" s="4" t="s">
        <v>778</v>
      </c>
      <c r="B111" s="5">
        <v>110</v>
      </c>
      <c r="C111" s="4" t="s">
        <v>782</v>
      </c>
      <c r="D111" s="4"/>
      <c r="E111" s="4" t="s">
        <v>779</v>
      </c>
      <c r="F111" s="4"/>
    </row>
    <row r="112" spans="1:6" ht="60" customHeight="1">
      <c r="A112" s="4" t="s">
        <v>784</v>
      </c>
      <c r="B112" s="5">
        <v>111</v>
      </c>
      <c r="C112" s="4" t="s">
        <v>788</v>
      </c>
      <c r="D112" s="4"/>
      <c r="E112" s="4" t="s">
        <v>785</v>
      </c>
      <c r="F112" s="4"/>
    </row>
    <row r="113" spans="1:6" ht="60" customHeight="1">
      <c r="A113" s="4" t="s">
        <v>790</v>
      </c>
      <c r="B113" s="5">
        <v>112</v>
      </c>
      <c r="C113" s="4" t="s">
        <v>794</v>
      </c>
      <c r="D113" s="4"/>
      <c r="E113" s="4" t="s">
        <v>791</v>
      </c>
      <c r="F113" s="4"/>
    </row>
    <row r="114" spans="1:6" ht="177.95" customHeight="1">
      <c r="A114" s="4" t="s">
        <v>796</v>
      </c>
      <c r="B114" s="5">
        <v>113</v>
      </c>
      <c r="C114" s="4" t="s">
        <v>800</v>
      </c>
      <c r="D114" s="4" t="s">
        <v>340</v>
      </c>
      <c r="E114" s="4" t="s">
        <v>884</v>
      </c>
      <c r="F114" s="4"/>
    </row>
    <row r="115" spans="1:6" ht="60" customHeight="1">
      <c r="A115" s="4" t="s">
        <v>802</v>
      </c>
      <c r="B115" s="5">
        <v>114</v>
      </c>
      <c r="C115" s="4" t="s">
        <v>806</v>
      </c>
      <c r="D115" s="4"/>
      <c r="E115" s="4" t="s">
        <v>803</v>
      </c>
      <c r="F115" s="4"/>
    </row>
    <row r="116" spans="1:6" ht="138.94999999999999" customHeight="1">
      <c r="A116" s="4" t="s">
        <v>808</v>
      </c>
      <c r="B116" s="5">
        <v>115</v>
      </c>
      <c r="C116" s="4" t="s">
        <v>811</v>
      </c>
      <c r="D116" s="4"/>
      <c r="E116" s="4" t="s">
        <v>885</v>
      </c>
      <c r="F116" s="4"/>
    </row>
    <row r="117" spans="1:6" ht="74.099999999999994" customHeight="1">
      <c r="A117" s="4" t="s">
        <v>813</v>
      </c>
      <c r="B117" s="5">
        <v>116</v>
      </c>
      <c r="C117" s="4" t="s">
        <v>818</v>
      </c>
      <c r="D117" s="4"/>
      <c r="E117" s="4" t="s">
        <v>886</v>
      </c>
      <c r="F117" s="4"/>
    </row>
    <row r="118" spans="1:6" ht="60" customHeight="1">
      <c r="A118" s="4" t="s">
        <v>820</v>
      </c>
      <c r="B118" s="5">
        <v>117</v>
      </c>
      <c r="C118" s="4" t="s">
        <v>824</v>
      </c>
      <c r="D118" s="4"/>
      <c r="E118" s="4" t="s">
        <v>821</v>
      </c>
      <c r="F118" s="4"/>
    </row>
    <row r="119" spans="1:6" ht="99.95" customHeight="1">
      <c r="A119" s="4" t="s">
        <v>826</v>
      </c>
      <c r="B119" s="5">
        <v>118</v>
      </c>
      <c r="C119" s="4" t="s">
        <v>830</v>
      </c>
      <c r="D119" s="4"/>
      <c r="E119" s="4" t="s">
        <v>887</v>
      </c>
      <c r="F119" s="4"/>
    </row>
    <row r="120" spans="1:6" ht="60.95" customHeight="1">
      <c r="A120" s="4" t="s">
        <v>832</v>
      </c>
      <c r="B120" s="5">
        <v>119</v>
      </c>
      <c r="C120" s="4" t="s">
        <v>837</v>
      </c>
      <c r="D120" s="4"/>
      <c r="E120" s="4" t="s">
        <v>833</v>
      </c>
      <c r="F120" s="4"/>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38"/>
  <sheetViews>
    <sheetView showGridLines="0" workbookViewId="0">
      <pane ySplit="1" topLeftCell="A2" activePane="bottomLeft" state="frozen"/>
      <selection pane="bottomLeft"/>
    </sheetView>
  </sheetViews>
  <sheetFormatPr defaultRowHeight="14.25"/>
  <cols>
    <col min="1" max="1" width="24" customWidth="1"/>
    <col min="2" max="2" width="31" customWidth="1"/>
    <col min="3" max="3" width="145" customWidth="1"/>
  </cols>
  <sheetData>
    <row r="1" spans="1:3" ht="45.95" customHeight="1">
      <c r="A1" s="2" t="s">
        <v>888</v>
      </c>
      <c r="B1" s="2" t="s">
        <v>889</v>
      </c>
      <c r="C1" s="2" t="s">
        <v>890</v>
      </c>
    </row>
    <row r="2" spans="1:3" ht="48" customHeight="1">
      <c r="A2" s="4" t="s">
        <v>891</v>
      </c>
      <c r="B2" s="4" t="s">
        <v>892</v>
      </c>
      <c r="C2" s="4" t="s">
        <v>893</v>
      </c>
    </row>
    <row r="3" spans="1:3" ht="48" customHeight="1">
      <c r="A3" s="4" t="s">
        <v>891</v>
      </c>
      <c r="B3" s="4" t="s">
        <v>894</v>
      </c>
      <c r="C3" s="4" t="s">
        <v>895</v>
      </c>
    </row>
    <row r="4" spans="1:3" ht="48" customHeight="1">
      <c r="A4" s="4" t="s">
        <v>891</v>
      </c>
      <c r="B4" s="4" t="s">
        <v>896</v>
      </c>
      <c r="C4" s="4" t="s">
        <v>897</v>
      </c>
    </row>
    <row r="5" spans="1:3" ht="62.1" customHeight="1">
      <c r="A5" s="4" t="s">
        <v>891</v>
      </c>
      <c r="B5" s="4" t="s">
        <v>898</v>
      </c>
      <c r="C5" s="4" t="s">
        <v>899</v>
      </c>
    </row>
    <row r="6" spans="1:3" ht="62.1" customHeight="1">
      <c r="A6" s="4" t="s">
        <v>891</v>
      </c>
      <c r="B6" s="4" t="s">
        <v>900</v>
      </c>
      <c r="C6" s="4" t="s">
        <v>901</v>
      </c>
    </row>
    <row r="7" spans="1:3" ht="48" customHeight="1">
      <c r="A7" s="4" t="s">
        <v>891</v>
      </c>
      <c r="B7" s="4" t="s">
        <v>902</v>
      </c>
      <c r="C7" s="4" t="s">
        <v>903</v>
      </c>
    </row>
    <row r="8" spans="1:3" ht="62.1" customHeight="1">
      <c r="A8" s="4" t="s">
        <v>891</v>
      </c>
      <c r="B8" s="4" t="s">
        <v>904</v>
      </c>
      <c r="C8" s="4" t="s">
        <v>905</v>
      </c>
    </row>
    <row r="9" spans="1:3" ht="48" customHeight="1">
      <c r="A9" s="4" t="s">
        <v>891</v>
      </c>
      <c r="B9" s="4" t="s">
        <v>906</v>
      </c>
      <c r="C9" s="4" t="s">
        <v>907</v>
      </c>
    </row>
    <row r="10" spans="1:3" ht="62.1" customHeight="1">
      <c r="A10" s="4" t="s">
        <v>891</v>
      </c>
      <c r="B10" s="4" t="s">
        <v>908</v>
      </c>
      <c r="C10" s="4" t="s">
        <v>909</v>
      </c>
    </row>
    <row r="11" spans="1:3" ht="62.1" customHeight="1">
      <c r="A11" s="4" t="s">
        <v>891</v>
      </c>
      <c r="B11" s="4" t="s">
        <v>910</v>
      </c>
      <c r="C11" s="4" t="s">
        <v>911</v>
      </c>
    </row>
    <row r="12" spans="1:3" ht="62.1" customHeight="1">
      <c r="A12" s="4" t="s">
        <v>891</v>
      </c>
      <c r="B12" s="4" t="s">
        <v>912</v>
      </c>
      <c r="C12" s="4" t="s">
        <v>913</v>
      </c>
    </row>
    <row r="13" spans="1:3" ht="48" customHeight="1">
      <c r="A13" s="4" t="s">
        <v>891</v>
      </c>
      <c r="B13" s="4" t="s">
        <v>914</v>
      </c>
      <c r="C13" s="4" t="s">
        <v>915</v>
      </c>
    </row>
    <row r="14" spans="1:3" ht="48" customHeight="1">
      <c r="A14" s="4" t="s">
        <v>891</v>
      </c>
      <c r="B14" s="4" t="s">
        <v>916</v>
      </c>
      <c r="C14" s="4" t="s">
        <v>917</v>
      </c>
    </row>
    <row r="15" spans="1:3" ht="62.1" customHeight="1">
      <c r="A15" s="4" t="s">
        <v>891</v>
      </c>
      <c r="B15" s="4" t="s">
        <v>918</v>
      </c>
      <c r="C15" s="4" t="s">
        <v>919</v>
      </c>
    </row>
    <row r="16" spans="1:3" ht="42" customHeight="1">
      <c r="A16" s="4" t="s">
        <v>6</v>
      </c>
      <c r="B16" s="4" t="s">
        <v>14</v>
      </c>
      <c r="C16" s="4" t="s">
        <v>920</v>
      </c>
    </row>
    <row r="17" spans="1:3" ht="48" customHeight="1">
      <c r="A17" s="4" t="s">
        <v>6</v>
      </c>
      <c r="B17" s="4" t="s">
        <v>17</v>
      </c>
      <c r="C17" s="4" t="s">
        <v>921</v>
      </c>
    </row>
    <row r="18" spans="1:3" ht="42" customHeight="1">
      <c r="A18" s="4" t="s">
        <v>6</v>
      </c>
      <c r="B18" s="4" t="s">
        <v>20</v>
      </c>
      <c r="C18" s="4" t="s">
        <v>922</v>
      </c>
    </row>
    <row r="19" spans="1:3" ht="42" customHeight="1">
      <c r="A19" s="4" t="s">
        <v>6</v>
      </c>
      <c r="B19" s="4" t="s">
        <v>23</v>
      </c>
      <c r="C19" s="4" t="s">
        <v>923</v>
      </c>
    </row>
    <row r="20" spans="1:3" ht="42" customHeight="1">
      <c r="A20" s="4" t="s">
        <v>6</v>
      </c>
      <c r="B20" s="4" t="s">
        <v>26</v>
      </c>
      <c r="C20" s="4" t="s">
        <v>924</v>
      </c>
    </row>
    <row r="21" spans="1:3" ht="48" customHeight="1">
      <c r="A21" s="4" t="s">
        <v>6</v>
      </c>
      <c r="B21" s="4" t="s">
        <v>29</v>
      </c>
      <c r="C21" s="4" t="s">
        <v>925</v>
      </c>
    </row>
    <row r="22" spans="1:3" ht="42" customHeight="1">
      <c r="A22" s="4" t="s">
        <v>6</v>
      </c>
      <c r="B22" s="4" t="s">
        <v>31</v>
      </c>
      <c r="C22" s="4" t="s">
        <v>926</v>
      </c>
    </row>
    <row r="23" spans="1:3" ht="48" customHeight="1">
      <c r="A23" s="4" t="s">
        <v>6</v>
      </c>
      <c r="B23" s="4" t="s">
        <v>34</v>
      </c>
      <c r="C23" s="4" t="s">
        <v>927</v>
      </c>
    </row>
    <row r="24" spans="1:3" ht="42" customHeight="1">
      <c r="A24" s="4" t="s">
        <v>10</v>
      </c>
      <c r="B24" s="4" t="s">
        <v>15</v>
      </c>
      <c r="C24" s="4" t="s">
        <v>928</v>
      </c>
    </row>
    <row r="25" spans="1:3" ht="42" customHeight="1">
      <c r="A25" s="4" t="s">
        <v>10</v>
      </c>
      <c r="B25" s="4" t="s">
        <v>18</v>
      </c>
      <c r="C25" s="4" t="s">
        <v>929</v>
      </c>
    </row>
    <row r="26" spans="1:3" ht="42" customHeight="1">
      <c r="A26" s="4" t="s">
        <v>10</v>
      </c>
      <c r="B26" s="4" t="s">
        <v>21</v>
      </c>
      <c r="C26" s="4" t="s">
        <v>930</v>
      </c>
    </row>
    <row r="27" spans="1:3" ht="42" customHeight="1">
      <c r="A27" s="4" t="s">
        <v>10</v>
      </c>
      <c r="B27" s="4" t="s">
        <v>24</v>
      </c>
      <c r="C27" s="4" t="s">
        <v>931</v>
      </c>
    </row>
    <row r="28" spans="1:3" ht="42" customHeight="1">
      <c r="A28" s="4" t="s">
        <v>10</v>
      </c>
      <c r="B28" s="4" t="s">
        <v>27</v>
      </c>
      <c r="C28" s="4" t="s">
        <v>932</v>
      </c>
    </row>
    <row r="29" spans="1:3" ht="42" customHeight="1">
      <c r="A29" s="4" t="s">
        <v>13</v>
      </c>
      <c r="B29" s="4" t="s">
        <v>16</v>
      </c>
      <c r="C29" s="4" t="s">
        <v>933</v>
      </c>
    </row>
    <row r="30" spans="1:3" ht="42" customHeight="1">
      <c r="A30" s="4" t="s">
        <v>13</v>
      </c>
      <c r="B30" s="4" t="s">
        <v>19</v>
      </c>
      <c r="C30" s="4" t="s">
        <v>934</v>
      </c>
    </row>
    <row r="31" spans="1:3" ht="42" customHeight="1">
      <c r="A31" s="4" t="s">
        <v>13</v>
      </c>
      <c r="B31" s="4" t="s">
        <v>22</v>
      </c>
      <c r="C31" s="4" t="s">
        <v>935</v>
      </c>
    </row>
    <row r="32" spans="1:3" ht="42" customHeight="1">
      <c r="A32" s="4" t="s">
        <v>13</v>
      </c>
      <c r="B32" s="4" t="s">
        <v>25</v>
      </c>
      <c r="C32" s="4" t="s">
        <v>936</v>
      </c>
    </row>
    <row r="33" spans="1:3" ht="42" customHeight="1">
      <c r="A33" s="4" t="s">
        <v>13</v>
      </c>
      <c r="B33" s="4" t="s">
        <v>28</v>
      </c>
      <c r="C33" s="4" t="s">
        <v>937</v>
      </c>
    </row>
    <row r="34" spans="1:3" ht="42" customHeight="1">
      <c r="A34" s="4" t="s">
        <v>13</v>
      </c>
      <c r="B34" s="4" t="s">
        <v>30</v>
      </c>
      <c r="C34" s="4" t="s">
        <v>938</v>
      </c>
    </row>
    <row r="35" spans="1:3" ht="48" customHeight="1">
      <c r="A35" s="4" t="s">
        <v>13</v>
      </c>
      <c r="B35" s="4" t="s">
        <v>33</v>
      </c>
      <c r="C35" s="4" t="s">
        <v>939</v>
      </c>
    </row>
    <row r="36" spans="1:3" ht="48" customHeight="1">
      <c r="A36" s="4" t="s">
        <v>940</v>
      </c>
      <c r="B36" s="4" t="s">
        <v>941</v>
      </c>
      <c r="C36" s="4" t="s">
        <v>942</v>
      </c>
    </row>
    <row r="37" spans="1:3" ht="48" customHeight="1">
      <c r="A37" s="4" t="s">
        <v>940</v>
      </c>
      <c r="B37" s="4" t="s">
        <v>943</v>
      </c>
      <c r="C37" s="4" t="s">
        <v>944</v>
      </c>
    </row>
    <row r="38" spans="1:3" ht="48" customHeight="1">
      <c r="A38" s="4" t="s">
        <v>945</v>
      </c>
      <c r="B38" s="4" t="s">
        <v>946</v>
      </c>
      <c r="C38" s="4" t="s">
        <v>947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Coding</vt:lpstr>
      <vt:lpstr>Human prompts</vt:lpstr>
      <vt:lpstr>Codebook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Vahid Garousi</cp:lastModifiedBy>
  <dcterms:modified xsi:type="dcterms:W3CDTF">2026-10-05T20:29:48Z</dcterms:modified>
</cp:coreProperties>
</file>