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qubstudentcloud-my.sharepoint.com/personal/3054738_ads_qub_ac_uk/Documents/my_drafts/A-IN PREPARATION (WRITING)/just AI/AI research &amp; writing/3-Human Expertise/Analyzed XLSs/"/>
    </mc:Choice>
  </mc:AlternateContent>
  <xr:revisionPtr revIDLastSave="94" documentId="11_F25DC773A252ABDACC10481DF15B4F7C5BDE58EE" xr6:coauthVersionLast="47" xr6:coauthVersionMax="47" xr10:uidLastSave="{951E9C73-5D3E-40ED-9694-D4924AC36E2F}"/>
  <bookViews>
    <workbookView xWindow="-28920" yWindow="-120" windowWidth="29040" windowHeight="15720" xr2:uid="{00000000-000D-0000-FFFF-FFFF00000000}"/>
  </bookViews>
  <sheets>
    <sheet name="Sheet1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7" i="1" l="1"/>
  <c r="E18" i="1"/>
  <c r="E19" i="1"/>
  <c r="E20" i="1"/>
  <c r="E21" i="1"/>
  <c r="E22" i="1"/>
  <c r="E23" i="1"/>
  <c r="D17" i="1"/>
  <c r="D18" i="1"/>
  <c r="D19" i="1"/>
  <c r="D20" i="1"/>
  <c r="D21" i="1"/>
  <c r="D22" i="1"/>
  <c r="D23" i="1"/>
  <c r="C17" i="1" l="1"/>
  <c r="C18" i="1"/>
  <c r="C19" i="1"/>
  <c r="C20" i="1"/>
  <c r="C21" i="1"/>
  <c r="C22" i="1"/>
  <c r="C23" i="1"/>
  <c r="B17" i="1"/>
  <c r="B18" i="1"/>
  <c r="B19" i="1"/>
  <c r="B20" i="1"/>
  <c r="B21" i="1"/>
  <c r="B22" i="1"/>
  <c r="B23" i="1"/>
  <c r="D4" i="1" l="1"/>
  <c r="D5" i="1"/>
  <c r="D6" i="1"/>
  <c r="D7" i="1"/>
  <c r="D8" i="1"/>
  <c r="D9" i="1"/>
  <c r="D10" i="1"/>
  <c r="D11" i="1"/>
  <c r="E4" i="1"/>
  <c r="E5" i="1"/>
  <c r="E6" i="1"/>
  <c r="E7" i="1"/>
  <c r="E8" i="1"/>
  <c r="E9" i="1"/>
  <c r="E10" i="1"/>
  <c r="E11" i="1"/>
  <c r="B4" i="1" l="1"/>
  <c r="B5" i="1"/>
  <c r="B6" i="1"/>
  <c r="B7" i="1"/>
  <c r="B8" i="1"/>
  <c r="B9" i="1"/>
  <c r="B10" i="1"/>
  <c r="B11" i="1"/>
  <c r="B2" i="1"/>
  <c r="C2" i="1"/>
  <c r="C4" i="1" l="1"/>
  <c r="C8" i="1"/>
  <c r="C10" i="1"/>
  <c r="C11" i="1"/>
  <c r="C7" i="1"/>
  <c r="C9" i="1"/>
  <c r="C6" i="1"/>
  <c r="C5" i="1"/>
</calcChain>
</file>

<file path=xl/sharedStrings.xml><?xml version="1.0" encoding="utf-8"?>
<sst xmlns="http://schemas.openxmlformats.org/spreadsheetml/2006/main" count="27" uniqueCount="23">
  <si>
    <t>Interaction type</t>
  </si>
  <si>
    <t>Directed delegation</t>
  </si>
  <si>
    <t>Evaluation</t>
  </si>
  <si>
    <t>Correction/Challenge</t>
  </si>
  <si>
    <t>Redirection</t>
  </si>
  <si>
    <t>Deliberation</t>
  </si>
  <si>
    <t>Share of prompts</t>
  </si>
  <si>
    <t>P1</t>
  </si>
  <si>
    <t>P2</t>
  </si>
  <si>
    <t>P3</t>
  </si>
  <si>
    <t>P4</t>
  </si>
  <si>
    <t>Open Delegation</t>
  </si>
  <si>
    <t>Knowledge/context provision</t>
  </si>
  <si>
    <t>Acceptance/Rejection of AI output</t>
  </si>
  <si>
    <t>Characterizing human-AI</t>
  </si>
  <si>
    <t>Higher education</t>
  </si>
  <si>
    <t>Evidence judgment</t>
  </si>
  <si>
    <t>Methodological judgment</t>
  </si>
  <si>
    <t>Argumentative judgment</t>
  </si>
  <si>
    <t>Genre/writing expertise</t>
  </si>
  <si>
    <t>None</t>
  </si>
  <si>
    <t>Conceptual differentiation</t>
  </si>
  <si>
    <t>Subject-matter correction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</si>
</sst>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color rgb="FF223449"/>
      <name val="Arial"/>
      <family val="2"/>
    </font>
    <font>
      <sz val="8"/>
      <name val="Calibri"/>
      <family val="2"/>
      <scheme val="minor"/>
    </font>
    <font>
      <sz val="10"/>
      <color rgb="FF223449"/>
      <name val="Arial"/>
      <family val="2"/>
    </font>
    <font>
      <sz val="12"/>
      <color theme="1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rgb="FF29435C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top"/>
    </xf>
    <xf numFmtId="0" fontId="5" fillId="0" borderId="1" xfId="0" applyFont="1" applyBorder="1" applyAlignment="1">
      <alignment vertical="top"/>
    </xf>
    <xf numFmtId="0" fontId="1" fillId="0" borderId="1" xfId="0" applyFont="1" applyBorder="1" applyAlignment="1">
      <alignment horizontal="center" wrapText="1"/>
    </xf>
    <xf numFmtId="0" fontId="3" fillId="0" borderId="0" xfId="0" applyFont="1"/>
    <xf numFmtId="0" fontId="6" fillId="0" borderId="0" xfId="0" applyFont="1" applyAlignment="1">
      <alignment vertical="center"/>
    </xf>
    <xf numFmtId="9" fontId="0" fillId="0" borderId="1" xfId="0" applyNumberFormat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9" fontId="0" fillId="0" borderId="0" xfId="0" applyNumberFormat="1" applyAlignment="1">
      <alignment horizontal="center" wrapText="1"/>
    </xf>
    <xf numFmtId="9" fontId="1" fillId="3" borderId="0" xfId="0" applyNumberFormat="1" applyFont="1" applyFill="1" applyAlignment="1">
      <alignment horizont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4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3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483022052650318"/>
          <c:y val="0.125568005804717"/>
          <c:w val="0.45099345294509274"/>
          <c:h val="0.8287656751239428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P1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Sheet1!$A$4:$A$11</c:f>
              <c:strCache>
                <c:ptCount val="8"/>
                <c:pt idx="0">
                  <c:v>Open Delegation</c:v>
                </c:pt>
                <c:pt idx="1">
                  <c:v>Directed delegation</c:v>
                </c:pt>
                <c:pt idx="2">
                  <c:v>Evaluation</c:v>
                </c:pt>
                <c:pt idx="3">
                  <c:v>Correction/Challenge</c:v>
                </c:pt>
                <c:pt idx="4">
                  <c:v>Redirection</c:v>
                </c:pt>
                <c:pt idx="5">
                  <c:v>Knowledge/context provision</c:v>
                </c:pt>
                <c:pt idx="6">
                  <c:v>Acceptance/Rejection of AI output</c:v>
                </c:pt>
                <c:pt idx="7">
                  <c:v>Deliberation</c:v>
                </c:pt>
              </c:strCache>
            </c:strRef>
          </c:cat>
          <c:val>
            <c:numRef>
              <c:f>Sheet1!$B$4:$B$11</c:f>
              <c:numCache>
                <c:formatCode>0%</c:formatCode>
                <c:ptCount val="8"/>
                <c:pt idx="0">
                  <c:v>3.3333333333333333E-2</c:v>
                </c:pt>
                <c:pt idx="1">
                  <c:v>0.64444444444444449</c:v>
                </c:pt>
                <c:pt idx="2">
                  <c:v>0.21111111111111111</c:v>
                </c:pt>
                <c:pt idx="3">
                  <c:v>0.21111111111111111</c:v>
                </c:pt>
                <c:pt idx="4">
                  <c:v>0.17777777777777778</c:v>
                </c:pt>
                <c:pt idx="5">
                  <c:v>0.55555555555555558</c:v>
                </c:pt>
                <c:pt idx="6">
                  <c:v>0.32222222222222224</c:v>
                </c:pt>
                <c:pt idx="7">
                  <c:v>6.6666666666666666E-2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98-4252-9912-F5C5414FFB80}"/>
            </c:ext>
          </c:extLst>
        </c:ser>
        <c:ser>
          <c:idx val="1"/>
          <c:order val="1"/>
          <c:tx>
            <c:strRef>
              <c:f>Sheet1!$C$3</c:f>
              <c:strCache>
                <c:ptCount val="1"/>
                <c:pt idx="0">
                  <c:v>P2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Sheet1!$A$4:$A$11</c:f>
              <c:strCache>
                <c:ptCount val="8"/>
                <c:pt idx="0">
                  <c:v>Open Delegation</c:v>
                </c:pt>
                <c:pt idx="1">
                  <c:v>Directed delegation</c:v>
                </c:pt>
                <c:pt idx="2">
                  <c:v>Evaluation</c:v>
                </c:pt>
                <c:pt idx="3">
                  <c:v>Correction/Challenge</c:v>
                </c:pt>
                <c:pt idx="4">
                  <c:v>Redirection</c:v>
                </c:pt>
                <c:pt idx="5">
                  <c:v>Knowledge/context provision</c:v>
                </c:pt>
                <c:pt idx="6">
                  <c:v>Acceptance/Rejection of AI output</c:v>
                </c:pt>
                <c:pt idx="7">
                  <c:v>Deliberation</c:v>
                </c:pt>
              </c:strCache>
            </c:strRef>
          </c:cat>
          <c:val>
            <c:numRef>
              <c:f>Sheet1!$C$4:$C$11</c:f>
              <c:numCache>
                <c:formatCode>0%</c:formatCode>
                <c:ptCount val="8"/>
                <c:pt idx="0">
                  <c:v>5.3030303030303032E-2</c:v>
                </c:pt>
                <c:pt idx="1">
                  <c:v>0.60606060606060608</c:v>
                </c:pt>
                <c:pt idx="2">
                  <c:v>0.12121212121212122</c:v>
                </c:pt>
                <c:pt idx="3">
                  <c:v>0.17424242424242425</c:v>
                </c:pt>
                <c:pt idx="4">
                  <c:v>0.17424242424242425</c:v>
                </c:pt>
                <c:pt idx="5">
                  <c:v>0.34848484848484851</c:v>
                </c:pt>
                <c:pt idx="6">
                  <c:v>0.30303030303030304</c:v>
                </c:pt>
                <c:pt idx="7">
                  <c:v>6.8181818181818177E-2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98-4252-9912-F5C5414FFB80}"/>
            </c:ext>
          </c:extLst>
        </c:ser>
        <c:ser>
          <c:idx val="2"/>
          <c:order val="2"/>
          <c:tx>
            <c:strRef>
              <c:f>Sheet1!$D$3</c:f>
              <c:strCache>
                <c:ptCount val="1"/>
                <c:pt idx="0">
                  <c:v>P3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Sheet1!$A$4:$A$11</c:f>
              <c:strCache>
                <c:ptCount val="8"/>
                <c:pt idx="0">
                  <c:v>Open Delegation</c:v>
                </c:pt>
                <c:pt idx="1">
                  <c:v>Directed delegation</c:v>
                </c:pt>
                <c:pt idx="2">
                  <c:v>Evaluation</c:v>
                </c:pt>
                <c:pt idx="3">
                  <c:v>Correction/Challenge</c:v>
                </c:pt>
                <c:pt idx="4">
                  <c:v>Redirection</c:v>
                </c:pt>
                <c:pt idx="5">
                  <c:v>Knowledge/context provision</c:v>
                </c:pt>
                <c:pt idx="6">
                  <c:v>Acceptance/Rejection of AI output</c:v>
                </c:pt>
                <c:pt idx="7">
                  <c:v>Deliberation</c:v>
                </c:pt>
              </c:strCache>
            </c:strRef>
          </c:cat>
          <c:val>
            <c:numRef>
              <c:f>Sheet1!$D$4:$D$11</c:f>
              <c:numCache>
                <c:formatCode>0%</c:formatCode>
                <c:ptCount val="8"/>
                <c:pt idx="0">
                  <c:v>1.680672268907563E-2</c:v>
                </c:pt>
                <c:pt idx="1">
                  <c:v>0.68067226890756305</c:v>
                </c:pt>
                <c:pt idx="2">
                  <c:v>0.19327731092436976</c:v>
                </c:pt>
                <c:pt idx="3">
                  <c:v>0.22689075630252101</c:v>
                </c:pt>
                <c:pt idx="4">
                  <c:v>0.21848739495798319</c:v>
                </c:pt>
                <c:pt idx="5">
                  <c:v>0.52100840336134457</c:v>
                </c:pt>
                <c:pt idx="6">
                  <c:v>1.680672268907563E-2</c:v>
                </c:pt>
                <c:pt idx="7">
                  <c:v>3.3613445378151259E-2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898-4252-9912-F5C5414FFB80}"/>
            </c:ext>
          </c:extLst>
        </c:ser>
        <c:ser>
          <c:idx val="3"/>
          <c:order val="3"/>
          <c:tx>
            <c:strRef>
              <c:f>Sheet1!$E$3</c:f>
              <c:strCache>
                <c:ptCount val="1"/>
                <c:pt idx="0">
                  <c:v>P4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Sheet1!$A$4:$A$11</c:f>
              <c:strCache>
                <c:ptCount val="8"/>
                <c:pt idx="0">
                  <c:v>Open Delegation</c:v>
                </c:pt>
                <c:pt idx="1">
                  <c:v>Directed delegation</c:v>
                </c:pt>
                <c:pt idx="2">
                  <c:v>Evaluation</c:v>
                </c:pt>
                <c:pt idx="3">
                  <c:v>Correction/Challenge</c:v>
                </c:pt>
                <c:pt idx="4">
                  <c:v>Redirection</c:v>
                </c:pt>
                <c:pt idx="5">
                  <c:v>Knowledge/context provision</c:v>
                </c:pt>
                <c:pt idx="6">
                  <c:v>Acceptance/Rejection of AI output</c:v>
                </c:pt>
                <c:pt idx="7">
                  <c:v>Deliberation</c:v>
                </c:pt>
              </c:strCache>
            </c:strRef>
          </c:cat>
          <c:val>
            <c:numRef>
              <c:f>Sheet1!$E$4:$E$11</c:f>
              <c:numCache>
                <c:formatCode>0%</c:formatCode>
                <c:ptCount val="8"/>
                <c:pt idx="0">
                  <c:v>2.4390243902439025E-2</c:v>
                </c:pt>
                <c:pt idx="1">
                  <c:v>0.62195121951219512</c:v>
                </c:pt>
                <c:pt idx="2">
                  <c:v>0.17073170731707318</c:v>
                </c:pt>
                <c:pt idx="3">
                  <c:v>0.2073170731707317</c:v>
                </c:pt>
                <c:pt idx="4">
                  <c:v>0.1951219512195122</c:v>
                </c:pt>
                <c:pt idx="5">
                  <c:v>0.45121951219512196</c:v>
                </c:pt>
                <c:pt idx="6">
                  <c:v>0.13414634146341464</c:v>
                </c:pt>
                <c:pt idx="7">
                  <c:v>0.23170731707317074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898-4252-9912-F5C5414FFB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53724736"/>
        <c:axId val="913443984"/>
      </c:barChart>
      <c:catAx>
        <c:axId val="155372473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3443984"/>
        <c:crosses val="autoZero"/>
        <c:auto val="1"/>
        <c:lblAlgn val="ctr"/>
        <c:lblOffset val="100"/>
        <c:noMultiLvlLbl val="0"/>
      </c:catAx>
      <c:valAx>
        <c:axId val="913443984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3724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2.2473612119371919E-2"/>
          <c:y val="0.2928549301164422"/>
          <c:w val="6.0725684046021099E-2"/>
          <c:h val="0.3932513538541564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50000"/>
          <a:lumOff val="50000"/>
        </a:schemeClr>
      </a:solidFill>
      <a:round/>
    </a:ln>
    <a:effectLst/>
  </c:spPr>
  <c:txPr>
    <a:bodyPr/>
    <a:lstStyle/>
    <a:p>
      <a:pPr>
        <a:defRPr sz="1050"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52596353760744241"/>
          <c:y val="0.15186648819591583"/>
          <c:w val="0.42737563621867425"/>
          <c:h val="0.7972076395641823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P1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Sheet1!$A$17:$A$23</c:f>
              <c:strCache>
                <c:ptCount val="7"/>
                <c:pt idx="0">
                  <c:v>Subject-matter correction</c:v>
                </c:pt>
                <c:pt idx="1">
                  <c:v>Conceptual differentiation</c:v>
                </c:pt>
                <c:pt idx="2">
                  <c:v>Evidence judgment</c:v>
                </c:pt>
                <c:pt idx="3">
                  <c:v>Methodological judgment</c:v>
                </c:pt>
                <c:pt idx="4">
                  <c:v>Argumentative judgment</c:v>
                </c:pt>
                <c:pt idx="5">
                  <c:v>Genre/writing expertise</c:v>
                </c:pt>
                <c:pt idx="6">
                  <c:v>None</c:v>
                </c:pt>
              </c:strCache>
            </c:strRef>
          </c:cat>
          <c:val>
            <c:numRef>
              <c:f>Sheet1!$B$17:$B$23</c:f>
              <c:numCache>
                <c:formatCode>0%</c:formatCode>
                <c:ptCount val="7"/>
                <c:pt idx="0">
                  <c:v>0</c:v>
                </c:pt>
                <c:pt idx="1">
                  <c:v>8.8888888888888892E-2</c:v>
                </c:pt>
                <c:pt idx="2">
                  <c:v>0.34444444444444444</c:v>
                </c:pt>
                <c:pt idx="3">
                  <c:v>0.13333333333333333</c:v>
                </c:pt>
                <c:pt idx="4">
                  <c:v>0.37777777777777777</c:v>
                </c:pt>
                <c:pt idx="5">
                  <c:v>0.48888888888888887</c:v>
                </c:pt>
                <c:pt idx="6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F7-46B4-BD03-77F299AFE327}"/>
            </c:ext>
          </c:extLst>
        </c:ser>
        <c:ser>
          <c:idx val="1"/>
          <c:order val="1"/>
          <c:tx>
            <c:strRef>
              <c:f>Sheet1!$C$3</c:f>
              <c:strCache>
                <c:ptCount val="1"/>
                <c:pt idx="0">
                  <c:v>P2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Sheet1!$A$17:$A$23</c:f>
              <c:strCache>
                <c:ptCount val="7"/>
                <c:pt idx="0">
                  <c:v>Subject-matter correction</c:v>
                </c:pt>
                <c:pt idx="1">
                  <c:v>Conceptual differentiation</c:v>
                </c:pt>
                <c:pt idx="2">
                  <c:v>Evidence judgment</c:v>
                </c:pt>
                <c:pt idx="3">
                  <c:v>Methodological judgment</c:v>
                </c:pt>
                <c:pt idx="4">
                  <c:v>Argumentative judgment</c:v>
                </c:pt>
                <c:pt idx="5">
                  <c:v>Genre/writing expertise</c:v>
                </c:pt>
                <c:pt idx="6">
                  <c:v>None</c:v>
                </c:pt>
              </c:strCache>
            </c:strRef>
          </c:cat>
          <c:val>
            <c:numRef>
              <c:f>Sheet1!$C$17:$C$23</c:f>
              <c:numCache>
                <c:formatCode>0%</c:formatCode>
                <c:ptCount val="7"/>
                <c:pt idx="0">
                  <c:v>3.0303030303030304E-2</c:v>
                </c:pt>
                <c:pt idx="1">
                  <c:v>0.11363636363636363</c:v>
                </c:pt>
                <c:pt idx="2">
                  <c:v>0.17424242424242425</c:v>
                </c:pt>
                <c:pt idx="3">
                  <c:v>0.29545454545454547</c:v>
                </c:pt>
                <c:pt idx="4">
                  <c:v>0.25</c:v>
                </c:pt>
                <c:pt idx="5">
                  <c:v>0.37121212121212122</c:v>
                </c:pt>
                <c:pt idx="6">
                  <c:v>0.30303030303030304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8F7-46B4-BD03-77F299AFE327}"/>
            </c:ext>
          </c:extLst>
        </c:ser>
        <c:ser>
          <c:idx val="2"/>
          <c:order val="2"/>
          <c:tx>
            <c:strRef>
              <c:f>Sheet1!$D$3</c:f>
              <c:strCache>
                <c:ptCount val="1"/>
                <c:pt idx="0">
                  <c:v>P3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Sheet1!$A$17:$A$23</c:f>
              <c:strCache>
                <c:ptCount val="7"/>
                <c:pt idx="0">
                  <c:v>Subject-matter correction</c:v>
                </c:pt>
                <c:pt idx="1">
                  <c:v>Conceptual differentiation</c:v>
                </c:pt>
                <c:pt idx="2">
                  <c:v>Evidence judgment</c:v>
                </c:pt>
                <c:pt idx="3">
                  <c:v>Methodological judgment</c:v>
                </c:pt>
                <c:pt idx="4">
                  <c:v>Argumentative judgment</c:v>
                </c:pt>
                <c:pt idx="5">
                  <c:v>Genre/writing expertise</c:v>
                </c:pt>
                <c:pt idx="6">
                  <c:v>None</c:v>
                </c:pt>
              </c:strCache>
            </c:strRef>
          </c:cat>
          <c:val>
            <c:numRef>
              <c:f>Sheet1!$D$17:$D$23</c:f>
              <c:numCache>
                <c:formatCode>0%</c:formatCode>
                <c:ptCount val="7"/>
                <c:pt idx="0">
                  <c:v>8.4033613445378158E-2</c:v>
                </c:pt>
                <c:pt idx="1">
                  <c:v>0.23529411764705882</c:v>
                </c:pt>
                <c:pt idx="2">
                  <c:v>0.24369747899159663</c:v>
                </c:pt>
                <c:pt idx="3">
                  <c:v>0.19327731092436976</c:v>
                </c:pt>
                <c:pt idx="4">
                  <c:v>0.26890756302521007</c:v>
                </c:pt>
                <c:pt idx="5">
                  <c:v>0.55462184873949583</c:v>
                </c:pt>
                <c:pt idx="6">
                  <c:v>0.11764705882352941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8F7-46B4-BD03-77F299AFE327}"/>
            </c:ext>
          </c:extLst>
        </c:ser>
        <c:ser>
          <c:idx val="3"/>
          <c:order val="3"/>
          <c:tx>
            <c:strRef>
              <c:f>Sheet1!$E$3</c:f>
              <c:strCache>
                <c:ptCount val="1"/>
                <c:pt idx="0">
                  <c:v>P4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Sheet1!$A$17:$A$23</c:f>
              <c:strCache>
                <c:ptCount val="7"/>
                <c:pt idx="0">
                  <c:v>Subject-matter correction</c:v>
                </c:pt>
                <c:pt idx="1">
                  <c:v>Conceptual differentiation</c:v>
                </c:pt>
                <c:pt idx="2">
                  <c:v>Evidence judgment</c:v>
                </c:pt>
                <c:pt idx="3">
                  <c:v>Methodological judgment</c:v>
                </c:pt>
                <c:pt idx="4">
                  <c:v>Argumentative judgment</c:v>
                </c:pt>
                <c:pt idx="5">
                  <c:v>Genre/writing expertise</c:v>
                </c:pt>
                <c:pt idx="6">
                  <c:v>None</c:v>
                </c:pt>
              </c:strCache>
            </c:strRef>
          </c:cat>
          <c:val>
            <c:numRef>
              <c:f>Sheet1!$E$17:$E$23</c:f>
              <c:numCache>
                <c:formatCode>0%</c:formatCode>
                <c:ptCount val="7"/>
                <c:pt idx="0">
                  <c:v>0</c:v>
                </c:pt>
                <c:pt idx="1">
                  <c:v>0.14634146341463414</c:v>
                </c:pt>
                <c:pt idx="2">
                  <c:v>0.17073170731707318</c:v>
                </c:pt>
                <c:pt idx="3">
                  <c:v>0.21951219512195122</c:v>
                </c:pt>
                <c:pt idx="4">
                  <c:v>0.23170731707317074</c:v>
                </c:pt>
                <c:pt idx="5">
                  <c:v>0.63414634146341464</c:v>
                </c:pt>
                <c:pt idx="6">
                  <c:v>8.5365853658536592E-2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8F7-46B4-BD03-77F299AFE3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53724736"/>
        <c:axId val="913443984"/>
      </c:barChart>
      <c:catAx>
        <c:axId val="155372473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3443984"/>
        <c:crosses val="autoZero"/>
        <c:auto val="1"/>
        <c:lblAlgn val="ctr"/>
        <c:lblOffset val="100"/>
        <c:noMultiLvlLbl val="0"/>
      </c:catAx>
      <c:valAx>
        <c:axId val="913443984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3724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2.6767760615084363E-2"/>
          <c:y val="0.29811462659468196"/>
          <c:w val="6.0725684046021099E-2"/>
          <c:h val="0.3932513538541564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50000"/>
          <a:lumOff val="50000"/>
        </a:schemeClr>
      </a:solidFill>
      <a:round/>
    </a:ln>
    <a:effectLst/>
  </c:spPr>
  <c:txPr>
    <a:bodyPr/>
    <a:lstStyle/>
    <a:p>
      <a:pPr>
        <a:defRPr sz="1050"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419099</xdr:colOff>
      <xdr:row>1</xdr:row>
      <xdr:rowOff>138112</xdr:rowOff>
    </xdr:from>
    <xdr:to>
      <xdr:col>15</xdr:col>
      <xdr:colOff>238125</xdr:colOff>
      <xdr:row>13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2EEB3B-C827-098B-6414-04BEB8B4BB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419100</xdr:colOff>
      <xdr:row>14</xdr:row>
      <xdr:rowOff>161925</xdr:rowOff>
    </xdr:from>
    <xdr:to>
      <xdr:col>15</xdr:col>
      <xdr:colOff>238126</xdr:colOff>
      <xdr:row>27</xdr:row>
      <xdr:rowOff>33338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945A7F2-0025-4A45-B45C-971921CD9E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0.00215</cdr:x>
      <cdr:y>0.02893</cdr:y>
    </cdr:from>
    <cdr:to>
      <cdr:x>0.33333</cdr:x>
      <cdr:y>0.20992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A4BC7643-905D-4F99-22A5-27AC3D66A0FD}"/>
            </a:ext>
          </a:extLst>
        </cdr:cNvPr>
        <cdr:cNvSpPr txBox="1"/>
      </cdr:nvSpPr>
      <cdr:spPr>
        <a:xfrm xmlns:a="http://schemas.openxmlformats.org/drawingml/2006/main">
          <a:off x="12700" y="69850"/>
          <a:ext cx="1958976" cy="43702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100" b="1" kern="1200"/>
            <a:t>(a) Prompt (interaction) types</a:t>
          </a: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0.00859</cdr:x>
      <cdr:y>0.02104</cdr:y>
    </cdr:from>
    <cdr:to>
      <cdr:x>0.35749</cdr:x>
      <cdr:y>0.20204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F385246-B3F2-5815-811E-EDA88EBB7727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2063750" cy="43703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100" b="1" kern="1200"/>
            <a:t>(b) Demonstrated human expertise types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qubstudentcloud-my.sharepoint.com/personal/3054738_ads_qub_ac_uk/Documents/my_drafts/A-IN%20PREPARATION%20(WRITING)/just%20AI/AI%20research%20&amp;%20writing/3-Human%20Expertise/Analyzed%20XLSs/Coded%20Data-for%20Paper-Human%20oversight.xlsx" TargetMode="External"/><Relationship Id="rId2" Type="http://schemas.microsoft.com/office/2019/04/relationships/externalLinkLongPath" Target="Coded%20Data-for%20Paper-Human%20oversight.xlsx?B1F19283" TargetMode="External"/><Relationship Id="rId1" Type="http://schemas.openxmlformats.org/officeDocument/2006/relationships/externalLinkPath" Target="file:///\\B1F19283\Coded%20Data-for%20Paper-Human%20oversight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qubstudentcloud-my.sharepoint.com/personal/3054738_ads_qub_ac_uk/Documents/my_drafts/A-IN%20PREPARATION%20(WRITING)/just%20AI/AI%20research%20&amp;%20writing/3-Human%20Expertise/Analyzed%20XLSs/Coded%20Data-for%20Paper-ISTQB.xlsx" TargetMode="External"/><Relationship Id="rId1" Type="http://schemas.openxmlformats.org/officeDocument/2006/relationships/externalLinkPath" Target="Coded%20Data-for%20Paper-ISTQB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qubstudentcloud-my.sharepoint.com/personal/3054738_ads_qub_ac_uk/Documents/my_drafts/A-IN%20PREPARATION%20(WRITING)/just%20AI/AI%20research%20&amp;%20writing/3-Human%20Expertise/Analyzed%20XLSs/Coded%20Data-for%20P4-Human%20AI.xlsx" TargetMode="External"/><Relationship Id="rId1" Type="http://schemas.openxmlformats.org/officeDocument/2006/relationships/externalLinkPath" Target="Coded%20Data-for%20P4-Human%20AI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qubstudentcloud-my.sharepoint.com/personal/3054738_ads_qub_ac_uk/Documents/my_drafts/A-IN%20PREPARATION%20(WRITING)/just%20AI/AI%20research%20&amp;%20writing/3-Human%20Expertise/Analyzed%20XLSs/Coded%20Data-for%20P3-Higher%20Ed.xlsx" TargetMode="External"/><Relationship Id="rId1" Type="http://schemas.openxmlformats.org/officeDocument/2006/relationships/externalLinkPath" Target="Coded%20Data-for%20P3-Higher%20Ed.xlsx" TargetMode="External"/></Relationships>
</file>

<file path=xl/externalLinks/_rels/externalLink5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qubstudentcloud-my.sharepoint.com/personal/3054738_ads_qub_ac_uk/Documents/my_drafts/A-IN%20PREPARATION%20(WRITING)/just%20AI/AI%20research%20&amp;%20writing/3-Human%20Expertise/Analyzed%20XLSs/Coded%20Data-for%20P1-Human%20oversight.xlsx" TargetMode="External"/><Relationship Id="rId2" Type="http://schemas.microsoft.com/office/2019/04/relationships/externalLinkLongPath" Target="Coded%20Data-for%20P1-Human%20oversight.xlsx?B1F19283" TargetMode="External"/><Relationship Id="rId1" Type="http://schemas.openxmlformats.org/officeDocument/2006/relationships/externalLinkPath" Target="file:///\\B1F19283\Coded%20Data-for%20P1-Human%20oversight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qubstudentcloud-my.sharepoint.com/personal/3054738_ads_qub_ac_uk/Documents/my_drafts/A-IN%20PREPARATION%20(WRITING)/just%20AI/AI%20research%20&amp;%20writing/3-Human%20Expertise/Analyzed%20XLSs/Coded%20Data-for%20P2-ISTQB.xlsx" TargetMode="External"/><Relationship Id="rId1" Type="http://schemas.openxmlformats.org/officeDocument/2006/relationships/externalLinkPath" Target="Coded%20Data-for%20P2-ISTQB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Summary"/>
      <sheetName val="Coding"/>
      <sheetName val="Human prompts"/>
      <sheetName val="Codebook"/>
    </sheetNames>
    <sheetDataSet>
      <sheetData sheetId="0">
        <row r="2">
          <cell r="B2" t="str">
            <v xml:space="preserve">Human oversight </v>
          </cell>
        </row>
        <row r="8">
          <cell r="D8">
            <v>3.3333333333333333E-2</v>
          </cell>
        </row>
        <row r="9">
          <cell r="D9">
            <v>0.64444444444444449</v>
          </cell>
        </row>
        <row r="10">
          <cell r="D10">
            <v>0.21111111111111111</v>
          </cell>
        </row>
        <row r="11">
          <cell r="D11">
            <v>0.21111111111111111</v>
          </cell>
        </row>
        <row r="12">
          <cell r="D12">
            <v>0.17777777777777778</v>
          </cell>
        </row>
        <row r="13">
          <cell r="D13">
            <v>0.55555555555555558</v>
          </cell>
        </row>
        <row r="14">
          <cell r="D14">
            <v>0.32222222222222224</v>
          </cell>
        </row>
        <row r="15">
          <cell r="D15">
            <v>6.6666666666666666E-2</v>
          </cell>
        </row>
      </sheetData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"/>
      <sheetName val="Coding"/>
      <sheetName val="Human prompts"/>
      <sheetName val="Codebook"/>
    </sheetNames>
    <sheetDataSet>
      <sheetData sheetId="0">
        <row r="2">
          <cell r="B2" t="str">
            <v>ISTQB</v>
          </cell>
        </row>
        <row r="8">
          <cell r="D8">
            <v>5.3030303030303032E-2</v>
          </cell>
        </row>
        <row r="9">
          <cell r="D9">
            <v>0.60606060606060608</v>
          </cell>
        </row>
        <row r="10">
          <cell r="D10">
            <v>0.12121212121212122</v>
          </cell>
        </row>
        <row r="11">
          <cell r="D11">
            <v>0.17424242424242425</v>
          </cell>
        </row>
        <row r="12">
          <cell r="D12">
            <v>0.17424242424242425</v>
          </cell>
        </row>
        <row r="13">
          <cell r="D13">
            <v>0.34848484848484851</v>
          </cell>
        </row>
        <row r="14">
          <cell r="D14">
            <v>0.30303030303030304</v>
          </cell>
        </row>
        <row r="15">
          <cell r="D15">
            <v>6.8181818181818177E-2</v>
          </cell>
        </row>
      </sheetData>
      <sheetData sheetId="1"/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"/>
      <sheetName val="Coding"/>
      <sheetName val="Human prompts"/>
      <sheetName val="Codebook"/>
    </sheetNames>
    <sheetDataSet>
      <sheetData sheetId="0">
        <row r="9">
          <cell r="D9">
            <v>2.4390243902439025E-2</v>
          </cell>
          <cell r="L9">
            <v>0</v>
          </cell>
        </row>
        <row r="10">
          <cell r="D10">
            <v>0.62195121951219512</v>
          </cell>
          <cell r="L10">
            <v>0.14634146341463414</v>
          </cell>
        </row>
        <row r="11">
          <cell r="D11">
            <v>0.17073170731707318</v>
          </cell>
          <cell r="L11">
            <v>0.17073170731707318</v>
          </cell>
        </row>
        <row r="12">
          <cell r="D12">
            <v>0.2073170731707317</v>
          </cell>
          <cell r="L12">
            <v>0.21951219512195122</v>
          </cell>
        </row>
        <row r="13">
          <cell r="D13">
            <v>0.1951219512195122</v>
          </cell>
          <cell r="L13">
            <v>0.23170731707317074</v>
          </cell>
        </row>
        <row r="14">
          <cell r="D14">
            <v>0.45121951219512196</v>
          </cell>
          <cell r="L14">
            <v>0.63414634146341464</v>
          </cell>
        </row>
        <row r="15">
          <cell r="D15">
            <v>0.13414634146341464</v>
          </cell>
          <cell r="L15">
            <v>8.5365853658536592E-2</v>
          </cell>
        </row>
        <row r="16">
          <cell r="D16">
            <v>0.23170731707317074</v>
          </cell>
        </row>
      </sheetData>
      <sheetData sheetId="1"/>
      <sheetData sheetId="2"/>
      <sheetData sheetId="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"/>
      <sheetName val="Coding"/>
      <sheetName val="Human prompts"/>
      <sheetName val="Codebook"/>
    </sheetNames>
    <sheetDataSet>
      <sheetData sheetId="0">
        <row r="9">
          <cell r="D9">
            <v>1.680672268907563E-2</v>
          </cell>
          <cell r="L9">
            <v>8.4033613445378158E-2</v>
          </cell>
        </row>
        <row r="10">
          <cell r="D10">
            <v>0.68067226890756305</v>
          </cell>
          <cell r="L10">
            <v>0.23529411764705882</v>
          </cell>
        </row>
        <row r="11">
          <cell r="D11">
            <v>0.19327731092436976</v>
          </cell>
          <cell r="L11">
            <v>0.24369747899159663</v>
          </cell>
        </row>
        <row r="12">
          <cell r="D12">
            <v>0.22689075630252101</v>
          </cell>
          <cell r="L12">
            <v>0.19327731092436976</v>
          </cell>
        </row>
        <row r="13">
          <cell r="D13">
            <v>0.21848739495798319</v>
          </cell>
          <cell r="L13">
            <v>0.26890756302521007</v>
          </cell>
        </row>
        <row r="14">
          <cell r="D14">
            <v>0.52100840336134457</v>
          </cell>
          <cell r="L14">
            <v>0.55462184873949583</v>
          </cell>
        </row>
        <row r="15">
          <cell r="D15">
            <v>1.680672268907563E-2</v>
          </cell>
          <cell r="L15">
            <v>0.11764705882352941</v>
          </cell>
        </row>
        <row r="16">
          <cell r="D16">
            <v>3.3613445378151259E-2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Summary"/>
      <sheetName val="Coding"/>
      <sheetName val="Human prompts"/>
      <sheetName val="Codebook"/>
    </sheetNames>
    <sheetDataSet>
      <sheetData sheetId="0">
        <row r="8">
          <cell r="L8">
            <v>0</v>
          </cell>
        </row>
        <row r="9">
          <cell r="L9">
            <v>8.8888888888888892E-2</v>
          </cell>
        </row>
        <row r="10">
          <cell r="L10">
            <v>0.34444444444444444</v>
          </cell>
        </row>
        <row r="11">
          <cell r="L11">
            <v>0.13333333333333333</v>
          </cell>
        </row>
        <row r="12">
          <cell r="L12">
            <v>0.37777777777777777</v>
          </cell>
        </row>
        <row r="13">
          <cell r="L13">
            <v>0.48888888888888887</v>
          </cell>
        </row>
        <row r="14">
          <cell r="L14">
            <v>0.2</v>
          </cell>
        </row>
      </sheetData>
      <sheetData sheetId="1"/>
      <sheetData sheetId="2"/>
      <sheetData sheetId="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"/>
      <sheetName val="Coding"/>
      <sheetName val="Human prompts"/>
      <sheetName val="Codebook"/>
    </sheetNames>
    <sheetDataSet>
      <sheetData sheetId="0">
        <row r="8">
          <cell r="L8">
            <v>3.0303030303030304E-2</v>
          </cell>
        </row>
        <row r="9">
          <cell r="L9">
            <v>0.11363636363636363</v>
          </cell>
        </row>
        <row r="10">
          <cell r="L10">
            <v>0.17424242424242425</v>
          </cell>
        </row>
        <row r="11">
          <cell r="L11">
            <v>0.29545454545454547</v>
          </cell>
        </row>
        <row r="12">
          <cell r="L12">
            <v>0.25</v>
          </cell>
        </row>
        <row r="13">
          <cell r="L13">
            <v>0.37121212121212122</v>
          </cell>
        </row>
        <row r="14">
          <cell r="L14">
            <v>0.30303030303030304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"/>
  <sheetViews>
    <sheetView tabSelected="1" workbookViewId="0">
      <selection activeCell="Q11" sqref="Q11"/>
    </sheetView>
  </sheetViews>
  <sheetFormatPr defaultRowHeight="15" x14ac:dyDescent="0.25"/>
  <cols>
    <col min="1" max="1" width="47.5703125" customWidth="1"/>
    <col min="2" max="2" width="12.5703125" style="13" customWidth="1"/>
    <col min="3" max="3" width="9.140625" style="13"/>
    <col min="4" max="4" width="12.42578125" style="13" customWidth="1"/>
    <col min="5" max="5" width="13.28515625" style="13" customWidth="1"/>
  </cols>
  <sheetData>
    <row r="1" spans="1:5" ht="25.5" x14ac:dyDescent="0.25">
      <c r="A1" s="1"/>
      <c r="B1" s="2" t="s">
        <v>6</v>
      </c>
      <c r="C1" s="10"/>
      <c r="D1" s="10"/>
      <c r="E1" s="10"/>
    </row>
    <row r="2" spans="1:5" ht="30" x14ac:dyDescent="0.25">
      <c r="A2" s="1"/>
      <c r="B2" s="6" t="str">
        <f>[1]Summary!$B$2</f>
        <v xml:space="preserve">Human oversight </v>
      </c>
      <c r="C2" s="6" t="str">
        <f>[2]Summary!$B$2</f>
        <v>ISTQB</v>
      </c>
      <c r="D2" s="6" t="s">
        <v>15</v>
      </c>
      <c r="E2" s="6" t="s">
        <v>14</v>
      </c>
    </row>
    <row r="3" spans="1:5" x14ac:dyDescent="0.25">
      <c r="A3" s="3" t="s">
        <v>0</v>
      </c>
      <c r="B3" s="6" t="s">
        <v>7</v>
      </c>
      <c r="C3" s="6" t="s">
        <v>8</v>
      </c>
      <c r="D3" s="6" t="s">
        <v>9</v>
      </c>
      <c r="E3" s="6" t="s">
        <v>10</v>
      </c>
    </row>
    <row r="4" spans="1:5" x14ac:dyDescent="0.25">
      <c r="A4" s="7" t="s">
        <v>11</v>
      </c>
      <c r="B4" s="9">
        <f>[1]Summary!D8</f>
        <v>3.3333333333333333E-2</v>
      </c>
      <c r="C4" s="9">
        <f>[2]Summary!D8</f>
        <v>5.3030303030303032E-2</v>
      </c>
      <c r="D4" s="9">
        <f>[4]Summary!D9</f>
        <v>1.680672268907563E-2</v>
      </c>
      <c r="E4" s="9">
        <f>[3]Summary!D9</f>
        <v>2.4390243902439025E-2</v>
      </c>
    </row>
    <row r="5" spans="1:5" x14ac:dyDescent="0.25">
      <c r="A5" s="4" t="s">
        <v>1</v>
      </c>
      <c r="B5" s="9">
        <f>[1]Summary!D9</f>
        <v>0.64444444444444449</v>
      </c>
      <c r="C5" s="9">
        <f>[2]Summary!D9</f>
        <v>0.60606060606060608</v>
      </c>
      <c r="D5" s="9">
        <f>[4]Summary!D10</f>
        <v>0.68067226890756305</v>
      </c>
      <c r="E5" s="9">
        <f>[3]Summary!D10</f>
        <v>0.62195121951219512</v>
      </c>
    </row>
    <row r="6" spans="1:5" x14ac:dyDescent="0.25">
      <c r="A6" s="4" t="s">
        <v>2</v>
      </c>
      <c r="B6" s="9">
        <f>[1]Summary!D10</f>
        <v>0.21111111111111111</v>
      </c>
      <c r="C6" s="9">
        <f>[2]Summary!D10</f>
        <v>0.12121212121212122</v>
      </c>
      <c r="D6" s="9">
        <f>[4]Summary!D11</f>
        <v>0.19327731092436976</v>
      </c>
      <c r="E6" s="9">
        <f>[3]Summary!D11</f>
        <v>0.17073170731707318</v>
      </c>
    </row>
    <row r="7" spans="1:5" x14ac:dyDescent="0.25">
      <c r="A7" s="4" t="s">
        <v>3</v>
      </c>
      <c r="B7" s="9">
        <f>[1]Summary!D11</f>
        <v>0.21111111111111111</v>
      </c>
      <c r="C7" s="9">
        <f>[2]Summary!D11</f>
        <v>0.17424242424242425</v>
      </c>
      <c r="D7" s="9">
        <f>[4]Summary!D12</f>
        <v>0.22689075630252101</v>
      </c>
      <c r="E7" s="9">
        <f>[3]Summary!D12</f>
        <v>0.2073170731707317</v>
      </c>
    </row>
    <row r="8" spans="1:5" x14ac:dyDescent="0.25">
      <c r="A8" s="4" t="s">
        <v>4</v>
      </c>
      <c r="B8" s="9">
        <f>[1]Summary!D12</f>
        <v>0.17777777777777778</v>
      </c>
      <c r="C8" s="9">
        <f>[2]Summary!D12</f>
        <v>0.17424242424242425</v>
      </c>
      <c r="D8" s="9">
        <f>[4]Summary!D13</f>
        <v>0.21848739495798319</v>
      </c>
      <c r="E8" s="9">
        <f>[3]Summary!D13</f>
        <v>0.1951219512195122</v>
      </c>
    </row>
    <row r="9" spans="1:5" x14ac:dyDescent="0.25">
      <c r="A9" s="5" t="s">
        <v>12</v>
      </c>
      <c r="B9" s="9">
        <f>[1]Summary!D13</f>
        <v>0.55555555555555558</v>
      </c>
      <c r="C9" s="9">
        <f>[2]Summary!D13</f>
        <v>0.34848484848484851</v>
      </c>
      <c r="D9" s="9">
        <f>[4]Summary!D14</f>
        <v>0.52100840336134457</v>
      </c>
      <c r="E9" s="9">
        <f>[3]Summary!D14</f>
        <v>0.45121951219512196</v>
      </c>
    </row>
    <row r="10" spans="1:5" x14ac:dyDescent="0.25">
      <c r="A10" s="4" t="s">
        <v>13</v>
      </c>
      <c r="B10" s="9">
        <f>[1]Summary!D14</f>
        <v>0.32222222222222224</v>
      </c>
      <c r="C10" s="9">
        <f>[2]Summary!D14</f>
        <v>0.30303030303030304</v>
      </c>
      <c r="D10" s="9">
        <f>[4]Summary!D15</f>
        <v>1.680672268907563E-2</v>
      </c>
      <c r="E10" s="9">
        <f>[3]Summary!D15</f>
        <v>0.13414634146341464</v>
      </c>
    </row>
    <row r="11" spans="1:5" x14ac:dyDescent="0.25">
      <c r="A11" s="4" t="s">
        <v>5</v>
      </c>
      <c r="B11" s="9">
        <f>[1]Summary!D15</f>
        <v>6.6666666666666666E-2</v>
      </c>
      <c r="C11" s="9">
        <f>[2]Summary!D15</f>
        <v>6.8181818181818177E-2</v>
      </c>
      <c r="D11" s="9">
        <f>[4]Summary!D16</f>
        <v>3.3613445378151259E-2</v>
      </c>
      <c r="E11" s="9">
        <f>[3]Summary!D16</f>
        <v>0.23170731707317074</v>
      </c>
    </row>
    <row r="16" spans="1:5" x14ac:dyDescent="0.25">
      <c r="B16" s="6" t="s">
        <v>7</v>
      </c>
      <c r="C16" s="6" t="s">
        <v>8</v>
      </c>
      <c r="D16" s="6" t="s">
        <v>9</v>
      </c>
      <c r="E16" s="6" t="s">
        <v>10</v>
      </c>
    </row>
    <row r="17" spans="1:5" ht="15.75" x14ac:dyDescent="0.25">
      <c r="A17" s="8" t="s">
        <v>22</v>
      </c>
      <c r="B17" s="11">
        <f>[5]Summary!L8</f>
        <v>0</v>
      </c>
      <c r="C17" s="11">
        <f>[6]Summary!L8</f>
        <v>3.0303030303030304E-2</v>
      </c>
      <c r="D17" s="11">
        <f>[4]Summary!L9</f>
        <v>8.4033613445378158E-2</v>
      </c>
      <c r="E17" s="11">
        <f>[3]Summary!L9</f>
        <v>0</v>
      </c>
    </row>
    <row r="18" spans="1:5" ht="15.75" x14ac:dyDescent="0.25">
      <c r="A18" s="8" t="s">
        <v>21</v>
      </c>
      <c r="B18" s="11">
        <f>[5]Summary!L9</f>
        <v>8.8888888888888892E-2</v>
      </c>
      <c r="C18" s="11">
        <f>[6]Summary!L9</f>
        <v>0.11363636363636363</v>
      </c>
      <c r="D18" s="11">
        <f>[4]Summary!L10</f>
        <v>0.23529411764705882</v>
      </c>
      <c r="E18" s="11">
        <f>[3]Summary!L10</f>
        <v>0.14634146341463414</v>
      </c>
    </row>
    <row r="19" spans="1:5" ht="15.75" x14ac:dyDescent="0.25">
      <c r="A19" s="8" t="s">
        <v>16</v>
      </c>
      <c r="B19" s="11">
        <f>[5]Summary!L10</f>
        <v>0.34444444444444444</v>
      </c>
      <c r="C19" s="11">
        <f>[6]Summary!L10</f>
        <v>0.17424242424242425</v>
      </c>
      <c r="D19" s="11">
        <f>[4]Summary!L11</f>
        <v>0.24369747899159663</v>
      </c>
      <c r="E19" s="11">
        <f>[3]Summary!L11</f>
        <v>0.17073170731707318</v>
      </c>
    </row>
    <row r="20" spans="1:5" ht="15.75" x14ac:dyDescent="0.25">
      <c r="A20" s="8" t="s">
        <v>17</v>
      </c>
      <c r="B20" s="11">
        <f>[5]Summary!L11</f>
        <v>0.13333333333333333</v>
      </c>
      <c r="C20" s="11">
        <f>[6]Summary!L11</f>
        <v>0.29545454545454547</v>
      </c>
      <c r="D20" s="11">
        <f>[4]Summary!L12</f>
        <v>0.19327731092436976</v>
      </c>
      <c r="E20" s="11">
        <f>[3]Summary!L12</f>
        <v>0.21951219512195122</v>
      </c>
    </row>
    <row r="21" spans="1:5" ht="15.75" x14ac:dyDescent="0.25">
      <c r="A21" s="8" t="s">
        <v>18</v>
      </c>
      <c r="B21" s="11">
        <f>[5]Summary!L12</f>
        <v>0.37777777777777777</v>
      </c>
      <c r="C21" s="11">
        <f>[6]Summary!L12</f>
        <v>0.25</v>
      </c>
      <c r="D21" s="11">
        <f>[4]Summary!L13</f>
        <v>0.26890756302521007</v>
      </c>
      <c r="E21" s="11">
        <f>[3]Summary!L13</f>
        <v>0.23170731707317074</v>
      </c>
    </row>
    <row r="22" spans="1:5" ht="15.75" x14ac:dyDescent="0.25">
      <c r="A22" s="8" t="s">
        <v>19</v>
      </c>
      <c r="B22" s="11">
        <f>[5]Summary!L13</f>
        <v>0.48888888888888887</v>
      </c>
      <c r="C22" s="11">
        <f>[6]Summary!L13</f>
        <v>0.37121212121212122</v>
      </c>
      <c r="D22" s="11">
        <f>[4]Summary!L14</f>
        <v>0.55462184873949583</v>
      </c>
      <c r="E22" s="11">
        <f>[3]Summary!L14</f>
        <v>0.63414634146341464</v>
      </c>
    </row>
    <row r="23" spans="1:5" ht="15.75" x14ac:dyDescent="0.25">
      <c r="A23" s="8" t="s">
        <v>20</v>
      </c>
      <c r="B23" s="11">
        <f>[5]Summary!L14</f>
        <v>0.2</v>
      </c>
      <c r="C23" s="12">
        <f>[6]Summary!L14</f>
        <v>0.30303030303030304</v>
      </c>
      <c r="D23" s="11">
        <f>[4]Summary!L15</f>
        <v>0.11764705882352941</v>
      </c>
      <c r="E23" s="11">
        <f>[3]Summary!L15</f>
        <v>8.5365853658536592E-2</v>
      </c>
    </row>
  </sheetData>
  <phoneticPr fontId="4" type="noConversion"/>
  <pageMargins left="0.7" right="0.7" top="0.75" bottom="0.75" header="0.3" footer="0.3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Vahid Garousi</dc:creator>
  <cp:lastModifiedBy>Vahid Garousi</cp:lastModifiedBy>
  <dcterms:created xsi:type="dcterms:W3CDTF">2015-06-05T18:17:20Z</dcterms:created>
  <dcterms:modified xsi:type="dcterms:W3CDTF">2026-10-05T22:28:40Z</dcterms:modified>
</cp:coreProperties>
</file>